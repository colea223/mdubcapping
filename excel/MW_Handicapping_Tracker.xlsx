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1_64C996E05A956D6FEA57E0DBEBCC1DE56FE3EA2C" xr6:coauthVersionLast="47" xr6:coauthVersionMax="47" xr10:uidLastSave="{00000000-0000-0000-0000-000000000000}"/>
  <bookViews>
    <workbookView xWindow="-120" yWindow="-120" windowWidth="29040" windowHeight="15720" tabRatio="500" firstSheet="14" activeTab="18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Power Ratings" sheetId="6" r:id="rId6"/>
    <sheet name="MW Team ATS" sheetId="7" r:id="rId7"/>
    <sheet name="Strength of Record" sheetId="8" r:id="rId8"/>
    <sheet name="National Slate" sheetId="9" r:id="rId9"/>
    <sheet name="ACC Slate" sheetId="10" r:id="rId10"/>
    <sheet name="American Athletic Slate" sheetId="11" r:id="rId11"/>
    <sheet name="Big 12 Slate" sheetId="12" r:id="rId12"/>
    <sheet name="Big Ten Slate" sheetId="13" r:id="rId13"/>
    <sheet name="Conference USA Slate" sheetId="14" r:id="rId14"/>
    <sheet name="FBS Independents Slate" sheetId="15" r:id="rId15"/>
    <sheet name="Mid-American Slate" sheetId="16" r:id="rId16"/>
    <sheet name="Mountain West Slate" sheetId="17" r:id="rId17"/>
    <sheet name="Pac-12 Slate" sheetId="18" r:id="rId18"/>
    <sheet name="SEC Slate" sheetId="19" r:id="rId19"/>
    <sheet name="Sun Belt Slate" sheetId="20" r:id="rId20"/>
    <sheet name="Model Comparison" sheetId="21" r:id="rId2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6" l="1"/>
  <c r="L500" i="4"/>
  <c r="J500" i="4"/>
  <c r="L499" i="4"/>
  <c r="J499" i="4"/>
  <c r="L498" i="4"/>
  <c r="J498" i="4"/>
  <c r="L497" i="4"/>
  <c r="J497" i="4"/>
  <c r="L496" i="4"/>
  <c r="J496" i="4"/>
  <c r="L495" i="4"/>
  <c r="J495" i="4"/>
  <c r="L494" i="4"/>
  <c r="J494" i="4"/>
  <c r="L493" i="4"/>
  <c r="J493" i="4"/>
  <c r="L492" i="4"/>
  <c r="J492" i="4"/>
  <c r="L491" i="4"/>
  <c r="J491" i="4"/>
  <c r="L490" i="4"/>
  <c r="J490" i="4"/>
  <c r="L489" i="4"/>
  <c r="J489" i="4"/>
  <c r="L488" i="4"/>
  <c r="J488" i="4"/>
  <c r="L487" i="4"/>
  <c r="J487" i="4"/>
  <c r="L486" i="4"/>
  <c r="J486" i="4"/>
  <c r="L485" i="4"/>
  <c r="J485" i="4"/>
  <c r="L484" i="4"/>
  <c r="J484" i="4"/>
  <c r="L483" i="4"/>
  <c r="J483" i="4"/>
  <c r="L482" i="4"/>
  <c r="J482" i="4"/>
  <c r="L481" i="4"/>
  <c r="J481" i="4"/>
  <c r="L480" i="4"/>
  <c r="J480" i="4"/>
  <c r="L479" i="4"/>
  <c r="J479" i="4"/>
  <c r="L478" i="4"/>
  <c r="J478" i="4"/>
  <c r="L477" i="4"/>
  <c r="J477" i="4"/>
  <c r="L476" i="4"/>
  <c r="J476" i="4"/>
  <c r="L475" i="4"/>
  <c r="J475" i="4"/>
  <c r="L474" i="4"/>
  <c r="J474" i="4"/>
  <c r="L473" i="4"/>
  <c r="J473" i="4"/>
  <c r="L472" i="4"/>
  <c r="J472" i="4"/>
  <c r="L471" i="4"/>
  <c r="J471" i="4"/>
  <c r="L470" i="4"/>
  <c r="J470" i="4"/>
  <c r="L469" i="4"/>
  <c r="J469" i="4"/>
  <c r="L468" i="4"/>
  <c r="J468" i="4"/>
  <c r="L467" i="4"/>
  <c r="J467" i="4"/>
  <c r="L466" i="4"/>
  <c r="J466" i="4"/>
  <c r="L465" i="4"/>
  <c r="J465" i="4"/>
  <c r="L464" i="4"/>
  <c r="J464" i="4"/>
  <c r="L463" i="4"/>
  <c r="J463" i="4"/>
  <c r="L462" i="4"/>
  <c r="J462" i="4"/>
  <c r="L461" i="4"/>
  <c r="J461" i="4"/>
  <c r="L460" i="4"/>
  <c r="J460" i="4"/>
  <c r="L459" i="4"/>
  <c r="J459" i="4"/>
  <c r="L458" i="4"/>
  <c r="J458" i="4"/>
  <c r="L457" i="4"/>
  <c r="J457" i="4"/>
  <c r="L456" i="4"/>
  <c r="J456" i="4"/>
  <c r="L455" i="4"/>
  <c r="J455" i="4"/>
  <c r="L454" i="4"/>
  <c r="J454" i="4"/>
  <c r="L453" i="4"/>
  <c r="J453" i="4"/>
  <c r="L452" i="4"/>
  <c r="J452" i="4"/>
  <c r="L451" i="4"/>
  <c r="J451" i="4"/>
  <c r="L450" i="4"/>
  <c r="J450" i="4"/>
  <c r="L449" i="4"/>
  <c r="J449" i="4"/>
  <c r="L448" i="4"/>
  <c r="J448" i="4"/>
  <c r="L447" i="4"/>
  <c r="J447" i="4"/>
  <c r="L446" i="4"/>
  <c r="J446" i="4"/>
  <c r="L445" i="4"/>
  <c r="J445" i="4"/>
  <c r="L444" i="4"/>
  <c r="J444" i="4"/>
  <c r="L443" i="4"/>
  <c r="J443" i="4"/>
  <c r="L442" i="4"/>
  <c r="J442" i="4"/>
  <c r="L441" i="4"/>
  <c r="J441" i="4"/>
  <c r="L440" i="4"/>
  <c r="J440" i="4"/>
  <c r="L439" i="4"/>
  <c r="J439" i="4"/>
  <c r="L438" i="4"/>
  <c r="J438" i="4"/>
  <c r="L437" i="4"/>
  <c r="J437" i="4"/>
  <c r="L436" i="4"/>
  <c r="J436" i="4"/>
  <c r="L435" i="4"/>
  <c r="J435" i="4"/>
  <c r="L434" i="4"/>
  <c r="J434" i="4"/>
  <c r="L433" i="4"/>
  <c r="J433" i="4"/>
  <c r="L432" i="4"/>
  <c r="J432" i="4"/>
  <c r="L431" i="4"/>
  <c r="J431" i="4"/>
  <c r="L430" i="4"/>
  <c r="J430" i="4"/>
  <c r="L429" i="4"/>
  <c r="J429" i="4"/>
  <c r="L428" i="4"/>
  <c r="J428" i="4"/>
  <c r="L427" i="4"/>
  <c r="J427" i="4"/>
  <c r="L426" i="4"/>
  <c r="J426" i="4"/>
  <c r="L425" i="4"/>
  <c r="J425" i="4"/>
  <c r="L424" i="4"/>
  <c r="J424" i="4"/>
  <c r="L423" i="4"/>
  <c r="J423" i="4"/>
  <c r="L422" i="4"/>
  <c r="J422" i="4"/>
  <c r="L421" i="4"/>
  <c r="J421" i="4"/>
  <c r="L420" i="4"/>
  <c r="J420" i="4"/>
  <c r="L419" i="4"/>
  <c r="J419" i="4"/>
  <c r="L418" i="4"/>
  <c r="J418" i="4"/>
  <c r="L417" i="4"/>
  <c r="J417" i="4"/>
  <c r="L416" i="4"/>
  <c r="J416" i="4"/>
  <c r="L415" i="4"/>
  <c r="J415" i="4"/>
  <c r="L414" i="4"/>
  <c r="J414" i="4"/>
  <c r="L413" i="4"/>
  <c r="J413" i="4"/>
  <c r="L412" i="4"/>
  <c r="J412" i="4"/>
  <c r="L411" i="4"/>
  <c r="J411" i="4"/>
  <c r="L410" i="4"/>
  <c r="J410" i="4"/>
  <c r="L409" i="4"/>
  <c r="J409" i="4"/>
  <c r="L408" i="4"/>
  <c r="J408" i="4"/>
  <c r="L407" i="4"/>
  <c r="J407" i="4"/>
  <c r="L406" i="4"/>
  <c r="J406" i="4"/>
  <c r="L405" i="4"/>
  <c r="J405" i="4"/>
  <c r="L404" i="4"/>
  <c r="J404" i="4"/>
  <c r="L403" i="4"/>
  <c r="J403" i="4"/>
  <c r="L402" i="4"/>
  <c r="J402" i="4"/>
  <c r="L401" i="4"/>
  <c r="J401" i="4"/>
  <c r="L400" i="4"/>
  <c r="J400" i="4"/>
  <c r="L399" i="4"/>
  <c r="J399" i="4"/>
  <c r="L398" i="4"/>
  <c r="J398" i="4"/>
  <c r="L397" i="4"/>
  <c r="J397" i="4"/>
  <c r="L396" i="4"/>
  <c r="J396" i="4"/>
  <c r="L395" i="4"/>
  <c r="J395" i="4"/>
  <c r="L394" i="4"/>
  <c r="J394" i="4"/>
  <c r="L393" i="4"/>
  <c r="J393" i="4"/>
  <c r="L392" i="4"/>
  <c r="J392" i="4"/>
  <c r="L391" i="4"/>
  <c r="J391" i="4"/>
  <c r="L390" i="4"/>
  <c r="J390" i="4"/>
  <c r="L389" i="4"/>
  <c r="J389" i="4"/>
  <c r="L388" i="4"/>
  <c r="J388" i="4"/>
  <c r="L387" i="4"/>
  <c r="J387" i="4"/>
  <c r="L386" i="4"/>
  <c r="J386" i="4"/>
  <c r="L385" i="4"/>
  <c r="J385" i="4"/>
  <c r="L384" i="4"/>
  <c r="J384" i="4"/>
  <c r="L383" i="4"/>
  <c r="J383" i="4"/>
  <c r="L382" i="4"/>
  <c r="J382" i="4"/>
  <c r="L381" i="4"/>
  <c r="J381" i="4"/>
  <c r="L380" i="4"/>
  <c r="J380" i="4"/>
  <c r="L379" i="4"/>
  <c r="J379" i="4"/>
  <c r="L378" i="4"/>
  <c r="J378" i="4"/>
  <c r="L377" i="4"/>
  <c r="J377" i="4"/>
  <c r="L376" i="4"/>
  <c r="J376" i="4"/>
  <c r="L375" i="4"/>
  <c r="J375" i="4"/>
  <c r="L374" i="4"/>
  <c r="J374" i="4"/>
  <c r="L373" i="4"/>
  <c r="J373" i="4"/>
  <c r="L372" i="4"/>
  <c r="J372" i="4"/>
  <c r="L371" i="4"/>
  <c r="J371" i="4"/>
  <c r="L370" i="4"/>
  <c r="J370" i="4"/>
  <c r="L369" i="4"/>
  <c r="J369" i="4"/>
  <c r="L368" i="4"/>
  <c r="J368" i="4"/>
  <c r="L367" i="4"/>
  <c r="J367" i="4"/>
  <c r="L366" i="4"/>
  <c r="J366" i="4"/>
  <c r="L365" i="4"/>
  <c r="J365" i="4"/>
  <c r="L364" i="4"/>
  <c r="J364" i="4"/>
  <c r="L363" i="4"/>
  <c r="J363" i="4"/>
  <c r="L362" i="4"/>
  <c r="J362" i="4"/>
  <c r="L361" i="4"/>
  <c r="J361" i="4"/>
  <c r="L360" i="4"/>
  <c r="J360" i="4"/>
  <c r="L359" i="4"/>
  <c r="J359" i="4"/>
  <c r="L358" i="4"/>
  <c r="J358" i="4"/>
  <c r="L357" i="4"/>
  <c r="J357" i="4"/>
  <c r="L356" i="4"/>
  <c r="J356" i="4"/>
  <c r="L355" i="4"/>
  <c r="J355" i="4"/>
  <c r="L354" i="4"/>
  <c r="J354" i="4"/>
  <c r="L353" i="4"/>
  <c r="J353" i="4"/>
  <c r="L352" i="4"/>
  <c r="J352" i="4"/>
  <c r="L351" i="4"/>
  <c r="J351" i="4"/>
  <c r="L350" i="4"/>
  <c r="J350" i="4"/>
  <c r="L349" i="4"/>
  <c r="J349" i="4"/>
  <c r="L348" i="4"/>
  <c r="J348" i="4"/>
  <c r="L347" i="4"/>
  <c r="J347" i="4"/>
  <c r="L346" i="4"/>
  <c r="J346" i="4"/>
  <c r="L345" i="4"/>
  <c r="J345" i="4"/>
  <c r="L344" i="4"/>
  <c r="J344" i="4"/>
  <c r="L343" i="4"/>
  <c r="J343" i="4"/>
  <c r="L342" i="4"/>
  <c r="J342" i="4"/>
  <c r="L341" i="4"/>
  <c r="J341" i="4"/>
  <c r="L340" i="4"/>
  <c r="J340" i="4"/>
  <c r="L339" i="4"/>
  <c r="J339" i="4"/>
  <c r="L338" i="4"/>
  <c r="J338" i="4"/>
  <c r="L337" i="4"/>
  <c r="J337" i="4"/>
  <c r="L336" i="4"/>
  <c r="J336" i="4"/>
  <c r="L335" i="4"/>
  <c r="J335" i="4"/>
  <c r="L334" i="4"/>
  <c r="J334" i="4"/>
  <c r="L333" i="4"/>
  <c r="J333" i="4"/>
  <c r="L332" i="4"/>
  <c r="J332" i="4"/>
  <c r="L331" i="4"/>
  <c r="J331" i="4"/>
  <c r="L330" i="4"/>
  <c r="J330" i="4"/>
  <c r="L329" i="4"/>
  <c r="J329" i="4"/>
  <c r="L328" i="4"/>
  <c r="J328" i="4"/>
  <c r="L327" i="4"/>
  <c r="J327" i="4"/>
  <c r="L326" i="4"/>
  <c r="J326" i="4"/>
  <c r="L325" i="4"/>
  <c r="J325" i="4"/>
  <c r="L324" i="4"/>
  <c r="J324" i="4"/>
  <c r="L323" i="4"/>
  <c r="J323" i="4"/>
  <c r="L322" i="4"/>
  <c r="J322" i="4"/>
  <c r="L321" i="4"/>
  <c r="J321" i="4"/>
  <c r="L320" i="4"/>
  <c r="J320" i="4"/>
  <c r="L319" i="4"/>
  <c r="J319" i="4"/>
  <c r="L318" i="4"/>
  <c r="J318" i="4"/>
  <c r="L317" i="4"/>
  <c r="J317" i="4"/>
  <c r="L316" i="4"/>
  <c r="J316" i="4"/>
  <c r="L315" i="4"/>
  <c r="J315" i="4"/>
  <c r="L314" i="4"/>
  <c r="J314" i="4"/>
  <c r="L313" i="4"/>
  <c r="J313" i="4"/>
  <c r="L312" i="4"/>
  <c r="J312" i="4"/>
  <c r="L311" i="4"/>
  <c r="J311" i="4"/>
  <c r="L310" i="4"/>
  <c r="J310" i="4"/>
  <c r="L309" i="4"/>
  <c r="J309" i="4"/>
  <c r="L308" i="4"/>
  <c r="J308" i="4"/>
  <c r="L307" i="4"/>
  <c r="J307" i="4"/>
  <c r="L306" i="4"/>
  <c r="J306" i="4"/>
  <c r="L305" i="4"/>
  <c r="J305" i="4"/>
  <c r="L304" i="4"/>
  <c r="J304" i="4"/>
  <c r="L303" i="4"/>
  <c r="J303" i="4"/>
  <c r="L302" i="4"/>
  <c r="J302" i="4"/>
  <c r="L301" i="4"/>
  <c r="J301" i="4"/>
  <c r="L300" i="4"/>
  <c r="J300" i="4"/>
  <c r="L299" i="4"/>
  <c r="J299" i="4"/>
  <c r="L298" i="4"/>
  <c r="J298" i="4"/>
  <c r="L297" i="4"/>
  <c r="J297" i="4"/>
  <c r="L296" i="4"/>
  <c r="J296" i="4"/>
  <c r="L295" i="4"/>
  <c r="J295" i="4"/>
  <c r="L294" i="4"/>
  <c r="J294" i="4"/>
  <c r="L293" i="4"/>
  <c r="J293" i="4"/>
  <c r="L292" i="4"/>
  <c r="J292" i="4"/>
  <c r="L291" i="4"/>
  <c r="J291" i="4"/>
  <c r="L290" i="4"/>
  <c r="J290" i="4"/>
  <c r="L289" i="4"/>
  <c r="J289" i="4"/>
  <c r="L288" i="4"/>
  <c r="J288" i="4"/>
  <c r="L287" i="4"/>
  <c r="J287" i="4"/>
  <c r="L286" i="4"/>
  <c r="J286" i="4"/>
  <c r="L285" i="4"/>
  <c r="J285" i="4"/>
  <c r="L284" i="4"/>
  <c r="J284" i="4"/>
  <c r="L283" i="4"/>
  <c r="J283" i="4"/>
  <c r="L282" i="4"/>
  <c r="J282" i="4"/>
  <c r="L281" i="4"/>
  <c r="J281" i="4"/>
  <c r="L280" i="4"/>
  <c r="J280" i="4"/>
  <c r="L279" i="4"/>
  <c r="J279" i="4"/>
  <c r="L278" i="4"/>
  <c r="J278" i="4"/>
  <c r="L277" i="4"/>
  <c r="J277" i="4"/>
  <c r="L276" i="4"/>
  <c r="J276" i="4"/>
  <c r="L275" i="4"/>
  <c r="J275" i="4"/>
  <c r="L274" i="4"/>
  <c r="J274" i="4"/>
  <c r="L273" i="4"/>
  <c r="J273" i="4"/>
  <c r="L272" i="4"/>
  <c r="J272" i="4"/>
  <c r="L271" i="4"/>
  <c r="J271" i="4"/>
  <c r="L270" i="4"/>
  <c r="J270" i="4"/>
  <c r="L269" i="4"/>
  <c r="J269" i="4"/>
  <c r="L268" i="4"/>
  <c r="J268" i="4"/>
  <c r="L267" i="4"/>
  <c r="J267" i="4"/>
  <c r="L266" i="4"/>
  <c r="J266" i="4"/>
  <c r="L265" i="4"/>
  <c r="J265" i="4"/>
  <c r="L264" i="4"/>
  <c r="J264" i="4"/>
  <c r="L263" i="4"/>
  <c r="J263" i="4"/>
  <c r="L262" i="4"/>
  <c r="J262" i="4"/>
  <c r="L261" i="4"/>
  <c r="J261" i="4"/>
  <c r="L260" i="4"/>
  <c r="J260" i="4"/>
  <c r="L259" i="4"/>
  <c r="J259" i="4"/>
  <c r="L258" i="4"/>
  <c r="J258" i="4"/>
  <c r="L257" i="4"/>
  <c r="J257" i="4"/>
  <c r="L256" i="4"/>
  <c r="J256" i="4"/>
  <c r="L255" i="4"/>
  <c r="J255" i="4"/>
  <c r="L254" i="4"/>
  <c r="J254" i="4"/>
  <c r="L253" i="4"/>
  <c r="J253" i="4"/>
  <c r="L252" i="4"/>
  <c r="J252" i="4"/>
  <c r="L251" i="4"/>
  <c r="J251" i="4"/>
  <c r="L250" i="4"/>
  <c r="J250" i="4"/>
  <c r="L249" i="4"/>
  <c r="J249" i="4"/>
  <c r="L248" i="4"/>
  <c r="J248" i="4"/>
  <c r="L247" i="4"/>
  <c r="J247" i="4"/>
  <c r="L246" i="4"/>
  <c r="J246" i="4"/>
  <c r="L245" i="4"/>
  <c r="J245" i="4"/>
  <c r="L244" i="4"/>
  <c r="J244" i="4"/>
  <c r="L243" i="4"/>
  <c r="J243" i="4"/>
  <c r="L242" i="4"/>
  <c r="J242" i="4"/>
  <c r="L241" i="4"/>
  <c r="J241" i="4"/>
  <c r="L240" i="4"/>
  <c r="J240" i="4"/>
  <c r="L239" i="4"/>
  <c r="J239" i="4"/>
  <c r="L238" i="4"/>
  <c r="J238" i="4"/>
  <c r="L237" i="4"/>
  <c r="J237" i="4"/>
  <c r="L236" i="4"/>
  <c r="J236" i="4"/>
  <c r="L235" i="4"/>
  <c r="J235" i="4"/>
  <c r="L234" i="4"/>
  <c r="J234" i="4"/>
  <c r="L233" i="4"/>
  <c r="J233" i="4"/>
  <c r="L232" i="4"/>
  <c r="J232" i="4"/>
  <c r="L231" i="4"/>
  <c r="J231" i="4"/>
  <c r="L230" i="4"/>
  <c r="J230" i="4"/>
  <c r="L229" i="4"/>
  <c r="J229" i="4"/>
  <c r="L228" i="4"/>
  <c r="J228" i="4"/>
  <c r="L227" i="4"/>
  <c r="J227" i="4"/>
  <c r="L226" i="4"/>
  <c r="J226" i="4"/>
  <c r="L225" i="4"/>
  <c r="J225" i="4"/>
  <c r="L224" i="4"/>
  <c r="J224" i="4"/>
  <c r="L223" i="4"/>
  <c r="J223" i="4"/>
  <c r="L222" i="4"/>
  <c r="J222" i="4"/>
  <c r="L221" i="4"/>
  <c r="J221" i="4"/>
  <c r="L220" i="4"/>
  <c r="J220" i="4"/>
  <c r="L219" i="4"/>
  <c r="J219" i="4"/>
  <c r="L218" i="4"/>
  <c r="J218" i="4"/>
  <c r="L217" i="4"/>
  <c r="J217" i="4"/>
  <c r="L216" i="4"/>
  <c r="J216" i="4"/>
  <c r="L215" i="4"/>
  <c r="J215" i="4"/>
  <c r="L214" i="4"/>
  <c r="J214" i="4"/>
  <c r="L213" i="4"/>
  <c r="J213" i="4"/>
  <c r="L212" i="4"/>
  <c r="J212" i="4"/>
  <c r="L211" i="4"/>
  <c r="J211" i="4"/>
  <c r="L210" i="4"/>
  <c r="J210" i="4"/>
  <c r="L209" i="4"/>
  <c r="J209" i="4"/>
  <c r="L208" i="4"/>
  <c r="J208" i="4"/>
  <c r="L207" i="4"/>
  <c r="J207" i="4"/>
  <c r="L206" i="4"/>
  <c r="J206" i="4"/>
  <c r="L205" i="4"/>
  <c r="J205" i="4"/>
  <c r="L204" i="4"/>
  <c r="J204" i="4"/>
  <c r="L203" i="4"/>
  <c r="J203" i="4"/>
  <c r="L202" i="4"/>
  <c r="J202" i="4"/>
  <c r="L201" i="4"/>
  <c r="J201" i="4"/>
  <c r="L200" i="4"/>
  <c r="J200" i="4"/>
  <c r="L199" i="4"/>
  <c r="J199" i="4"/>
  <c r="L198" i="4"/>
  <c r="J198" i="4"/>
  <c r="L197" i="4"/>
  <c r="J197" i="4"/>
  <c r="L196" i="4"/>
  <c r="J196" i="4"/>
  <c r="L195" i="4"/>
  <c r="J195" i="4"/>
  <c r="L194" i="4"/>
  <c r="J194" i="4"/>
  <c r="L193" i="4"/>
  <c r="J193" i="4"/>
  <c r="L192" i="4"/>
  <c r="J192" i="4"/>
  <c r="L191" i="4"/>
  <c r="J191" i="4"/>
  <c r="L190" i="4"/>
  <c r="J190" i="4"/>
  <c r="L189" i="4"/>
  <c r="J189" i="4"/>
  <c r="L188" i="4"/>
  <c r="J188" i="4"/>
  <c r="L187" i="4"/>
  <c r="J187" i="4"/>
  <c r="L186" i="4"/>
  <c r="J186" i="4"/>
  <c r="L185" i="4"/>
  <c r="J185" i="4"/>
  <c r="L184" i="4"/>
  <c r="J184" i="4"/>
  <c r="L183" i="4"/>
  <c r="J183" i="4"/>
  <c r="L182" i="4"/>
  <c r="J182" i="4"/>
  <c r="L181" i="4"/>
  <c r="J181" i="4"/>
  <c r="L180" i="4"/>
  <c r="J180" i="4"/>
  <c r="L179" i="4"/>
  <c r="J179" i="4"/>
  <c r="L178" i="4"/>
  <c r="J178" i="4"/>
  <c r="L177" i="4"/>
  <c r="J177" i="4"/>
  <c r="L176" i="4"/>
  <c r="J176" i="4"/>
  <c r="L175" i="4"/>
  <c r="J175" i="4"/>
  <c r="L174" i="4"/>
  <c r="J174" i="4"/>
  <c r="L173" i="4"/>
  <c r="J173" i="4"/>
  <c r="L172" i="4"/>
  <c r="J172" i="4"/>
  <c r="L171" i="4"/>
  <c r="J171" i="4"/>
  <c r="L170" i="4"/>
  <c r="J170" i="4"/>
  <c r="L169" i="4"/>
  <c r="J169" i="4"/>
  <c r="L168" i="4"/>
  <c r="J168" i="4"/>
  <c r="L167" i="4"/>
  <c r="J167" i="4"/>
  <c r="L166" i="4"/>
  <c r="J166" i="4"/>
  <c r="L165" i="4"/>
  <c r="J165" i="4"/>
  <c r="L164" i="4"/>
  <c r="J164" i="4"/>
  <c r="L163" i="4"/>
  <c r="J163" i="4"/>
  <c r="L162" i="4"/>
  <c r="J162" i="4"/>
  <c r="L161" i="4"/>
  <c r="J161" i="4"/>
  <c r="L160" i="4"/>
  <c r="J160" i="4"/>
  <c r="L159" i="4"/>
  <c r="J159" i="4"/>
  <c r="L158" i="4"/>
  <c r="J158" i="4"/>
  <c r="L157" i="4"/>
  <c r="J157" i="4"/>
  <c r="L156" i="4"/>
  <c r="J156" i="4"/>
  <c r="L155" i="4"/>
  <c r="J155" i="4"/>
  <c r="L154" i="4"/>
  <c r="J154" i="4"/>
  <c r="L153" i="4"/>
  <c r="J153" i="4"/>
  <c r="L152" i="4"/>
  <c r="J152" i="4"/>
  <c r="L151" i="4"/>
  <c r="J151" i="4"/>
  <c r="L150" i="4"/>
  <c r="J150" i="4"/>
  <c r="L149" i="4"/>
  <c r="J149" i="4"/>
  <c r="L148" i="4"/>
  <c r="J148" i="4"/>
  <c r="L147" i="4"/>
  <c r="J147" i="4"/>
  <c r="L146" i="4"/>
  <c r="J146" i="4"/>
  <c r="L145" i="4"/>
  <c r="J145" i="4"/>
  <c r="L144" i="4"/>
  <c r="J144" i="4"/>
  <c r="L143" i="4"/>
  <c r="J143" i="4"/>
  <c r="L142" i="4"/>
  <c r="J142" i="4"/>
  <c r="L141" i="4"/>
  <c r="J141" i="4"/>
  <c r="L140" i="4"/>
  <c r="J140" i="4"/>
  <c r="L139" i="4"/>
  <c r="J139" i="4"/>
  <c r="L138" i="4"/>
  <c r="J138" i="4"/>
  <c r="L137" i="4"/>
  <c r="J137" i="4"/>
  <c r="L136" i="4"/>
  <c r="J136" i="4"/>
  <c r="L135" i="4"/>
  <c r="J135" i="4"/>
  <c r="L134" i="4"/>
  <c r="J134" i="4"/>
  <c r="L133" i="4"/>
  <c r="J133" i="4"/>
  <c r="L132" i="4"/>
  <c r="J132" i="4"/>
  <c r="L131" i="4"/>
  <c r="J131" i="4"/>
  <c r="L130" i="4"/>
  <c r="J130" i="4"/>
  <c r="L129" i="4"/>
  <c r="J129" i="4"/>
  <c r="L128" i="4"/>
  <c r="J128" i="4"/>
  <c r="L127" i="4"/>
  <c r="J127" i="4"/>
  <c r="L126" i="4"/>
  <c r="J126" i="4"/>
  <c r="L125" i="4"/>
  <c r="J125" i="4"/>
  <c r="L124" i="4"/>
  <c r="J124" i="4"/>
  <c r="L123" i="4"/>
  <c r="J123" i="4"/>
  <c r="L122" i="4"/>
  <c r="J122" i="4"/>
  <c r="L121" i="4"/>
  <c r="J121" i="4"/>
  <c r="L120" i="4"/>
  <c r="J120" i="4"/>
  <c r="L119" i="4"/>
  <c r="J119" i="4"/>
  <c r="L118" i="4"/>
  <c r="J118" i="4"/>
  <c r="L117" i="4"/>
  <c r="J117" i="4"/>
  <c r="L116" i="4"/>
  <c r="J116" i="4"/>
  <c r="L115" i="4"/>
  <c r="J115" i="4"/>
  <c r="L114" i="4"/>
  <c r="J114" i="4"/>
  <c r="L113" i="4"/>
  <c r="J113" i="4"/>
  <c r="L112" i="4"/>
  <c r="J112" i="4"/>
  <c r="L111" i="4"/>
  <c r="J111" i="4"/>
  <c r="L110" i="4"/>
  <c r="J110" i="4"/>
  <c r="L109" i="4"/>
  <c r="J109" i="4"/>
  <c r="L108" i="4"/>
  <c r="J108" i="4"/>
  <c r="L107" i="4"/>
  <c r="J107" i="4"/>
  <c r="L106" i="4"/>
  <c r="J106" i="4"/>
  <c r="L105" i="4"/>
  <c r="J105" i="4"/>
  <c r="L104" i="4"/>
  <c r="J104" i="4"/>
  <c r="L103" i="4"/>
  <c r="J103" i="4"/>
  <c r="L102" i="4"/>
  <c r="J102" i="4"/>
  <c r="L101" i="4"/>
  <c r="J101" i="4"/>
  <c r="L100" i="4"/>
  <c r="J100" i="4"/>
  <c r="L99" i="4"/>
  <c r="J99" i="4"/>
  <c r="L98" i="4"/>
  <c r="J98" i="4"/>
  <c r="L97" i="4"/>
  <c r="J97" i="4"/>
  <c r="L96" i="4"/>
  <c r="J96" i="4"/>
  <c r="L95" i="4"/>
  <c r="J95" i="4"/>
  <c r="L94" i="4"/>
  <c r="J94" i="4"/>
  <c r="L93" i="4"/>
  <c r="J93" i="4"/>
  <c r="L92" i="4"/>
  <c r="J92" i="4"/>
  <c r="L91" i="4"/>
  <c r="J91" i="4"/>
  <c r="L90" i="4"/>
  <c r="J90" i="4"/>
  <c r="L89" i="4"/>
  <c r="J89" i="4"/>
  <c r="L88" i="4"/>
  <c r="J88" i="4"/>
  <c r="L87" i="4"/>
  <c r="J87" i="4"/>
  <c r="L86" i="4"/>
  <c r="J86" i="4"/>
  <c r="L85" i="4"/>
  <c r="J85" i="4"/>
  <c r="L84" i="4"/>
  <c r="J84" i="4"/>
  <c r="L83" i="4"/>
  <c r="J83" i="4"/>
  <c r="L82" i="4"/>
  <c r="J82" i="4"/>
  <c r="L81" i="4"/>
  <c r="J81" i="4"/>
  <c r="L80" i="4"/>
  <c r="J80" i="4"/>
  <c r="L79" i="4"/>
  <c r="J79" i="4"/>
  <c r="L78" i="4"/>
  <c r="J78" i="4"/>
  <c r="L77" i="4"/>
  <c r="J77" i="4"/>
  <c r="L76" i="4"/>
  <c r="J76" i="4"/>
  <c r="L75" i="4"/>
  <c r="J75" i="4"/>
  <c r="L74" i="4"/>
  <c r="J74" i="4"/>
  <c r="L73" i="4"/>
  <c r="J73" i="4"/>
  <c r="L72" i="4"/>
  <c r="J72" i="4"/>
  <c r="L71" i="4"/>
  <c r="J71" i="4"/>
  <c r="L70" i="4"/>
  <c r="J70" i="4"/>
  <c r="L69" i="4"/>
  <c r="J69" i="4"/>
  <c r="L68" i="4"/>
  <c r="J68" i="4"/>
  <c r="L67" i="4"/>
  <c r="J67" i="4"/>
  <c r="L66" i="4"/>
  <c r="J66" i="4"/>
  <c r="L65" i="4"/>
  <c r="J65" i="4"/>
  <c r="L64" i="4"/>
  <c r="J64" i="4"/>
  <c r="L63" i="4"/>
  <c r="J63" i="4"/>
  <c r="L62" i="4"/>
  <c r="L61" i="4"/>
  <c r="L60" i="4"/>
  <c r="L59" i="4"/>
  <c r="L58" i="4"/>
  <c r="L57" i="4"/>
  <c r="J57" i="4"/>
  <c r="L56" i="4"/>
  <c r="L55" i="4"/>
  <c r="J55" i="4"/>
  <c r="L54" i="4"/>
  <c r="J54" i="4"/>
  <c r="L53" i="4"/>
  <c r="J53" i="4"/>
  <c r="L52" i="4"/>
  <c r="J52" i="4"/>
  <c r="L51" i="4"/>
  <c r="J51" i="4"/>
  <c r="L50" i="4"/>
  <c r="J50" i="4"/>
  <c r="L49" i="4"/>
  <c r="J49" i="4"/>
  <c r="L48" i="4"/>
  <c r="J48" i="4"/>
  <c r="L47" i="4"/>
  <c r="J47" i="4"/>
  <c r="L46" i="4"/>
  <c r="J46" i="4"/>
  <c r="L45" i="4"/>
  <c r="J45" i="4"/>
  <c r="L44" i="4"/>
  <c r="J44" i="4"/>
  <c r="L43" i="4"/>
  <c r="J43" i="4"/>
  <c r="L42" i="4"/>
  <c r="J42" i="4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M495" i="4" s="1"/>
  <c r="J8" i="4"/>
  <c r="L7" i="4"/>
  <c r="J7" i="4"/>
  <c r="L6" i="4"/>
  <c r="J6" i="4"/>
  <c r="M5" i="4"/>
  <c r="L5" i="4"/>
  <c r="J5" i="4"/>
  <c r="L4" i="4"/>
  <c r="J4" i="4"/>
  <c r="L3" i="4"/>
  <c r="M40" i="4" s="1"/>
  <c r="J3" i="4"/>
  <c r="L2" i="4"/>
  <c r="M500" i="4" s="1"/>
  <c r="J2" i="4"/>
  <c r="K14" i="3"/>
  <c r="N14" i="3" s="1"/>
  <c r="H14" i="3"/>
  <c r="G14" i="3"/>
  <c r="M14" i="3" s="1"/>
  <c r="K13" i="3"/>
  <c r="N13" i="3" s="1"/>
  <c r="G13" i="3"/>
  <c r="M13" i="3" s="1"/>
  <c r="N12" i="3"/>
  <c r="K12" i="3"/>
  <c r="L12" i="3" s="1"/>
  <c r="G12" i="3"/>
  <c r="M12" i="3" s="1"/>
  <c r="L11" i="3"/>
  <c r="K11" i="3"/>
  <c r="N11" i="3" s="1"/>
  <c r="G11" i="3"/>
  <c r="H11" i="3" s="1"/>
  <c r="M11" i="3" s="1"/>
  <c r="K10" i="3"/>
  <c r="H10" i="3"/>
  <c r="G10" i="3"/>
  <c r="M10" i="3" s="1"/>
  <c r="K9" i="3"/>
  <c r="G9" i="3"/>
  <c r="K8" i="3"/>
  <c r="L8" i="3" s="1"/>
  <c r="N8" i="3" s="1"/>
  <c r="G8" i="3"/>
  <c r="L7" i="3"/>
  <c r="K7" i="3"/>
  <c r="N7" i="3" s="1"/>
  <c r="G7" i="3"/>
  <c r="H7" i="3" s="1"/>
  <c r="M7" i="3" s="1"/>
  <c r="K6" i="3"/>
  <c r="H6" i="3"/>
  <c r="G6" i="3"/>
  <c r="M6" i="3" s="1"/>
  <c r="K5" i="3"/>
  <c r="G5" i="3"/>
  <c r="M5" i="3" s="1"/>
  <c r="K4" i="3"/>
  <c r="L4" i="3" s="1"/>
  <c r="N4" i="3" s="1"/>
  <c r="G4" i="3"/>
  <c r="M3" i="3"/>
  <c r="L3" i="3"/>
  <c r="K3" i="3"/>
  <c r="N3" i="3" s="1"/>
  <c r="G3" i="3"/>
  <c r="H3" i="3" s="1"/>
  <c r="K2" i="3"/>
  <c r="H2" i="3"/>
  <c r="G2" i="3"/>
  <c r="M2" i="3" s="1"/>
  <c r="N10" i="3" l="1"/>
  <c r="N9" i="3"/>
  <c r="M45" i="4"/>
  <c r="M53" i="4"/>
  <c r="M79" i="4"/>
  <c r="M143" i="4"/>
  <c r="M167" i="4"/>
  <c r="M391" i="4"/>
  <c r="M399" i="4"/>
  <c r="M407" i="4"/>
  <c r="M455" i="4"/>
  <c r="M487" i="4"/>
  <c r="M60" i="4"/>
  <c r="M66" i="4"/>
  <c r="M74" i="4"/>
  <c r="M82" i="4"/>
  <c r="M90" i="4"/>
  <c r="M98" i="4"/>
  <c r="M106" i="4"/>
  <c r="M114" i="4"/>
  <c r="M122" i="4"/>
  <c r="M130" i="4"/>
  <c r="M138" i="4"/>
  <c r="M146" i="4"/>
  <c r="M154" i="4"/>
  <c r="M162" i="4"/>
  <c r="M170" i="4"/>
  <c r="M178" i="4"/>
  <c r="M186" i="4"/>
  <c r="M194" i="4"/>
  <c r="M202" i="4"/>
  <c r="M210" i="4"/>
  <c r="M218" i="4"/>
  <c r="M226" i="4"/>
  <c r="M234" i="4"/>
  <c r="M242" i="4"/>
  <c r="M250" i="4"/>
  <c r="M258" i="4"/>
  <c r="M266" i="4"/>
  <c r="M274" i="4"/>
  <c r="M282" i="4"/>
  <c r="M290" i="4"/>
  <c r="M298" i="4"/>
  <c r="M306" i="4"/>
  <c r="M314" i="4"/>
  <c r="M322" i="4"/>
  <c r="M330" i="4"/>
  <c r="M338" i="4"/>
  <c r="M346" i="4"/>
  <c r="M354" i="4"/>
  <c r="M362" i="4"/>
  <c r="M370" i="4"/>
  <c r="M378" i="4"/>
  <c r="M386" i="4"/>
  <c r="M394" i="4"/>
  <c r="M402" i="4"/>
  <c r="M410" i="4"/>
  <c r="M418" i="4"/>
  <c r="M426" i="4"/>
  <c r="M434" i="4"/>
  <c r="M442" i="4"/>
  <c r="M450" i="4"/>
  <c r="M458" i="4"/>
  <c r="M466" i="4"/>
  <c r="M474" i="4"/>
  <c r="M482" i="4"/>
  <c r="M490" i="4"/>
  <c r="M498" i="4"/>
  <c r="M175" i="4"/>
  <c r="M183" i="4"/>
  <c r="M191" i="4"/>
  <c r="M199" i="4"/>
  <c r="M295" i="4"/>
  <c r="M303" i="4"/>
  <c r="M343" i="4"/>
  <c r="M367" i="4"/>
  <c r="M375" i="4"/>
  <c r="M479" i="4"/>
  <c r="M8" i="4"/>
  <c r="M16" i="4"/>
  <c r="M24" i="4"/>
  <c r="M48" i="4"/>
  <c r="L2" i="3"/>
  <c r="N2" i="3" s="1"/>
  <c r="H5" i="3"/>
  <c r="L6" i="3"/>
  <c r="N6" i="3" s="1"/>
  <c r="H9" i="3"/>
  <c r="M9" i="3" s="1"/>
  <c r="L10" i="3"/>
  <c r="H13" i="3"/>
  <c r="L14" i="3"/>
  <c r="M3" i="4"/>
  <c r="M11" i="4"/>
  <c r="M19" i="4"/>
  <c r="M27" i="4"/>
  <c r="M35" i="4"/>
  <c r="M43" i="4"/>
  <c r="M51" i="4"/>
  <c r="M69" i="4"/>
  <c r="M77" i="4"/>
  <c r="M85" i="4"/>
  <c r="M93" i="4"/>
  <c r="M101" i="4"/>
  <c r="M109" i="4"/>
  <c r="M117" i="4"/>
  <c r="M125" i="4"/>
  <c r="M133" i="4"/>
  <c r="M141" i="4"/>
  <c r="M149" i="4"/>
  <c r="M157" i="4"/>
  <c r="M165" i="4"/>
  <c r="M173" i="4"/>
  <c r="M181" i="4"/>
  <c r="M189" i="4"/>
  <c r="M197" i="4"/>
  <c r="M205" i="4"/>
  <c r="M213" i="4"/>
  <c r="M221" i="4"/>
  <c r="M229" i="4"/>
  <c r="M237" i="4"/>
  <c r="M245" i="4"/>
  <c r="M253" i="4"/>
  <c r="M261" i="4"/>
  <c r="M269" i="4"/>
  <c r="M277" i="4"/>
  <c r="M285" i="4"/>
  <c r="M293" i="4"/>
  <c r="M301" i="4"/>
  <c r="M309" i="4"/>
  <c r="M317" i="4"/>
  <c r="M325" i="4"/>
  <c r="M333" i="4"/>
  <c r="M341" i="4"/>
  <c r="M349" i="4"/>
  <c r="M357" i="4"/>
  <c r="M365" i="4"/>
  <c r="M373" i="4"/>
  <c r="M381" i="4"/>
  <c r="M389" i="4"/>
  <c r="M397" i="4"/>
  <c r="M405" i="4"/>
  <c r="M413" i="4"/>
  <c r="M421" i="4"/>
  <c r="M429" i="4"/>
  <c r="M437" i="4"/>
  <c r="M445" i="4"/>
  <c r="M453" i="4"/>
  <c r="M461" i="4"/>
  <c r="M469" i="4"/>
  <c r="M477" i="4"/>
  <c r="M485" i="4"/>
  <c r="M493" i="4"/>
  <c r="M29" i="4"/>
  <c r="M56" i="4"/>
  <c r="M63" i="4"/>
  <c r="M71" i="4"/>
  <c r="M95" i="4"/>
  <c r="M103" i="4"/>
  <c r="M119" i="4"/>
  <c r="M151" i="4"/>
  <c r="M231" i="4"/>
  <c r="M383" i="4"/>
  <c r="M431" i="4"/>
  <c r="M471" i="4"/>
  <c r="M6" i="4"/>
  <c r="M14" i="4"/>
  <c r="M22" i="4"/>
  <c r="M30" i="4"/>
  <c r="M38" i="4"/>
  <c r="M46" i="4"/>
  <c r="M54" i="4"/>
  <c r="M57" i="4"/>
  <c r="M61" i="4"/>
  <c r="M64" i="4"/>
  <c r="M72" i="4"/>
  <c r="M80" i="4"/>
  <c r="M88" i="4"/>
  <c r="M96" i="4"/>
  <c r="M104" i="4"/>
  <c r="M112" i="4"/>
  <c r="M120" i="4"/>
  <c r="M128" i="4"/>
  <c r="M136" i="4"/>
  <c r="M144" i="4"/>
  <c r="M152" i="4"/>
  <c r="M160" i="4"/>
  <c r="M168" i="4"/>
  <c r="M176" i="4"/>
  <c r="M184" i="4"/>
  <c r="M192" i="4"/>
  <c r="M200" i="4"/>
  <c r="M208" i="4"/>
  <c r="M216" i="4"/>
  <c r="M224" i="4"/>
  <c r="M232" i="4"/>
  <c r="M240" i="4"/>
  <c r="M248" i="4"/>
  <c r="M256" i="4"/>
  <c r="M264" i="4"/>
  <c r="M272" i="4"/>
  <c r="M280" i="4"/>
  <c r="M288" i="4"/>
  <c r="M296" i="4"/>
  <c r="M304" i="4"/>
  <c r="M312" i="4"/>
  <c r="M320" i="4"/>
  <c r="M328" i="4"/>
  <c r="M336" i="4"/>
  <c r="M344" i="4"/>
  <c r="M352" i="4"/>
  <c r="M360" i="4"/>
  <c r="M368" i="4"/>
  <c r="M376" i="4"/>
  <c r="M384" i="4"/>
  <c r="M392" i="4"/>
  <c r="M400" i="4"/>
  <c r="M408" i="4"/>
  <c r="M416" i="4"/>
  <c r="M424" i="4"/>
  <c r="M432" i="4"/>
  <c r="M440" i="4"/>
  <c r="M448" i="4"/>
  <c r="M456" i="4"/>
  <c r="M464" i="4"/>
  <c r="M472" i="4"/>
  <c r="M480" i="4"/>
  <c r="M488" i="4"/>
  <c r="M496" i="4"/>
  <c r="H4" i="3"/>
  <c r="M4" i="3" s="1"/>
  <c r="L5" i="3"/>
  <c r="N5" i="3" s="1"/>
  <c r="H8" i="3"/>
  <c r="M8" i="3" s="1"/>
  <c r="L9" i="3"/>
  <c r="H12" i="3"/>
  <c r="L13" i="3"/>
  <c r="M9" i="4"/>
  <c r="M17" i="4"/>
  <c r="M25" i="4"/>
  <c r="M33" i="4"/>
  <c r="M41" i="4"/>
  <c r="M49" i="4"/>
  <c r="M67" i="4"/>
  <c r="M75" i="4"/>
  <c r="M83" i="4"/>
  <c r="M91" i="4"/>
  <c r="M99" i="4"/>
  <c r="M107" i="4"/>
  <c r="M115" i="4"/>
  <c r="M123" i="4"/>
  <c r="M131" i="4"/>
  <c r="M139" i="4"/>
  <c r="M147" i="4"/>
  <c r="M155" i="4"/>
  <c r="M163" i="4"/>
  <c r="M171" i="4"/>
  <c r="M179" i="4"/>
  <c r="M187" i="4"/>
  <c r="M195" i="4"/>
  <c r="M203" i="4"/>
  <c r="M211" i="4"/>
  <c r="M219" i="4"/>
  <c r="M227" i="4"/>
  <c r="M235" i="4"/>
  <c r="M243" i="4"/>
  <c r="M251" i="4"/>
  <c r="M259" i="4"/>
  <c r="M267" i="4"/>
  <c r="M275" i="4"/>
  <c r="M283" i="4"/>
  <c r="M291" i="4"/>
  <c r="M299" i="4"/>
  <c r="M307" i="4"/>
  <c r="M315" i="4"/>
  <c r="M323" i="4"/>
  <c r="M331" i="4"/>
  <c r="M339" i="4"/>
  <c r="M347" i="4"/>
  <c r="M355" i="4"/>
  <c r="M363" i="4"/>
  <c r="M371" i="4"/>
  <c r="M379" i="4"/>
  <c r="M387" i="4"/>
  <c r="M395" i="4"/>
  <c r="M403" i="4"/>
  <c r="M411" i="4"/>
  <c r="M419" i="4"/>
  <c r="M427" i="4"/>
  <c r="M435" i="4"/>
  <c r="M443" i="4"/>
  <c r="M451" i="4"/>
  <c r="M459" i="4"/>
  <c r="M467" i="4"/>
  <c r="M475" i="4"/>
  <c r="M483" i="4"/>
  <c r="M491" i="4"/>
  <c r="M499" i="4"/>
  <c r="M32" i="4"/>
  <c r="M4" i="4"/>
  <c r="M12" i="4"/>
  <c r="M20" i="4"/>
  <c r="M28" i="4"/>
  <c r="M36" i="4"/>
  <c r="M44" i="4"/>
  <c r="M52" i="4"/>
  <c r="M58" i="4"/>
  <c r="M62" i="4"/>
  <c r="M70" i="4"/>
  <c r="M78" i="4"/>
  <c r="M86" i="4"/>
  <c r="M94" i="4"/>
  <c r="M102" i="4"/>
  <c r="M110" i="4"/>
  <c r="M118" i="4"/>
  <c r="M126" i="4"/>
  <c r="M134" i="4"/>
  <c r="M142" i="4"/>
  <c r="M150" i="4"/>
  <c r="M158" i="4"/>
  <c r="M166" i="4"/>
  <c r="M174" i="4"/>
  <c r="M182" i="4"/>
  <c r="M190" i="4"/>
  <c r="M198" i="4"/>
  <c r="M206" i="4"/>
  <c r="M214" i="4"/>
  <c r="M222" i="4"/>
  <c r="M230" i="4"/>
  <c r="M238" i="4"/>
  <c r="M246" i="4"/>
  <c r="M254" i="4"/>
  <c r="M262" i="4"/>
  <c r="M270" i="4"/>
  <c r="M278" i="4"/>
  <c r="M286" i="4"/>
  <c r="M294" i="4"/>
  <c r="M302" i="4"/>
  <c r="M310" i="4"/>
  <c r="M318" i="4"/>
  <c r="M326" i="4"/>
  <c r="M334" i="4"/>
  <c r="M342" i="4"/>
  <c r="M350" i="4"/>
  <c r="M358" i="4"/>
  <c r="M366" i="4"/>
  <c r="M374" i="4"/>
  <c r="M382" i="4"/>
  <c r="M390" i="4"/>
  <c r="M398" i="4"/>
  <c r="M406" i="4"/>
  <c r="M414" i="4"/>
  <c r="M422" i="4"/>
  <c r="M430" i="4"/>
  <c r="M438" i="4"/>
  <c r="M446" i="4"/>
  <c r="M454" i="4"/>
  <c r="M462" i="4"/>
  <c r="M470" i="4"/>
  <c r="M478" i="4"/>
  <c r="M486" i="4"/>
  <c r="M494" i="4"/>
  <c r="M159" i="4"/>
  <c r="M207" i="4"/>
  <c r="M215" i="4"/>
  <c r="M223" i="4"/>
  <c r="M239" i="4"/>
  <c r="M247" i="4"/>
  <c r="M255" i="4"/>
  <c r="M287" i="4"/>
  <c r="M311" i="4"/>
  <c r="M335" i="4"/>
  <c r="M415" i="4"/>
  <c r="M439" i="4"/>
  <c r="M447" i="4"/>
  <c r="M463" i="4"/>
  <c r="M7" i="4"/>
  <c r="M15" i="4"/>
  <c r="M23" i="4"/>
  <c r="M31" i="4"/>
  <c r="M39" i="4"/>
  <c r="M47" i="4"/>
  <c r="M55" i="4"/>
  <c r="M65" i="4"/>
  <c r="M73" i="4"/>
  <c r="M81" i="4"/>
  <c r="M89" i="4"/>
  <c r="M97" i="4"/>
  <c r="M105" i="4"/>
  <c r="M113" i="4"/>
  <c r="M121" i="4"/>
  <c r="M129" i="4"/>
  <c r="M137" i="4"/>
  <c r="M145" i="4"/>
  <c r="M153" i="4"/>
  <c r="M161" i="4"/>
  <c r="M169" i="4"/>
  <c r="M177" i="4"/>
  <c r="M185" i="4"/>
  <c r="M193" i="4"/>
  <c r="M201" i="4"/>
  <c r="M209" i="4"/>
  <c r="M217" i="4"/>
  <c r="M225" i="4"/>
  <c r="M233" i="4"/>
  <c r="M241" i="4"/>
  <c r="M249" i="4"/>
  <c r="M257" i="4"/>
  <c r="M265" i="4"/>
  <c r="M273" i="4"/>
  <c r="M281" i="4"/>
  <c r="M289" i="4"/>
  <c r="M297" i="4"/>
  <c r="M305" i="4"/>
  <c r="M313" i="4"/>
  <c r="M321" i="4"/>
  <c r="M329" i="4"/>
  <c r="M337" i="4"/>
  <c r="M345" i="4"/>
  <c r="M353" i="4"/>
  <c r="M361" i="4"/>
  <c r="M369" i="4"/>
  <c r="M377" i="4"/>
  <c r="M385" i="4"/>
  <c r="M393" i="4"/>
  <c r="M401" i="4"/>
  <c r="M409" i="4"/>
  <c r="M417" i="4"/>
  <c r="M425" i="4"/>
  <c r="M433" i="4"/>
  <c r="M441" i="4"/>
  <c r="M449" i="4"/>
  <c r="M457" i="4"/>
  <c r="M465" i="4"/>
  <c r="M473" i="4"/>
  <c r="M481" i="4"/>
  <c r="M489" i="4"/>
  <c r="M497" i="4"/>
  <c r="M13" i="4"/>
  <c r="M21" i="4"/>
  <c r="M37" i="4"/>
  <c r="M87" i="4"/>
  <c r="M111" i="4"/>
  <c r="M127" i="4"/>
  <c r="M135" i="4"/>
  <c r="M263" i="4"/>
  <c r="M271" i="4"/>
  <c r="M279" i="4"/>
  <c r="M319" i="4"/>
  <c r="M327" i="4"/>
  <c r="M351" i="4"/>
  <c r="M359" i="4"/>
  <c r="M423" i="4"/>
  <c r="M2" i="4"/>
  <c r="M10" i="4"/>
  <c r="M18" i="4"/>
  <c r="M26" i="4"/>
  <c r="M34" i="4"/>
  <c r="M42" i="4"/>
  <c r="M50" i="4"/>
  <c r="M59" i="4"/>
  <c r="M68" i="4"/>
  <c r="M76" i="4"/>
  <c r="M84" i="4"/>
  <c r="M92" i="4"/>
  <c r="M100" i="4"/>
  <c r="M108" i="4"/>
  <c r="M116" i="4"/>
  <c r="M124" i="4"/>
  <c r="M132" i="4"/>
  <c r="M140" i="4"/>
  <c r="M148" i="4"/>
  <c r="M156" i="4"/>
  <c r="M164" i="4"/>
  <c r="M172" i="4"/>
  <c r="M180" i="4"/>
  <c r="M188" i="4"/>
  <c r="M196" i="4"/>
  <c r="M204" i="4"/>
  <c r="M212" i="4"/>
  <c r="M220" i="4"/>
  <c r="M228" i="4"/>
  <c r="M236" i="4"/>
  <c r="M244" i="4"/>
  <c r="M252" i="4"/>
  <c r="M260" i="4"/>
  <c r="M268" i="4"/>
  <c r="M276" i="4"/>
  <c r="M284" i="4"/>
  <c r="M292" i="4"/>
  <c r="M300" i="4"/>
  <c r="M308" i="4"/>
  <c r="M316" i="4"/>
  <c r="M324" i="4"/>
  <c r="M332" i="4"/>
  <c r="M340" i="4"/>
  <c r="M348" i="4"/>
  <c r="M356" i="4"/>
  <c r="M364" i="4"/>
  <c r="M372" i="4"/>
  <c r="M380" i="4"/>
  <c r="M388" i="4"/>
  <c r="M396" i="4"/>
  <c r="M404" i="4"/>
  <c r="M412" i="4"/>
  <c r="M420" i="4"/>
  <c r="M428" i="4"/>
  <c r="M436" i="4"/>
  <c r="M444" i="4"/>
  <c r="M452" i="4"/>
  <c r="M460" i="4"/>
  <c r="M468" i="4"/>
  <c r="M476" i="4"/>
  <c r="M484" i="4"/>
  <c r="M492" i="4"/>
</calcChain>
</file>

<file path=xl/sharedStrings.xml><?xml version="1.0" encoding="utf-8"?>
<sst xmlns="http://schemas.openxmlformats.org/spreadsheetml/2006/main" count="4740" uniqueCount="1094">
  <si>
    <t>National Model ATS Record</t>
  </si>
  <si>
    <t>Metric</t>
  </si>
  <si>
    <t>Record (W-L-P)</t>
  </si>
  <si>
    <t>ATS %</t>
  </si>
  <si>
    <t>Rolling ATS (Season)</t>
  </si>
  <si>
    <t>207-178-5</t>
  </si>
  <si>
    <t>Weekly ATS (Wk 5)</t>
  </si>
  <si>
    <t>28-30-1</t>
  </si>
  <si>
    <t>Week 6</t>
  </si>
  <si>
    <t>Week</t>
  </si>
  <si>
    <t>Date</t>
  </si>
  <si>
    <t>Home Conf</t>
  </si>
  <si>
    <t>Away Conf</t>
  </si>
  <si>
    <t>Away Team</t>
  </si>
  <si>
    <t>Home Team</t>
  </si>
  <si>
    <t>Model Line (Home)</t>
  </si>
  <si>
    <t>Market Line (Home)</t>
  </si>
  <si>
    <t>Spread Edge (pts)</t>
  </si>
  <si>
    <t>Ridge Line (Home)</t>
  </si>
  <si>
    <t>Massey Line (Home)</t>
  </si>
  <si>
    <t>Model Total</t>
  </si>
  <si>
    <t>Market Total</t>
  </si>
  <si>
    <t>Total Edge (pts)</t>
  </si>
  <si>
    <t>Away Pts</t>
  </si>
  <si>
    <t>Home Pts</t>
  </si>
  <si>
    <t>Model Result</t>
  </si>
  <si>
    <t>2026-10-09</t>
  </si>
  <si>
    <t>ACC</t>
  </si>
  <si>
    <t>Florida State</t>
  </si>
  <si>
    <t>Louisville</t>
  </si>
  <si>
    <t>2026-10-10</t>
  </si>
  <si>
    <t>Virginia Tech</t>
  </si>
  <si>
    <t>California</t>
  </si>
  <si>
    <t>Duke</t>
  </si>
  <si>
    <t>Georgia Tech</t>
  </si>
  <si>
    <t>Wake Forest</t>
  </si>
  <si>
    <t>NC State</t>
  </si>
  <si>
    <t>North Carolina</t>
  </si>
  <si>
    <t>Pittsburgh</t>
  </si>
  <si>
    <t>Syracuse</t>
  </si>
  <si>
    <t>Virginia</t>
  </si>
  <si>
    <t>2026-10-08</t>
  </si>
  <si>
    <t>American Athletic</t>
  </si>
  <si>
    <t>South Florida</t>
  </si>
  <si>
    <t>UTSA</t>
  </si>
  <si>
    <t>Tulane</t>
  </si>
  <si>
    <t>Army</t>
  </si>
  <si>
    <t>Rice</t>
  </si>
  <si>
    <t>East Carolina</t>
  </si>
  <si>
    <t>UAB</t>
  </si>
  <si>
    <t>Memphis</t>
  </si>
  <si>
    <t>Tulsa</t>
  </si>
  <si>
    <t>Navy</t>
  </si>
  <si>
    <t>Charlotte</t>
  </si>
  <si>
    <t>North Texas</t>
  </si>
  <si>
    <t>FBS Independents</t>
  </si>
  <si>
    <t>UConn</t>
  </si>
  <si>
    <t>Temple</t>
  </si>
  <si>
    <t>Big 12</t>
  </si>
  <si>
    <t>Iowa State</t>
  </si>
  <si>
    <t>BYU</t>
  </si>
  <si>
    <t>Houston</t>
  </si>
  <si>
    <t>Kansas State</t>
  </si>
  <si>
    <t>UCF</t>
  </si>
  <si>
    <t>Oklahoma State</t>
  </si>
  <si>
    <t>Arizona</t>
  </si>
  <si>
    <t>West Virginia</t>
  </si>
  <si>
    <t>2026-10-11</t>
  </si>
  <si>
    <t>Mountain West</t>
  </si>
  <si>
    <t>Hawai'i</t>
  </si>
  <si>
    <t>Arizona State</t>
  </si>
  <si>
    <t>Kansas</t>
  </si>
  <si>
    <t>Utah</t>
  </si>
  <si>
    <t>Big Ten</t>
  </si>
  <si>
    <t>Illinois</t>
  </si>
  <si>
    <t>Michigan State</t>
  </si>
  <si>
    <t>Indiana</t>
  </si>
  <si>
    <t>Nebraska</t>
  </si>
  <si>
    <t>Mid-American</t>
  </si>
  <si>
    <t>Ball State</t>
  </si>
  <si>
    <t>Northwestern</t>
  </si>
  <si>
    <t>Maryland</t>
  </si>
  <si>
    <t>Ohio State</t>
  </si>
  <si>
    <t>UCLA</t>
  </si>
  <si>
    <t>Oregon</t>
  </si>
  <si>
    <t>USC</t>
  </si>
  <si>
    <t>Penn State</t>
  </si>
  <si>
    <t>Iowa</t>
  </si>
  <si>
    <t>Washington</t>
  </si>
  <si>
    <t>Minnesota</t>
  </si>
  <si>
    <t>Purdue</t>
  </si>
  <si>
    <t>2026-10-07</t>
  </si>
  <si>
    <t>Conference USA</t>
  </si>
  <si>
    <t>New Mexico State</t>
  </si>
  <si>
    <t>Florida International</t>
  </si>
  <si>
    <t>Jacksonville State</t>
  </si>
  <si>
    <t>Kennesaw State</t>
  </si>
  <si>
    <t>Sam Houston</t>
  </si>
  <si>
    <t>Liberty</t>
  </si>
  <si>
    <t>Missouri State</t>
  </si>
  <si>
    <t>Western Kentucky</t>
  </si>
  <si>
    <t>Stanford</t>
  </si>
  <si>
    <t>Notre Dame</t>
  </si>
  <si>
    <t>Eastern Michigan</t>
  </si>
  <si>
    <t>Akron</t>
  </si>
  <si>
    <t>Sacramento State</t>
  </si>
  <si>
    <t>Bowling Green</t>
  </si>
  <si>
    <t>Miami (OH)</t>
  </si>
  <si>
    <t>Massachusetts</t>
  </si>
  <si>
    <t>Central Michigan</t>
  </si>
  <si>
    <t>Ohio</t>
  </si>
  <si>
    <t>Buffalo</t>
  </si>
  <si>
    <t>Toledo</t>
  </si>
  <si>
    <t>Kent State</t>
  </si>
  <si>
    <t>Western Michigan</t>
  </si>
  <si>
    <t>Air Force</t>
  </si>
  <si>
    <t>Northern Illinois</t>
  </si>
  <si>
    <t>Wyoming</t>
  </si>
  <si>
    <t>San José State</t>
  </si>
  <si>
    <t>North Dakota State</t>
  </si>
  <si>
    <t>UNLV</t>
  </si>
  <si>
    <t>Nevada</t>
  </si>
  <si>
    <t>UTEP</t>
  </si>
  <si>
    <t>Pac-12</t>
  </si>
  <si>
    <t>San Diego State</t>
  </si>
  <si>
    <t>Oregon State</t>
  </si>
  <si>
    <t>Washington State</t>
  </si>
  <si>
    <t>Utah State</t>
  </si>
  <si>
    <t>Boise State</t>
  </si>
  <si>
    <t>Fresno State</t>
  </si>
  <si>
    <t>SEC</t>
  </si>
  <si>
    <t>Georgia</t>
  </si>
  <si>
    <t>Alabama</t>
  </si>
  <si>
    <t>Tennessee</t>
  </si>
  <si>
    <t>Arkansas</t>
  </si>
  <si>
    <t>South Carolina</t>
  </si>
  <si>
    <t>Florida</t>
  </si>
  <si>
    <t>LSU</t>
  </si>
  <si>
    <t>Kentucky</t>
  </si>
  <si>
    <t>Texas A&amp;M</t>
  </si>
  <si>
    <t>Missouri</t>
  </si>
  <si>
    <t>Texas</t>
  </si>
  <si>
    <t>Oklahoma</t>
  </si>
  <si>
    <t>Ole Miss</t>
  </si>
  <si>
    <t>Vanderbilt</t>
  </si>
  <si>
    <t>Sun Belt</t>
  </si>
  <si>
    <t>Southern Miss</t>
  </si>
  <si>
    <t>Troy</t>
  </si>
  <si>
    <t>South Alabama</t>
  </si>
  <si>
    <t>Arkansas State</t>
  </si>
  <si>
    <t>Old Dominion</t>
  </si>
  <si>
    <t>App State</t>
  </si>
  <si>
    <t>James Madison</t>
  </si>
  <si>
    <t>Georgia Southern</t>
  </si>
  <si>
    <t>Louisiana</t>
  </si>
  <si>
    <t>Louisiana Tech</t>
  </si>
  <si>
    <t>Coastal Carolina</t>
  </si>
  <si>
    <t>Marshall</t>
  </si>
  <si>
    <t>Week 5</t>
  </si>
  <si>
    <t>2026-10-02</t>
  </si>
  <si>
    <t>Win</t>
  </si>
  <si>
    <t>2026-10-03</t>
  </si>
  <si>
    <t>Miami</t>
  </si>
  <si>
    <t>Clemson</t>
  </si>
  <si>
    <t>Loss</t>
  </si>
  <si>
    <t>Boston College</t>
  </si>
  <si>
    <t>SMU</t>
  </si>
  <si>
    <t>SWAC</t>
  </si>
  <si>
    <t>Texas Southern</t>
  </si>
  <si>
    <t>Florida Atlantic</t>
  </si>
  <si>
    <t>Southern</t>
  </si>
  <si>
    <t>Samford</t>
  </si>
  <si>
    <t>Texas Tech</t>
  </si>
  <si>
    <t>Colorado</t>
  </si>
  <si>
    <t>Middle Tennessee</t>
  </si>
  <si>
    <t>TCU</t>
  </si>
  <si>
    <t>2026-10-04</t>
  </si>
  <si>
    <t>Cincinnati</t>
  </si>
  <si>
    <t>Baylor</t>
  </si>
  <si>
    <t>Michigan</t>
  </si>
  <si>
    <t>Wisconsin</t>
  </si>
  <si>
    <t>Rutgers</t>
  </si>
  <si>
    <t>Delaware</t>
  </si>
  <si>
    <t>New Mexico</t>
  </si>
  <si>
    <t>Colorado State</t>
  </si>
  <si>
    <t>Texas State</t>
  </si>
  <si>
    <t>Southland</t>
  </si>
  <si>
    <t>McNeese</t>
  </si>
  <si>
    <t>Mississippi State</t>
  </si>
  <si>
    <t>Auburn</t>
  </si>
  <si>
    <t>Georgia State</t>
  </si>
  <si>
    <t>UL Monroe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</si>
  <si>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</si>
  <si>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</si>
  <si>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</si>
  <si>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</si>
  <si>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</si>
  <si>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</si>
  <si>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</si>
  <si>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</si>
  <si>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</si>
  <si>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</si>
  <si>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</si>
  <si>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</si>
  <si>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</si>
  <si>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</si>
  <si>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</si>
  <si>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</si>
  <si>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</si>
  <si>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</si>
  <si>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</si>
  <si>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</si>
  <si>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</si>
  <si>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</si>
  <si>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</si>
  <si>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</si>
  <si>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</si>
  <si>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</si>
  <si>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</si>
  <si>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</si>
  <si>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</si>
  <si>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</si>
  <si>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Spread Lean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</si>
  <si>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</si>
  <si>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</si>
  <si>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</si>
  <si>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</si>
  <si>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</si>
  <si>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</si>
  <si>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</si>
  <si>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</si>
  <si>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</si>
  <si>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</si>
  <si>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</si>
  <si>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</si>
  <si>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</si>
  <si>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</si>
  <si>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</si>
  <si>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</si>
  <si>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</si>
  <si>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</si>
  <si>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</si>
  <si>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</si>
  <si>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W</t>
  </si>
  <si>
    <t>Moneyline</t>
  </si>
  <si>
    <t>Memphis @ 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</si>
  <si>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</si>
  <si>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</si>
  <si>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</si>
  <si>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</si>
  <si>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</si>
  <si>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</si>
  <si>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</si>
  <si>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</si>
  <si>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</si>
  <si>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</si>
  <si>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Central Michigan @ New Mexico</t>
  </si>
  <si>
    <t>2026-09-07</t>
  </si>
  <si>
    <t>SMU @ Florida State</t>
  </si>
  <si>
    <t>2026-09-06</t>
  </si>
  <si>
    <t>Louisville @ Ole Miss</t>
  </si>
  <si>
    <t>Wisconsin @ Notre Dame</t>
  </si>
  <si>
    <t>Clemson @ LSU</t>
  </si>
  <si>
    <t>Western Michigan @ Michigan</t>
  </si>
  <si>
    <t>Boise State @ Oregon</t>
  </si>
  <si>
    <t>Tarleton State @ Bowling Green</t>
  </si>
  <si>
    <t>Miami @ Stanford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</si>
  <si>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</si>
  <si>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</si>
  <si>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</si>
  <si>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</si>
  <si>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</si>
  <si>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</si>
  <si>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2026-09-12</t>
  </si>
  <si>
    <t>UNLV @ 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</si>
  <si>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</si>
  <si>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</si>
  <si>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</si>
  <si>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</si>
  <si>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</si>
  <si>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</si>
  <si>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</si>
  <si>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2026-09-19</t>
  </si>
  <si>
    <t>Wyoming @ Central Michigan</t>
  </si>
  <si>
    <t>Sacramento State @ North Dakota State</t>
  </si>
  <si>
    <t>SMU @ Louisville</t>
  </si>
  <si>
    <t>LSU @ Ole Miss</t>
  </si>
  <si>
    <t>Coastal Carolina @ Delaware</t>
  </si>
  <si>
    <t>Houston @ Texas Tech</t>
  </si>
  <si>
    <t>Miami @ Wake Forest</t>
  </si>
  <si>
    <t>2026-09-26</t>
  </si>
  <si>
    <t>Clemson @ California</t>
  </si>
  <si>
    <t>UNLV @ Akron</t>
  </si>
  <si>
    <t>New Mexico @ New Mexico State</t>
  </si>
  <si>
    <t>Wake Forest @ Louisville</t>
  </si>
  <si>
    <t>Iowa @ Michigan</t>
  </si>
  <si>
    <t>Oklahoma State @ West Virginia</t>
  </si>
  <si>
    <t>Oregon @ USC</t>
  </si>
  <si>
    <t>Missouri @ Mississippi State</t>
  </si>
  <si>
    <t>Georgia Tech @ Stanford</t>
  </si>
  <si>
    <t>Minnesota @ Washington</t>
  </si>
  <si>
    <t>Navy @ Air Force</t>
  </si>
  <si>
    <t>Wyoming @ North Dakota State</t>
  </si>
  <si>
    <t>UTEP @ New Mexico</t>
  </si>
  <si>
    <t>Liberty @ Delaware</t>
  </si>
  <si>
    <t>Alabama @ Mississippi State</t>
  </si>
  <si>
    <t>Marshall @ James Madison</t>
  </si>
  <si>
    <t>Pittsburgh @ Virginia Tech</t>
  </si>
  <si>
    <t>West Virginia @ Iowa State</t>
  </si>
  <si>
    <t>Auburn @ Tennessee</t>
  </si>
  <si>
    <t>BYU @ TCU</t>
  </si>
  <si>
    <t>Washington @ USC</t>
  </si>
  <si>
    <t>CLV note: Closing Line - Line Taken. For a favorite (negative number), a less-negative closing line than what you bet means the market moved toward you -- positive CLV. Read each row in context of which side you took.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</si>
  <si>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</si>
  <si>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</si>
  <si>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</si>
  <si>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</si>
  <si>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</si>
  <si>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</si>
  <si>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</si>
  <si>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</si>
  <si>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</si>
  <si>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</si>
  <si>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</si>
  <si>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</si>
  <si>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</si>
  <si>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</si>
  <si>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</si>
  <si>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</si>
  <si>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</si>
  <si>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</si>
  <si>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</si>
  <si>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</si>
  <si>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Full history. Home elevation ~7,220 ft — coldest, highest venue in the league.</t>
  </si>
  <si>
    <t>Week 1</t>
  </si>
  <si>
    <t>Week 2</t>
  </si>
  <si>
    <t>Week 3</t>
  </si>
  <si>
    <t>Week 4</t>
  </si>
  <si>
    <t>Matchup Spread Calculator</t>
  </si>
  <si>
    <t>Neutral Site? (Y/N)</t>
  </si>
  <si>
    <t>HFA (model constant)</t>
  </si>
  <si>
    <t>Predicted Spread (Home)</t>
  </si>
  <si>
    <t>(negative = home team favored, e.g. "Home -6.5")</t>
  </si>
  <si>
    <t>MW Team ATS -- 2026 Season (graded vs. the real market line, not any model)</t>
  </si>
  <si>
    <t>ATS Record (C-L-P)</t>
  </si>
  <si>
    <t>Cover %</t>
  </si>
  <si>
    <t>2-2-0</t>
  </si>
  <si>
    <t>1-4-0</t>
  </si>
  <si>
    <t>5-0-0</t>
  </si>
  <si>
    <t>3-2-0</t>
  </si>
  <si>
    <t>1-3-0</t>
  </si>
  <si>
    <t>Opponent</t>
  </si>
  <si>
    <t>Site</t>
  </si>
  <si>
    <t>Team's Spread</t>
  </si>
  <si>
    <t>Result (Margin)</t>
  </si>
  <si>
    <t>ATS Result</t>
  </si>
  <si>
    <t>Cover Margin</t>
  </si>
  <si>
    <t>Duquesne</t>
  </si>
  <si>
    <t>Home</t>
  </si>
  <si>
    <t>Cover</t>
  </si>
  <si>
    <t>No Cover</t>
  </si>
  <si>
    <t>2026-09-27</t>
  </si>
  <si>
    <t>Away</t>
  </si>
  <si>
    <t>Montana State</t>
  </si>
  <si>
    <t>Mercyhurst</t>
  </si>
  <si>
    <t>Fordham</t>
  </si>
  <si>
    <t>2026-09-20</t>
  </si>
  <si>
    <t>Illinois State</t>
  </si>
  <si>
    <t>Cal Poly</t>
  </si>
  <si>
    <t>2026-08-30</t>
  </si>
  <si>
    <t>Northern Colorado</t>
  </si>
  <si>
    <t>Strength of Record -- 2026 Season (resets every season -- see column notes below)</t>
  </si>
  <si>
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</si>
  <si>
    <t>W-L (FBS)</t>
  </si>
  <si>
    <t>SOR</t>
  </si>
  <si>
    <t>SOR Rank</t>
  </si>
  <si>
    <t>Elo Rating</t>
  </si>
  <si>
    <t>Elo Rank</t>
  </si>
  <si>
    <t>Rank Gap (Elo - SOR)</t>
  </si>
  <si>
    <t>5-0</t>
  </si>
  <si>
    <t>4-0</t>
  </si>
  <si>
    <t>5-1</t>
  </si>
  <si>
    <t>4-1</t>
  </si>
  <si>
    <t>3-0</t>
  </si>
  <si>
    <t>3-1</t>
  </si>
  <si>
    <t>2-1</t>
  </si>
  <si>
    <t>3-2</t>
  </si>
  <si>
    <t>2-2</t>
  </si>
  <si>
    <t>Idaho State</t>
  </si>
  <si>
    <t>1-0</t>
  </si>
  <si>
    <t>Tarleton State</t>
  </si>
  <si>
    <t>The Citadel</t>
  </si>
  <si>
    <t>1-2</t>
  </si>
  <si>
    <t>2-3</t>
  </si>
  <si>
    <t>SE Louisiana</t>
  </si>
  <si>
    <t>1-1</t>
  </si>
  <si>
    <t>1-3</t>
  </si>
  <si>
    <t>Tennessee State</t>
  </si>
  <si>
    <t>0-1</t>
  </si>
  <si>
    <t>Florida A&amp;M</t>
  </si>
  <si>
    <t>Abilene Christian</t>
  </si>
  <si>
    <t>UC Davis</t>
  </si>
  <si>
    <t>Idaho</t>
  </si>
  <si>
    <t>Northern Iowa</t>
  </si>
  <si>
    <t>Utah Tech</t>
  </si>
  <si>
    <t>Eastern Washington</t>
  </si>
  <si>
    <t>William &amp; Mary</t>
  </si>
  <si>
    <t>Austin Peay</t>
  </si>
  <si>
    <t>Villanova</t>
  </si>
  <si>
    <t>Furman</t>
  </si>
  <si>
    <t>South Dakota</t>
  </si>
  <si>
    <t>Delaware State</t>
  </si>
  <si>
    <t>Grambling</t>
  </si>
  <si>
    <t>Bucknell</t>
  </si>
  <si>
    <t>Northern Arizona</t>
  </si>
  <si>
    <t>Arkansas-Pine Bluff</t>
  </si>
  <si>
    <t>Southeast Missouri State</t>
  </si>
  <si>
    <t>Bryant</t>
  </si>
  <si>
    <t>Southern Illinois</t>
  </si>
  <si>
    <t>Morgan State</t>
  </si>
  <si>
    <t>Eastern Illinois</t>
  </si>
  <si>
    <t>Monmouth</t>
  </si>
  <si>
    <t>UT Rio Grande Valley</t>
  </si>
  <si>
    <t>North Dakota</t>
  </si>
  <si>
    <t>North Carolina Central</t>
  </si>
  <si>
    <t>Incarnate Word</t>
  </si>
  <si>
    <t>Richmond</t>
  </si>
  <si>
    <t>Lafayette</t>
  </si>
  <si>
    <t>Campbell</t>
  </si>
  <si>
    <t>Central Connecticut</t>
  </si>
  <si>
    <t>Eastern Kentucky</t>
  </si>
  <si>
    <t>Alabama State</t>
  </si>
  <si>
    <t>Western Carolina</t>
  </si>
  <si>
    <t>Mercer</t>
  </si>
  <si>
    <t>South Dakota State</t>
  </si>
  <si>
    <t>Charleston Southern</t>
  </si>
  <si>
    <t>Northwestern State</t>
  </si>
  <si>
    <t>Lamar</t>
  </si>
  <si>
    <t>Youngstown State</t>
  </si>
  <si>
    <t>Holy Cross</t>
  </si>
  <si>
    <t>Prairie View A&amp;M</t>
  </si>
  <si>
    <t>Central Arkansas</t>
  </si>
  <si>
    <t>East Tennessee State</t>
  </si>
  <si>
    <t>Western Illinois</t>
  </si>
  <si>
    <t>Merrimack</t>
  </si>
  <si>
    <t>Bethune-Cookman</t>
  </si>
  <si>
    <t>North Alabama</t>
  </si>
  <si>
    <t>Weber State</t>
  </si>
  <si>
    <t>UAlbany</t>
  </si>
  <si>
    <t>Hampton</t>
  </si>
  <si>
    <t>New Hampshire</t>
  </si>
  <si>
    <t>Mississippi Valley State</t>
  </si>
  <si>
    <t>Portland State</t>
  </si>
  <si>
    <t>0-2</t>
  </si>
  <si>
    <t>VMI</t>
  </si>
  <si>
    <t>Colgate</t>
  </si>
  <si>
    <t>Alcorn State</t>
  </si>
  <si>
    <t>Norfolk State</t>
  </si>
  <si>
    <t>Rhode Island</t>
  </si>
  <si>
    <t>East Texas A&amp;M</t>
  </si>
  <si>
    <t>Southern Utah</t>
  </si>
  <si>
    <t>Indiana State</t>
  </si>
  <si>
    <t>Towson</t>
  </si>
  <si>
    <t>Montana</t>
  </si>
  <si>
    <t>Howard</t>
  </si>
  <si>
    <t>Stony Brook</t>
  </si>
  <si>
    <t>Wagner</t>
  </si>
  <si>
    <t>Wofford</t>
  </si>
  <si>
    <t>North Carolina A&amp;T</t>
  </si>
  <si>
    <t>UT Martin</t>
  </si>
  <si>
    <t>Sacred Heart</t>
  </si>
  <si>
    <t>Gardner-Webb</t>
  </si>
  <si>
    <t>Houston Christian</t>
  </si>
  <si>
    <t>West Georgia</t>
  </si>
  <si>
    <t>Long Island University</t>
  </si>
  <si>
    <t>Nicholls</t>
  </si>
  <si>
    <t>Maine</t>
  </si>
  <si>
    <t>0-3</t>
  </si>
  <si>
    <t>Stonehill</t>
  </si>
  <si>
    <t>Robert Morris</t>
  </si>
  <si>
    <t>Lindenwood</t>
  </si>
  <si>
    <t>Murray State</t>
  </si>
  <si>
    <t>0-4</t>
  </si>
  <si>
    <t>1-4</t>
  </si>
  <si>
    <t>ACC Model ATS Record</t>
  </si>
  <si>
    <t>36-25-1</t>
  </si>
  <si>
    <t>6-3-0</t>
  </si>
  <si>
    <t>ACC Standings</t>
  </si>
  <si>
    <t>Conf W</t>
  </si>
  <si>
    <t>Conf L</t>
  </si>
  <si>
    <t>Conf Pct</t>
  </si>
  <si>
    <t>Overall W</t>
  </si>
  <si>
    <t>Overall L</t>
  </si>
  <si>
    <t>American Athletic Model ATS Record</t>
  </si>
  <si>
    <t>25-31-2</t>
  </si>
  <si>
    <t>0-8-0</t>
  </si>
  <si>
    <t>American Athletic Standings</t>
  </si>
  <si>
    <t>Big 12 Model ATS Record</t>
  </si>
  <si>
    <t>33-26-1</t>
  </si>
  <si>
    <t>3-3-1</t>
  </si>
  <si>
    <t>Big 12 Standings</t>
  </si>
  <si>
    <t>Big Ten Model ATS Record</t>
  </si>
  <si>
    <t>33-36-1</t>
  </si>
  <si>
    <t>4-4-0</t>
  </si>
  <si>
    <t>Big Ten Standings</t>
  </si>
  <si>
    <t>Conference USA Model ATS Record</t>
  </si>
  <si>
    <t>27-16-0</t>
  </si>
  <si>
    <t>1-2-0</t>
  </si>
  <si>
    <t>Conference USA Standings</t>
  </si>
  <si>
    <t>FBS Independents Model ATS Record</t>
  </si>
  <si>
    <t>7-3-0</t>
  </si>
  <si>
    <t>1-1-0</t>
  </si>
  <si>
    <t>FBS Independents Standings</t>
  </si>
  <si>
    <t>Mid-American Model ATS Record</t>
  </si>
  <si>
    <t>29-27-1</t>
  </si>
  <si>
    <t>3-3-0</t>
  </si>
  <si>
    <t>Mid-American Standings</t>
  </si>
  <si>
    <t>Mountain West Model ATS Record</t>
  </si>
  <si>
    <t>27-13-0</t>
  </si>
  <si>
    <t>Mountain West Standings</t>
  </si>
  <si>
    <t>Pac-12 Model ATS Record</t>
  </si>
  <si>
    <t>21-15-0</t>
  </si>
  <si>
    <t>Pac-12 Standings</t>
  </si>
  <si>
    <t>SEC Model ATS Record</t>
  </si>
  <si>
    <t>29-29-0</t>
  </si>
  <si>
    <t>5-2-0</t>
  </si>
  <si>
    <t>SEC Standings</t>
  </si>
  <si>
    <t>Sun Belt Model ATS Record</t>
  </si>
  <si>
    <t>Sun Belt Standings</t>
  </si>
  <si>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</si>
  <si>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</si>
  <si>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</si>
  <si>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</si>
  <si>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</si>
  <si>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</si>
  <si>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</si>
  <si>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</si>
  <si>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</si>
  <si>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</si>
  <si>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</si>
  <si>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</si>
  <si>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</si>
  <si>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</si>
  <si>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</si>
  <si>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</si>
  <si>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54.1%</t>
  </si>
  <si>
    <t>+3.3%</t>
  </si>
  <si>
    <t>54.4%</t>
  </si>
  <si>
    <t>131/369 (36%)</t>
  </si>
  <si>
    <t>+991.5</t>
  </si>
  <si>
    <t>Dub Gamma Model (live model) -- MW-involved</t>
  </si>
  <si>
    <t>69.2%</t>
  </si>
  <si>
    <t>+32.2%</t>
  </si>
  <si>
    <t>67.7%</t>
  </si>
  <si>
    <t>10/39 (26%)</t>
  </si>
  <si>
    <t>+132.7</t>
  </si>
  <si>
    <t>Ridge (candidate) -- all FBS</t>
  </si>
  <si>
    <t>50.0%</t>
  </si>
  <si>
    <t>-4.5%</t>
  </si>
  <si>
    <t>49.8%</t>
  </si>
  <si>
    <t>2728/8802 (31%)</t>
  </si>
  <si>
    <t>+5463.2</t>
  </si>
  <si>
    <t>Ridge (candidate) -- MW-involved</t>
  </si>
  <si>
    <t>51.2%</t>
  </si>
  <si>
    <t>-2.3%</t>
  </si>
  <si>
    <t>49.7%</t>
  </si>
  <si>
    <t>304/995 (31%)</t>
  </si>
  <si>
    <t>+665.2</t>
  </si>
  <si>
    <t>XGBoost (candidate) -- all FBS</t>
  </si>
  <si>
    <t>-4.6%</t>
  </si>
  <si>
    <t>50.2%</t>
  </si>
  <si>
    <t>3090/8802 (35%)</t>
  </si>
  <si>
    <t>+402.6</t>
  </si>
  <si>
    <t>XGBoost (candidate) -- MW-involved</t>
  </si>
  <si>
    <t>50.1%</t>
  </si>
  <si>
    <t>-4.2%</t>
  </si>
  <si>
    <t>50.9%</t>
  </si>
  <si>
    <t>340/995 (34%)</t>
  </si>
  <si>
    <t>+985.8</t>
  </si>
  <si>
    <t>Massey (candidate) -- all FBS</t>
  </si>
  <si>
    <t>50.6%</t>
  </si>
  <si>
    <t>-3.4%</t>
  </si>
  <si>
    <t>2853/7613 (37%)</t>
  </si>
  <si>
    <t>-11063.3</t>
  </si>
  <si>
    <t>Massey (candidate) -- MW-involved</t>
  </si>
  <si>
    <t>-2.7%</t>
  </si>
  <si>
    <t>50.8%</t>
  </si>
  <si>
    <t>341/852 (40%)</t>
  </si>
  <si>
    <t>-137.5</t>
  </si>
  <si>
    <t>2026 Season Only</t>
  </si>
  <si>
    <t>47.8%</t>
  </si>
  <si>
    <t>-8.7%</t>
  </si>
  <si>
    <t>48.5%</t>
  </si>
  <si>
    <t>87/369 (24%)</t>
  </si>
  <si>
    <t>-631.7</t>
  </si>
  <si>
    <t>56.4%</t>
  </si>
  <si>
    <t>+7.7%</t>
  </si>
  <si>
    <t>53.1%</t>
  </si>
  <si>
    <t>7/39 (18%)</t>
  </si>
  <si>
    <t>+75.6</t>
  </si>
  <si>
    <t>49.5%</t>
  </si>
  <si>
    <t>-5.6%</t>
  </si>
  <si>
    <t>46.9%</t>
  </si>
  <si>
    <t>109/369 (30%)</t>
  </si>
  <si>
    <t>-656.3</t>
  </si>
  <si>
    <t>51.3%</t>
  </si>
  <si>
    <t>-2.1%</t>
  </si>
  <si>
    <t>42.9%</t>
  </si>
  <si>
    <t>16/39 (41%)</t>
  </si>
  <si>
    <t>+11.8</t>
  </si>
  <si>
    <t>46.8%</t>
  </si>
  <si>
    <t>-10.6%</t>
  </si>
  <si>
    <t>47.5%</t>
  </si>
  <si>
    <t>42/270 (16%)</t>
  </si>
  <si>
    <t>-2229.5</t>
  </si>
  <si>
    <t>65.4%</t>
  </si>
  <si>
    <t>+24.8%</t>
  </si>
  <si>
    <t>60.9%</t>
  </si>
  <si>
    <t>6/26 (23%)</t>
  </si>
  <si>
    <t>-58.3</t>
  </si>
  <si>
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</si>
  <si>
    <t>Upcoming Games -- Ridge vs. XGBoost vs. Dub Gamma (Not Yet Graded)</t>
  </si>
  <si>
    <t>Massey (the fourth candidate below in the graded tables) isn't shown here -- predict_week.py doesn't produce a Massey prediction yet, so it has no live line to show for upcoming games.</t>
  </si>
  <si>
    <t>Ridge Line</t>
  </si>
  <si>
    <t>XGBoost Line</t>
  </si>
  <si>
    <t>Gamma Line</t>
  </si>
  <si>
    <t>Ridge Lean</t>
  </si>
  <si>
    <t>XGBoost Lean</t>
  </si>
  <si>
    <t>Gamma Lean</t>
  </si>
  <si>
    <t>Ridge/XGBoost Agree?</t>
  </si>
  <si>
    <t>Tightest (Live)*</t>
  </si>
  <si>
    <t>-17.2</t>
  </si>
  <si>
    <t>-22.0</t>
  </si>
  <si>
    <t>-18.9</t>
  </si>
  <si>
    <t>-31.2</t>
  </si>
  <si>
    <t>Home (auto)</t>
  </si>
  <si>
    <t>Yes</t>
  </si>
  <si>
    <t>XGBoost</t>
  </si>
  <si>
    <t>-2.8</t>
  </si>
  <si>
    <t>-8.6</t>
  </si>
  <si>
    <t>-2.0</t>
  </si>
  <si>
    <t>+2.3</t>
  </si>
  <si>
    <t>Away (auto)</t>
  </si>
  <si>
    <t>No</t>
  </si>
  <si>
    <t>California @ UNLV</t>
  </si>
  <si>
    <t>-1.8</t>
  </si>
  <si>
    <t>-15.5</t>
  </si>
  <si>
    <t>-7.4</t>
  </si>
  <si>
    <t>Tie</t>
  </si>
  <si>
    <t>-23.2</t>
  </si>
  <si>
    <t>-22.2</t>
  </si>
  <si>
    <t>-23.8</t>
  </si>
  <si>
    <t>-37.6</t>
  </si>
  <si>
    <t>San José State @ Hawai'i</t>
  </si>
  <si>
    <t>-6.8</t>
  </si>
  <si>
    <t>-6.9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</si>
  <si>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</si>
  <si>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</si>
  <si>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</si>
  <si>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</si>
  <si>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</si>
  <si>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</si>
  <si>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</si>
  <si>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</si>
  <si>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</si>
  <si>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</si>
  <si>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</si>
  <si>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Line</t>
  </si>
  <si>
    <t>Massey Edge</t>
  </si>
  <si>
    <t>Massey Lean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</si>
  <si>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</si>
  <si>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</si>
  <si>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</si>
  <si>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</si>
  <si>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</si>
  <si>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</si>
  <si>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</si>
  <si>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</si>
  <si>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</si>
  <si>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</si>
  <si>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</si>
  <si>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</si>
  <si>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</si>
  <si>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-28.4</t>
  </si>
  <si>
    <t>-1.6</t>
  </si>
  <si>
    <t>Loss (no real edge)</t>
  </si>
  <si>
    <t>-36.5</t>
  </si>
  <si>
    <t>+6.5</t>
  </si>
  <si>
    <t>Win (seed week)</t>
  </si>
  <si>
    <t>--</t>
  </si>
  <si>
    <t>n/a</t>
  </si>
  <si>
    <t>+0.0</t>
  </si>
  <si>
    <t>Wyoming @ Colorado State</t>
  </si>
  <si>
    <t>13-35</t>
  </si>
  <si>
    <t>+22.0</t>
  </si>
  <si>
    <t>-7.8</t>
  </si>
  <si>
    <t>+5.1</t>
  </si>
  <si>
    <t>-3.1</t>
  </si>
  <si>
    <t>+0.3</t>
  </si>
  <si>
    <t>Win (no real edge)</t>
  </si>
  <si>
    <t>-6.4</t>
  </si>
  <si>
    <t>+3.7</t>
  </si>
  <si>
    <t>-7.9</t>
  </si>
  <si>
    <t>-1.3</t>
  </si>
  <si>
    <t>+10.2</t>
  </si>
  <si>
    <t>27-21</t>
  </si>
  <si>
    <t>-1.5</t>
  </si>
  <si>
    <t>-6.0</t>
  </si>
  <si>
    <t>-15.8</t>
  </si>
  <si>
    <t>+14.3</t>
  </si>
  <si>
    <t>-10.8</t>
  </si>
  <si>
    <t>+9.3</t>
  </si>
  <si>
    <t>+0.5</t>
  </si>
  <si>
    <t>Gamma</t>
  </si>
  <si>
    <t>+6.4</t>
  </si>
  <si>
    <t>+8.0</t>
  </si>
  <si>
    <t>+8.2</t>
  </si>
  <si>
    <t>UNLV @ Hawai'i</t>
  </si>
  <si>
    <t>21-6</t>
  </si>
  <si>
    <t>+2.8</t>
  </si>
  <si>
    <t>-15.0</t>
  </si>
  <si>
    <t>+2.9</t>
  </si>
  <si>
    <t>-0.1</t>
  </si>
  <si>
    <t>-2.1</t>
  </si>
  <si>
    <t>+4.9</t>
  </si>
  <si>
    <t>+4.4</t>
  </si>
  <si>
    <t>Win (no real edge) (seed week)</t>
  </si>
  <si>
    <t>Ridge</t>
  </si>
  <si>
    <t>+6.2</t>
  </si>
  <si>
    <t>+12.9</t>
  </si>
  <si>
    <t>Northern Illinois @ Iowa</t>
  </si>
  <si>
    <t>0-40</t>
  </si>
  <si>
    <t>-31.8</t>
  </si>
  <si>
    <t>+40.0</t>
  </si>
  <si>
    <t>-28.3</t>
  </si>
  <si>
    <t>-3.5</t>
  </si>
  <si>
    <t>-25.3</t>
  </si>
  <si>
    <t>-6.5</t>
  </si>
  <si>
    <t>-41.0</t>
  </si>
  <si>
    <t>+9.2</t>
  </si>
  <si>
    <t>+15.8</t>
  </si>
  <si>
    <t>Western Kentucky @ Nevada</t>
  </si>
  <si>
    <t>14-49</t>
  </si>
  <si>
    <t>+0.2</t>
  </si>
  <si>
    <t>+35.0</t>
  </si>
  <si>
    <t>+3.3</t>
  </si>
  <si>
    <t>-3.0</t>
  </si>
  <si>
    <t>+6.8</t>
  </si>
  <si>
    <t>-2.5</t>
  </si>
  <si>
    <t>+2.7</t>
  </si>
  <si>
    <t>-0.3</t>
  </si>
  <si>
    <t>+18.5</t>
  </si>
  <si>
    <t>7-38</t>
  </si>
  <si>
    <t>-11.2</t>
  </si>
  <si>
    <t>+31.0</t>
  </si>
  <si>
    <t>-17.5</t>
  </si>
  <si>
    <t>-11.6</t>
  </si>
  <si>
    <t>+0.4</t>
  </si>
  <si>
    <t>-15.6</t>
  </si>
  <si>
    <t>+4.3</t>
  </si>
  <si>
    <t>+5.9</t>
  </si>
  <si>
    <t>+22.9</t>
  </si>
  <si>
    <t>Fordham @ North Dakota State</t>
  </si>
  <si>
    <t>0-38</t>
  </si>
  <si>
    <t>-41.5</t>
  </si>
  <si>
    <t>+38.0</t>
  </si>
  <si>
    <t>-40.9</t>
  </si>
  <si>
    <t>-0.6</t>
  </si>
  <si>
    <t>-35.2</t>
  </si>
  <si>
    <t>-6.3</t>
  </si>
  <si>
    <t>-58.5</t>
  </si>
  <si>
    <t>+17.0</t>
  </si>
  <si>
    <t>Loss (seed week)</t>
  </si>
  <si>
    <t>+5.3</t>
  </si>
  <si>
    <t>+39.8</t>
  </si>
  <si>
    <t>7-33</t>
  </si>
  <si>
    <t>+26.0</t>
  </si>
  <si>
    <t>-18.4</t>
  </si>
  <si>
    <t>+11.6</t>
  </si>
  <si>
    <t>-15.2</t>
  </si>
  <si>
    <t>+8.5</t>
  </si>
  <si>
    <t>-25.5</t>
  </si>
  <si>
    <t>+18.7</t>
  </si>
  <si>
    <t>+16.9</t>
  </si>
  <si>
    <t>+2.4</t>
  </si>
  <si>
    <t>+58.5</t>
  </si>
  <si>
    <t>0-51</t>
  </si>
  <si>
    <t>-40.8</t>
  </si>
  <si>
    <t>+51.0</t>
  </si>
  <si>
    <t>-34.8</t>
  </si>
  <si>
    <t>-5.9</t>
  </si>
  <si>
    <t>-31.3</t>
  </si>
  <si>
    <t>-9.4</t>
  </si>
  <si>
    <t>-44.4</t>
  </si>
  <si>
    <t>+3.6</t>
  </si>
  <si>
    <t>+11.0</t>
  </si>
  <si>
    <t>-7.0</t>
  </si>
  <si>
    <t>+62.1</t>
  </si>
  <si>
    <t>Hawai'i @ Stanford</t>
  </si>
  <si>
    <t>27-37</t>
  </si>
  <si>
    <t>-4.8</t>
  </si>
  <si>
    <t>+10.0</t>
  </si>
  <si>
    <t>-3.3</t>
  </si>
  <si>
    <t>+0.6</t>
  </si>
  <si>
    <t>-5.4</t>
  </si>
  <si>
    <t>+7.7</t>
  </si>
  <si>
    <t>-12.4</t>
  </si>
  <si>
    <t>+68.5</t>
  </si>
  <si>
    <t>-10.9</t>
  </si>
  <si>
    <t>+1.8</t>
  </si>
  <si>
    <t>+1.6</t>
  </si>
  <si>
    <t>+13.9</t>
  </si>
  <si>
    <t>-10.6</t>
  </si>
  <si>
    <t>+62.2</t>
  </si>
  <si>
    <t>San José State @ USC</t>
  </si>
  <si>
    <t>26-42</t>
  </si>
  <si>
    <t>-37.2</t>
  </si>
  <si>
    <t>+16.0</t>
  </si>
  <si>
    <t>-34.6</t>
  </si>
  <si>
    <t>-2.7</t>
  </si>
  <si>
    <t>-36.6</t>
  </si>
  <si>
    <t>-30.3</t>
  </si>
  <si>
    <t>+11.2</t>
  </si>
  <si>
    <t>+55.2</t>
  </si>
  <si>
    <t>North Dakota State @ Air Force</t>
  </si>
  <si>
    <t>38-32</t>
  </si>
  <si>
    <t>-15.3</t>
  </si>
  <si>
    <t>+14.5</t>
  </si>
  <si>
    <t>-12.7</t>
  </si>
  <si>
    <t>+17.9</t>
  </si>
  <si>
    <t>-16.2</t>
  </si>
  <si>
    <t>+1.9</t>
  </si>
  <si>
    <t>-0.2</t>
  </si>
  <si>
    <t>Massey</t>
  </si>
  <si>
    <t>-4.1</t>
  </si>
  <si>
    <t>-23.9</t>
  </si>
  <si>
    <t>+39.0</t>
  </si>
  <si>
    <t>New Mexico State @ Hawai'i</t>
  </si>
  <si>
    <t>19-29</t>
  </si>
  <si>
    <t>-7.5</t>
  </si>
  <si>
    <t>-14.1</t>
  </si>
  <si>
    <t>+6.6</t>
  </si>
  <si>
    <t>-13.8</t>
  </si>
  <si>
    <t>+6.3</t>
  </si>
  <si>
    <t>-7.6</t>
  </si>
  <si>
    <t>+0.1</t>
  </si>
  <si>
    <t>+7.2</t>
  </si>
  <si>
    <t>-14.7</t>
  </si>
  <si>
    <t>+2.5</t>
  </si>
  <si>
    <t>-17.7</t>
  </si>
  <si>
    <t>+39.1</t>
  </si>
  <si>
    <t>-14.9</t>
  </si>
  <si>
    <t>Montana State @ Nevada</t>
  </si>
  <si>
    <t>20-7</t>
  </si>
  <si>
    <t>+5.0</t>
  </si>
  <si>
    <t>+22.2</t>
  </si>
  <si>
    <t>+17.4</t>
  </si>
  <si>
    <t>-33.6</t>
  </si>
  <si>
    <t>+38.6</t>
  </si>
  <si>
    <t>-11.8</t>
  </si>
  <si>
    <t>+16.8</t>
  </si>
  <si>
    <t>+24.8</t>
  </si>
  <si>
    <t>+77.8</t>
  </si>
  <si>
    <t>Mercyhurst @ New Mexico</t>
  </si>
  <si>
    <t>7-70</t>
  </si>
  <si>
    <t>-42.2</t>
  </si>
  <si>
    <t>+63.0</t>
  </si>
  <si>
    <t>-25.2</t>
  </si>
  <si>
    <t>-27.5</t>
  </si>
  <si>
    <t>-14.8</t>
  </si>
  <si>
    <t>-45.6</t>
  </si>
  <si>
    <t>-20.6</t>
  </si>
  <si>
    <t>-21.6</t>
  </si>
  <si>
    <t>-0.5</t>
  </si>
  <si>
    <t>+81.1</t>
  </si>
  <si>
    <t>-19.8</t>
  </si>
  <si>
    <t>6-44</t>
  </si>
  <si>
    <t>-3.6</t>
  </si>
  <si>
    <t>+0.8</t>
  </si>
  <si>
    <t>-5.3</t>
  </si>
  <si>
    <t>+5.7</t>
  </si>
  <si>
    <t>-14.2</t>
  </si>
  <si>
    <t>+89.1</t>
  </si>
  <si>
    <t>-22.7</t>
  </si>
  <si>
    <t>Illinois State @ Northern Illinois</t>
  </si>
  <si>
    <t>28-24</t>
  </si>
  <si>
    <t>-4.0</t>
  </si>
  <si>
    <t>+17.5</t>
  </si>
  <si>
    <t>-16.1</t>
  </si>
  <si>
    <t>+18.6</t>
  </si>
  <si>
    <t>-23.3</t>
  </si>
  <si>
    <t>+25.8</t>
  </si>
  <si>
    <t>+23.4</t>
  </si>
  <si>
    <t>+114.9</t>
  </si>
  <si>
    <t>Cal Poly @ San José State</t>
  </si>
  <si>
    <t>20-30</t>
  </si>
  <si>
    <t>-21.5</t>
  </si>
  <si>
    <t>-19.9</t>
  </si>
  <si>
    <t>+6.0</t>
  </si>
  <si>
    <t>-30.7</t>
  </si>
  <si>
    <t>+21.8</t>
  </si>
  <si>
    <t>+10.4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</si>
  <si>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</si>
  <si>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</si>
  <si>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</si>
  <si>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</si>
  <si>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</si>
  <si>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</si>
  <si>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</si>
  <si>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</si>
  <si>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-20.4</t>
  </si>
  <si>
    <t>+7.8</t>
  </si>
  <si>
    <t>-35.0</t>
  </si>
  <si>
    <t>+116.6</t>
  </si>
  <si>
    <t>-75.2</t>
  </si>
  <si>
    <t>Northern Colorado @ Wyoming</t>
  </si>
  <si>
    <t>13-21</t>
  </si>
  <si>
    <t>-23.5</t>
  </si>
  <si>
    <t>-16.3</t>
  </si>
  <si>
    <t>-7.2</t>
  </si>
  <si>
    <t>-21.8</t>
  </si>
  <si>
    <t>-1.7</t>
  </si>
  <si>
    <t>-27.6</t>
  </si>
  <si>
    <t>+4.1</t>
  </si>
  <si>
    <t>-24.0</t>
  </si>
  <si>
    <t>+2.0</t>
  </si>
  <si>
    <t>+120.7</t>
  </si>
  <si>
    <t>-99.2</t>
  </si>
  <si>
    <t>Northern Illinois @ Arizona</t>
  </si>
  <si>
    <t>17-42</t>
  </si>
  <si>
    <t>-34.5</t>
  </si>
  <si>
    <t>+25.0</t>
  </si>
  <si>
    <t>-26.3</t>
  </si>
  <si>
    <t>-8.2</t>
  </si>
  <si>
    <t>-20.9</t>
  </si>
  <si>
    <t>-13.6</t>
  </si>
  <si>
    <t>-33.1</t>
  </si>
  <si>
    <t>-1.4</t>
  </si>
  <si>
    <t>-19.0</t>
  </si>
  <si>
    <t>-6.2</t>
  </si>
  <si>
    <t>+119.3</t>
  </si>
  <si>
    <t>-114.7</t>
  </si>
  <si>
    <t>10-24</t>
  </si>
  <si>
    <t>+14.0</t>
  </si>
  <si>
    <t>-9.5</t>
  </si>
  <si>
    <t>+11.3</t>
  </si>
  <si>
    <t>-8.3</t>
  </si>
  <si>
    <t>+10.1</t>
  </si>
  <si>
    <t>-9.0</t>
  </si>
  <si>
    <t>+10.8</t>
  </si>
  <si>
    <t>-2.2</t>
  </si>
  <si>
    <t>+4.0</t>
  </si>
  <si>
    <t>+130.1</t>
  </si>
  <si>
    <t>-110.7</t>
  </si>
  <si>
    <t>UTEP @ Michigan</t>
  </si>
  <si>
    <t>17-52</t>
  </si>
  <si>
    <t>-32.4</t>
  </si>
  <si>
    <t>+5.6</t>
  </si>
  <si>
    <t>-4.4</t>
  </si>
  <si>
    <t>+128.0</t>
  </si>
  <si>
    <t>-133.4</t>
  </si>
  <si>
    <t>Nevada @ Middle Tennessee</t>
  </si>
  <si>
    <t>20-27</t>
  </si>
  <si>
    <t>+3.8</t>
  </si>
  <si>
    <t>+7.0</t>
  </si>
  <si>
    <t>+7.3</t>
  </si>
  <si>
    <t>+2.6</t>
  </si>
  <si>
    <t>+1.2</t>
  </si>
  <si>
    <t>+1.4</t>
  </si>
  <si>
    <t>-4.9</t>
  </si>
  <si>
    <t>+8.7</t>
  </si>
  <si>
    <t>-3.2</t>
  </si>
  <si>
    <t>+130.4</t>
  </si>
  <si>
    <t>-124.8</t>
  </si>
  <si>
    <t>New Mexico @ Oklahoma</t>
  </si>
  <si>
    <t>6-14</t>
  </si>
  <si>
    <t>-21.2</t>
  </si>
  <si>
    <t>-8.9</t>
  </si>
  <si>
    <t>-9.7</t>
  </si>
  <si>
    <t>+121.5</t>
  </si>
  <si>
    <t>-146.4</t>
  </si>
  <si>
    <t>North Dakota State @ Sacramento State</t>
  </si>
  <si>
    <t>31-10</t>
  </si>
  <si>
    <t>+25.5</t>
  </si>
  <si>
    <t>-21.0</t>
  </si>
  <si>
    <t>+13.0</t>
  </si>
  <si>
    <t>+12.5</t>
  </si>
  <si>
    <t>+7.6</t>
  </si>
  <si>
    <t>+35.9</t>
  </si>
  <si>
    <t>-10.4</t>
  </si>
  <si>
    <t>+12.2</t>
  </si>
  <si>
    <t>+13.3</t>
  </si>
  <si>
    <t>+18.2</t>
  </si>
  <si>
    <t>+111.1</t>
  </si>
  <si>
    <t>-133.1</t>
  </si>
  <si>
    <t>Fresno State @ San José State</t>
  </si>
  <si>
    <t>26-10</t>
  </si>
  <si>
    <t>-16.0</t>
  </si>
  <si>
    <t>+3.1</t>
  </si>
  <si>
    <t>+0.9</t>
  </si>
  <si>
    <t>-6.1</t>
  </si>
  <si>
    <t>+19.1</t>
  </si>
  <si>
    <t>+111.5</t>
  </si>
  <si>
    <t>-126.9</t>
  </si>
  <si>
    <t>38-10</t>
  </si>
  <si>
    <t>+13.5</t>
  </si>
  <si>
    <t>-28.0</t>
  </si>
  <si>
    <t>+1.5</t>
  </si>
  <si>
    <t>+12.0</t>
  </si>
  <si>
    <t>+8.4</t>
  </si>
  <si>
    <t>+20.9</t>
  </si>
  <si>
    <t>+31.1</t>
  </si>
  <si>
    <t>+119.1</t>
  </si>
  <si>
    <t>-105.9</t>
  </si>
  <si>
    <t>Northern Illinois @ Georgia State</t>
  </si>
  <si>
    <t>14-35</t>
  </si>
  <si>
    <t>-8.8</t>
  </si>
  <si>
    <t>+21.0</t>
  </si>
  <si>
    <t>-2.4</t>
  </si>
  <si>
    <t>+0.7</t>
  </si>
  <si>
    <t>-24.2</t>
  </si>
  <si>
    <t>+15.4</t>
  </si>
  <si>
    <t>+33.9</t>
  </si>
  <si>
    <t>+119.8</t>
  </si>
  <si>
    <t>-90.5</t>
  </si>
  <si>
    <t>Air Force @ Nevada</t>
  </si>
  <si>
    <t>36-33</t>
  </si>
  <si>
    <t>+5.2</t>
  </si>
  <si>
    <t>+4.6</t>
  </si>
  <si>
    <t>+3.4</t>
  </si>
  <si>
    <t>+5.5</t>
  </si>
  <si>
    <t>+121.6</t>
  </si>
  <si>
    <t>-85.0</t>
  </si>
  <si>
    <t>42-18</t>
  </si>
  <si>
    <t>+11.5</t>
  </si>
  <si>
    <t>+6.9</t>
  </si>
  <si>
    <t>+12.1</t>
  </si>
  <si>
    <t>+12.4</t>
  </si>
  <si>
    <t>-0.9</t>
  </si>
  <si>
    <t>+40.5</t>
  </si>
  <si>
    <t>-5.5</t>
  </si>
  <si>
    <t>+116.4</t>
  </si>
  <si>
    <t>-85.9</t>
  </si>
  <si>
    <t>Oregon State @ UTEP</t>
  </si>
  <si>
    <t>33-7</t>
  </si>
  <si>
    <t>-26.0</t>
  </si>
  <si>
    <t>+15.1</t>
  </si>
  <si>
    <t>+1.1</t>
  </si>
  <si>
    <t>-0.7</t>
  </si>
  <si>
    <t>+55.6</t>
  </si>
  <si>
    <t>+115.6</t>
  </si>
  <si>
    <t>-81.7</t>
  </si>
  <si>
    <t>Hawai'i @ Wyoming</t>
  </si>
  <si>
    <t>10-27</t>
  </si>
  <si>
    <t>+2.2</t>
  </si>
  <si>
    <t>-3.7</t>
  </si>
  <si>
    <t>+1.0</t>
  </si>
  <si>
    <t>+51.9</t>
  </si>
  <si>
    <t>+6.1</t>
  </si>
  <si>
    <t>+114.1</t>
  </si>
  <si>
    <t>-73.1</t>
  </si>
  <si>
    <t>9-14</t>
  </si>
  <si>
    <t>-8.4</t>
  </si>
  <si>
    <t>-7.7</t>
  </si>
  <si>
    <t>+57.6</t>
  </si>
  <si>
    <t>+5.4</t>
  </si>
  <si>
    <t>+106.3</t>
  </si>
  <si>
    <t>-68.2</t>
  </si>
  <si>
    <t>7-61</t>
  </si>
  <si>
    <t>+54.0</t>
  </si>
  <si>
    <t>-22.3</t>
  </si>
  <si>
    <t>-1.0</t>
  </si>
  <si>
    <t>-20.7</t>
  </si>
  <si>
    <t>-32.3</t>
  </si>
  <si>
    <t>+9.1</t>
  </si>
  <si>
    <t>-28.2</t>
  </si>
  <si>
    <t>+56.6</t>
  </si>
  <si>
    <t>+115.4</t>
  </si>
  <si>
    <t>-63.2</t>
  </si>
  <si>
    <t>0-28</t>
  </si>
  <si>
    <t>+28.0</t>
  </si>
  <si>
    <t>-22.5</t>
  </si>
  <si>
    <t>-21.1</t>
  </si>
  <si>
    <t>+3.9</t>
  </si>
  <si>
    <t>+13.1</t>
  </si>
  <si>
    <t>-20.8</t>
  </si>
  <si>
    <t>+61.9</t>
  </si>
  <si>
    <t>+128.5</t>
  </si>
  <si>
    <t>-59.7</t>
  </si>
  <si>
    <t>31-39</t>
  </si>
  <si>
    <t>-15.4</t>
  </si>
  <si>
    <t>+13.7</t>
  </si>
  <si>
    <t>+4.2</t>
  </si>
  <si>
    <t>+1.3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</si>
</sst>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1"/>
      <name val="Calibri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4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2"/>
      <name val="Arial"/>
      <family val="2"/>
    </font>
    <font>
      <b/>
      <sz val="11"/>
      <color rgb="FF000000"/>
      <name val="Arial"/>
      <family val="2"/>
    </font>
    <font>
      <i/>
      <sz val="9"/>
      <color rgb="FF666666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5" borderId="0" xfId="0" applyFont="1" applyFill="1"/>
    <xf numFmtId="0" fontId="13" fillId="6" borderId="0" xfId="0" applyFont="1" applyFill="1"/>
    <xf numFmtId="0" fontId="17" fillId="7" borderId="0" xfId="0" applyFont="1" applyFill="1"/>
    <xf numFmtId="0" fontId="17" fillId="7" borderId="0" xfId="0" applyFont="1" applyFill="1" applyAlignment="1">
      <alignment horizontal="center"/>
    </xf>
    <xf numFmtId="0" fontId="19" fillId="0" borderId="0" xfId="0" applyFont="1"/>
    <xf numFmtId="0" fontId="18" fillId="0" borderId="0" xfId="0" applyFont="1"/>
    <xf numFmtId="0" fontId="20" fillId="0" borderId="0" xfId="0" applyFont="1"/>
    <xf numFmtId="0" fontId="21" fillId="0" borderId="0" xfId="0" applyFont="1"/>
    <xf numFmtId="164" fontId="18" fillId="0" borderId="0" xfId="0" applyNumberFormat="1" applyFont="1"/>
    <xf numFmtId="0" fontId="17" fillId="7" borderId="0" xfId="0" applyFont="1" applyFill="1" applyAlignment="1">
      <alignment horizontal="center" wrapText="1"/>
    </xf>
    <xf numFmtId="0" fontId="18" fillId="8" borderId="0" xfId="0" applyFont="1" applyFill="1"/>
    <xf numFmtId="0" fontId="18" fillId="9" borderId="0" xfId="0" applyFont="1" applyFill="1"/>
    <xf numFmtId="0" fontId="18" fillId="10" borderId="0" xfId="0" applyFont="1" applyFill="1"/>
    <xf numFmtId="0" fontId="17" fillId="11" borderId="0" xfId="0" applyFont="1" applyFill="1" applyAlignment="1">
      <alignment horizontal="center"/>
    </xf>
    <xf numFmtId="0" fontId="17" fillId="12" borderId="0" xfId="0" applyFont="1" applyFill="1" applyAlignment="1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192</v>
      </c>
    </row>
    <row r="2" spans="1:1" ht="14.25" customHeight="1" x14ac:dyDescent="0.25">
      <c r="A2" s="2" t="s">
        <v>193</v>
      </c>
    </row>
    <row r="3" spans="1:1" ht="14.25" customHeight="1" x14ac:dyDescent="0.25">
      <c r="A3" s="3"/>
    </row>
    <row r="4" spans="1:1" ht="14.25" customHeight="1" x14ac:dyDescent="0.25">
      <c r="A4" s="4" t="s">
        <v>194</v>
      </c>
    </row>
    <row r="5" spans="1:1" ht="14.25" customHeight="1" x14ac:dyDescent="0.25">
      <c r="A5" s="3" t="s">
        <v>195</v>
      </c>
    </row>
    <row r="6" spans="1:1" ht="14.25" customHeight="1" x14ac:dyDescent="0.25">
      <c r="A6" s="3" t="s">
        <v>196</v>
      </c>
    </row>
    <row r="7" spans="1:1" ht="14.25" customHeight="1" x14ac:dyDescent="0.25">
      <c r="A7" s="3" t="s">
        <v>197</v>
      </c>
    </row>
    <row r="8" spans="1:1" ht="14.25" customHeight="1" x14ac:dyDescent="0.25">
      <c r="A8" s="3"/>
    </row>
    <row r="9" spans="1:1" ht="14.25" customHeight="1" x14ac:dyDescent="0.25">
      <c r="A9" s="4" t="s">
        <v>198</v>
      </c>
    </row>
    <row r="10" spans="1:1" ht="14.25" customHeight="1" x14ac:dyDescent="0.25">
      <c r="A10" s="3" t="s">
        <v>199</v>
      </c>
    </row>
    <row r="11" spans="1:1" ht="14.25" customHeight="1" x14ac:dyDescent="0.25">
      <c r="A11" s="3" t="s">
        <v>200</v>
      </c>
    </row>
    <row r="12" spans="1:1" ht="14.25" customHeight="1" x14ac:dyDescent="0.25">
      <c r="A12" s="3" t="s">
        <v>201</v>
      </c>
    </row>
    <row r="13" spans="1:1" ht="14.25" customHeight="1" x14ac:dyDescent="0.25">
      <c r="A13" s="3"/>
    </row>
    <row r="14" spans="1:1" ht="14.25" customHeight="1" x14ac:dyDescent="0.25">
      <c r="A14" s="4" t="s">
        <v>202</v>
      </c>
    </row>
    <row r="15" spans="1:1" ht="14.25" customHeight="1" x14ac:dyDescent="0.25">
      <c r="A15" s="3" t="s">
        <v>203</v>
      </c>
    </row>
    <row r="16" spans="1:1" ht="14.25" customHeight="1" x14ac:dyDescent="0.25">
      <c r="A16" s="3" t="s">
        <v>204</v>
      </c>
    </row>
    <row r="17" spans="1:1" ht="14.25" customHeight="1" x14ac:dyDescent="0.25">
      <c r="A17" s="3" t="s">
        <v>205</v>
      </c>
    </row>
    <row r="18" spans="1:1" ht="14.25" customHeight="1" x14ac:dyDescent="0.25">
      <c r="A18" s="3" t="s">
        <v>206</v>
      </c>
    </row>
    <row r="19" spans="1:1" ht="14.25" customHeight="1" x14ac:dyDescent="0.25">
      <c r="A19" s="3" t="s">
        <v>207</v>
      </c>
    </row>
    <row r="20" spans="1:1" ht="14.25" customHeight="1" x14ac:dyDescent="0.25">
      <c r="A20" s="3"/>
    </row>
    <row r="21" spans="1:1" ht="14.25" customHeight="1" x14ac:dyDescent="0.25">
      <c r="A21" s="3" t="s">
        <v>208</v>
      </c>
    </row>
    <row r="22" spans="1:1" ht="14.25" customHeight="1" x14ac:dyDescent="0.25">
      <c r="A22" s="3" t="s">
        <v>209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customHeight="1" x14ac:dyDescent="0.25">
      <c r="A1" s="1" t="s">
        <v>210</v>
      </c>
    </row>
    <row r="3" spans="1:3" ht="14.25" customHeight="1" x14ac:dyDescent="0.25">
      <c r="A3" s="5" t="s">
        <v>211</v>
      </c>
      <c r="B3" s="5" t="s">
        <v>212</v>
      </c>
      <c r="C3" s="5" t="s">
        <v>213</v>
      </c>
    </row>
    <row r="4" spans="1:3" ht="14.25" customHeight="1" x14ac:dyDescent="0.25">
      <c r="A4" s="6" t="s">
        <v>214</v>
      </c>
      <c r="B4" s="7">
        <v>50</v>
      </c>
      <c r="C4" s="2" t="s">
        <v>215</v>
      </c>
    </row>
    <row r="5" spans="1:3" ht="14.25" customHeight="1" x14ac:dyDescent="0.25">
      <c r="A5" s="6" t="s">
        <v>216</v>
      </c>
      <c r="B5" s="7">
        <v>2</v>
      </c>
      <c r="C5" s="2" t="s">
        <v>217</v>
      </c>
    </row>
    <row r="6" spans="1:3" ht="14.25" customHeight="1" x14ac:dyDescent="0.25">
      <c r="A6" s="6" t="s">
        <v>218</v>
      </c>
      <c r="B6" s="7">
        <v>2</v>
      </c>
      <c r="C6" s="2" t="s">
        <v>219</v>
      </c>
    </row>
    <row r="7" spans="1:3" ht="14.25" customHeight="1" x14ac:dyDescent="0.25">
      <c r="A7" s="6" t="s">
        <v>220</v>
      </c>
      <c r="B7" s="7">
        <v>-110</v>
      </c>
      <c r="C7" s="2" t="s">
        <v>221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zoomScaleNormal="100" workbookViewId="0">
      <selection activeCell="D2" sqref="D2"/>
    </sheetView>
  </sheetViews>
  <sheetFormatPr defaultColWidth="8.7109375" defaultRowHeight="15" x14ac:dyDescent="0.25"/>
  <cols>
    <col min="1" max="1" width="6" customWidth="1"/>
    <col min="2" max="2" width="11" customWidth="1"/>
    <col min="3" max="3" width="20.5703125" customWidth="1"/>
    <col min="4" max="4" width="18" customWidth="1"/>
    <col min="5" max="6" width="16" customWidth="1"/>
    <col min="7" max="7" width="12.7109375" customWidth="1"/>
    <col min="8" max="8" width="7.5703125" customWidth="1"/>
    <col min="9" max="10" width="11" customWidth="1"/>
    <col min="11" max="11" width="12" customWidth="1"/>
    <col min="12" max="12" width="5.5703125" customWidth="1"/>
    <col min="13" max="14" width="14.285156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25">
      <c r="A1" s="5" t="s">
        <v>9</v>
      </c>
      <c r="B1" s="5" t="s">
        <v>10</v>
      </c>
      <c r="C1" s="5" t="s">
        <v>13</v>
      </c>
      <c r="D1" s="5" t="s">
        <v>14</v>
      </c>
      <c r="E1" s="5" t="s">
        <v>15</v>
      </c>
      <c r="F1" s="5" t="s">
        <v>16</v>
      </c>
      <c r="G1" s="5" t="s">
        <v>17</v>
      </c>
      <c r="H1" s="5" t="s">
        <v>222</v>
      </c>
      <c r="I1" s="5" t="s">
        <v>20</v>
      </c>
      <c r="J1" s="5" t="s">
        <v>21</v>
      </c>
      <c r="K1" s="5" t="s">
        <v>22</v>
      </c>
      <c r="L1" s="5" t="s">
        <v>223</v>
      </c>
      <c r="M1" s="5" t="s">
        <v>224</v>
      </c>
      <c r="N1" s="5" t="s">
        <v>225</v>
      </c>
      <c r="O1" s="5" t="s">
        <v>226</v>
      </c>
      <c r="P1" s="5" t="s">
        <v>227</v>
      </c>
      <c r="R1" s="8" t="s">
        <v>228</v>
      </c>
    </row>
    <row r="2" spans="1:18" ht="14.25" customHeight="1" x14ac:dyDescent="0.25">
      <c r="A2">
        <v>6</v>
      </c>
      <c r="B2" t="s">
        <v>30</v>
      </c>
      <c r="C2" t="s">
        <v>115</v>
      </c>
      <c r="D2" t="s">
        <v>116</v>
      </c>
      <c r="E2">
        <v>13.6</v>
      </c>
      <c r="F2">
        <v>10</v>
      </c>
      <c r="G2" s="6">
        <f t="shared" ref="G2:G14" si="0">F2-E2</f>
        <v>-3.5999999999999996</v>
      </c>
      <c r="H2" s="6" t="str">
        <f t="shared" ref="H2:H14" si="1">IF(G2=0,"Pick'em",IF(G2&gt;0,"Home","Away"))</f>
        <v>Away</v>
      </c>
      <c r="I2">
        <v>43.5</v>
      </c>
      <c r="J2">
        <v>47.5</v>
      </c>
      <c r="K2" s="6">
        <f t="shared" ref="K2:K14" si="2">I2-J2</f>
        <v>-4</v>
      </c>
      <c r="L2" s="6" t="str">
        <f t="shared" ref="L2:L14" si="3">IF(K2=0,"Push",IF(K2&gt;0,"Over","Under"))</f>
        <v>Under</v>
      </c>
      <c r="M2" s="6" t="str">
        <f>IF(ABS(G2)&gt;=Settings!$B$5,H2,IF(F2=0,"Pick'em",IF(F2&lt;0,"Home (auto)","Away (auto)")))</f>
        <v>Away</v>
      </c>
      <c r="N2" s="6" t="str">
        <f>IF(ABS(K2)&gt;=Settings!$B$6,L2,IF(K2=0,"Push",L2&amp;" (auto)"))</f>
        <v>Under</v>
      </c>
      <c r="O2" s="9"/>
      <c r="P2" s="9"/>
    </row>
    <row r="3" spans="1:18" ht="14.25" customHeight="1" x14ac:dyDescent="0.25">
      <c r="A3">
        <v>6</v>
      </c>
      <c r="B3" t="s">
        <v>30</v>
      </c>
      <c r="C3" t="s">
        <v>117</v>
      </c>
      <c r="D3" t="s">
        <v>118</v>
      </c>
      <c r="E3">
        <v>-5.7</v>
      </c>
      <c r="F3">
        <v>-6.5</v>
      </c>
      <c r="G3" s="6">
        <f t="shared" si="0"/>
        <v>-0.79999999999999982</v>
      </c>
      <c r="H3" s="6" t="str">
        <f t="shared" si="1"/>
        <v>Away</v>
      </c>
      <c r="I3">
        <v>46.8</v>
      </c>
      <c r="J3">
        <v>43.5</v>
      </c>
      <c r="K3" s="6">
        <f t="shared" si="2"/>
        <v>3.2999999999999972</v>
      </c>
      <c r="L3" s="6" t="str">
        <f t="shared" si="3"/>
        <v>Over</v>
      </c>
      <c r="M3" s="6" t="str">
        <f>IF(ABS(G3)&gt;=Settings!$B$5,H3,IF(F3=0,"Pick'em",IF(F3&lt;0,"Home (auto)","Away (auto)")))</f>
        <v>Home (auto)</v>
      </c>
      <c r="N3" s="6" t="str">
        <f>IF(ABS(K3)&gt;=Settings!$B$6,L3,IF(K3=0,"Push",L3&amp;" (auto)"))</f>
        <v>Over</v>
      </c>
    </row>
    <row r="4" spans="1:18" ht="14.25" customHeight="1" x14ac:dyDescent="0.25">
      <c r="A4">
        <v>6</v>
      </c>
      <c r="B4" t="s">
        <v>30</v>
      </c>
      <c r="C4" t="s">
        <v>119</v>
      </c>
      <c r="D4" t="s">
        <v>120</v>
      </c>
      <c r="E4">
        <v>10.4</v>
      </c>
      <c r="F4">
        <v>3</v>
      </c>
      <c r="G4" s="6">
        <f t="shared" si="0"/>
        <v>-7.4</v>
      </c>
      <c r="H4" s="6" t="str">
        <f t="shared" si="1"/>
        <v>Away</v>
      </c>
      <c r="I4">
        <v>44.2</v>
      </c>
      <c r="J4">
        <v>49.5</v>
      </c>
      <c r="K4" s="6">
        <f t="shared" si="2"/>
        <v>-5.2999999999999972</v>
      </c>
      <c r="L4" s="6" t="str">
        <f t="shared" si="3"/>
        <v>Under</v>
      </c>
      <c r="M4" s="6" t="str">
        <f>IF(ABS(G4)&gt;=Settings!$B$5,H4,IF(F4=0,"Pick'em",IF(F4&lt;0,"Home (auto)","Away (auto)")))</f>
        <v>Away</v>
      </c>
      <c r="N4" s="6" t="str">
        <f>IF(ABS(K4)&gt;=Settings!$B$6,L4,IF(K4=0,"Push",L4&amp;" (auto)"))</f>
        <v>Under</v>
      </c>
    </row>
    <row r="5" spans="1:18" ht="14.25" customHeight="1" x14ac:dyDescent="0.25">
      <c r="A5">
        <v>6</v>
      </c>
      <c r="B5" t="s">
        <v>30</v>
      </c>
      <c r="C5" t="s">
        <v>121</v>
      </c>
      <c r="D5" t="s">
        <v>122</v>
      </c>
      <c r="E5">
        <v>8.5</v>
      </c>
      <c r="F5">
        <v>9</v>
      </c>
      <c r="G5" s="6">
        <f t="shared" si="0"/>
        <v>0.5</v>
      </c>
      <c r="H5" s="6" t="str">
        <f t="shared" si="1"/>
        <v>Home</v>
      </c>
      <c r="I5">
        <v>45.4</v>
      </c>
      <c r="J5">
        <v>49.5</v>
      </c>
      <c r="K5" s="6">
        <f t="shared" si="2"/>
        <v>-4.1000000000000014</v>
      </c>
      <c r="L5" s="6" t="str">
        <f t="shared" si="3"/>
        <v>Under</v>
      </c>
      <c r="M5" s="6" t="str">
        <f>IF(ABS(G5)&gt;=Settings!$B$5,H5,IF(F5=0,"Pick'em",IF(F5&lt;0,"Home (auto)","Away (auto)")))</f>
        <v>Away (auto)</v>
      </c>
      <c r="N5" s="6" t="str">
        <f>IF(ABS(K5)&gt;=Settings!$B$6,L5,IF(K5=0,"Push",L5&amp;" (auto)"))</f>
        <v>Under</v>
      </c>
      <c r="R5" s="6" t="s">
        <v>115</v>
      </c>
    </row>
    <row r="6" spans="1:18" ht="14.25" customHeight="1" x14ac:dyDescent="0.25">
      <c r="A6">
        <v>6</v>
      </c>
      <c r="B6" t="s">
        <v>67</v>
      </c>
      <c r="C6" t="s">
        <v>69</v>
      </c>
      <c r="D6" t="s">
        <v>70</v>
      </c>
      <c r="E6">
        <v>-15.7</v>
      </c>
      <c r="F6">
        <v>-21</v>
      </c>
      <c r="G6" s="6">
        <f t="shared" si="0"/>
        <v>-5.3000000000000007</v>
      </c>
      <c r="H6" s="6" t="str">
        <f t="shared" si="1"/>
        <v>Away</v>
      </c>
      <c r="I6">
        <v>47</v>
      </c>
      <c r="J6">
        <v>51</v>
      </c>
      <c r="K6" s="6">
        <f t="shared" si="2"/>
        <v>-4</v>
      </c>
      <c r="L6" s="6" t="str">
        <f t="shared" si="3"/>
        <v>Under</v>
      </c>
      <c r="M6" s="6" t="str">
        <f>IF(ABS(G6)&gt;=Settings!$B$5,H6,IF(F6=0,"Pick'em",IF(F6&lt;0,"Home (auto)","Away (auto)")))</f>
        <v>Away</v>
      </c>
      <c r="N6" s="6" t="str">
        <f>IF(ABS(K6)&gt;=Settings!$B$6,L6,IF(K6=0,"Push",L6&amp;" (auto)"))</f>
        <v>Under</v>
      </c>
      <c r="R6" s="6" t="s">
        <v>69</v>
      </c>
    </row>
    <row r="7" spans="1:18" ht="14.25" customHeight="1" x14ac:dyDescent="0.25">
      <c r="A7" s="10">
        <v>5</v>
      </c>
      <c r="B7" t="s">
        <v>161</v>
      </c>
      <c r="C7" s="10" t="s">
        <v>52</v>
      </c>
      <c r="D7" s="10" t="s">
        <v>115</v>
      </c>
      <c r="E7" s="10">
        <v>5</v>
      </c>
      <c r="F7" s="10">
        <v>-2.8</v>
      </c>
      <c r="G7" s="10">
        <f t="shared" si="0"/>
        <v>-7.8</v>
      </c>
      <c r="H7" s="10" t="str">
        <f t="shared" si="1"/>
        <v>Away</v>
      </c>
      <c r="I7" s="10">
        <v>55.1</v>
      </c>
      <c r="J7" s="10">
        <v>45.2</v>
      </c>
      <c r="K7" s="10">
        <f t="shared" si="2"/>
        <v>9.8999999999999986</v>
      </c>
      <c r="L7" s="10" t="str">
        <f t="shared" si="3"/>
        <v>Over</v>
      </c>
      <c r="M7" s="10" t="str">
        <f>IF(ABS(G7)&gt;=Settings!$B$5,H7,IF(F7=0,"Pick'em",IF(F7&lt;0,"Home (auto)","Away (auto)")))</f>
        <v>Away</v>
      </c>
      <c r="N7" s="10" t="str">
        <f>IF(ABS(K7)&gt;=Settings!$B$6,L7,IF(K7=0,"Push",L7&amp;" (auto)"))</f>
        <v>Over</v>
      </c>
      <c r="R7" s="6" t="s">
        <v>121</v>
      </c>
    </row>
    <row r="8" spans="1:18" ht="14.25" customHeight="1" x14ac:dyDescent="0.25">
      <c r="A8">
        <v>5</v>
      </c>
      <c r="B8" t="s">
        <v>161</v>
      </c>
      <c r="C8" t="s">
        <v>122</v>
      </c>
      <c r="D8" t="s">
        <v>183</v>
      </c>
      <c r="E8">
        <v>-32.299999999999997</v>
      </c>
      <c r="F8">
        <v>-23.2</v>
      </c>
      <c r="G8" s="6">
        <f t="shared" si="0"/>
        <v>9.0999999999999979</v>
      </c>
      <c r="H8" s="6" t="str">
        <f t="shared" si="1"/>
        <v>Home</v>
      </c>
      <c r="I8">
        <v>43.7</v>
      </c>
      <c r="J8">
        <v>47.8</v>
      </c>
      <c r="K8" s="6">
        <f t="shared" si="2"/>
        <v>-4.0999999999999943</v>
      </c>
      <c r="L8" s="6" t="str">
        <f t="shared" si="3"/>
        <v>Under</v>
      </c>
      <c r="M8" s="6" t="str">
        <f>IF(ABS(G8)&gt;=Settings!$B$5,H8,IF(F8=0,"Pick'em",IF(F8&lt;0,"Home (auto)","Away (auto)")))</f>
        <v>Home</v>
      </c>
      <c r="N8" s="6" t="str">
        <f>IF(ABS(K8)&gt;=Settings!$B$6,L8,IF(K8=0,"Push",L8&amp;" (auto)"))</f>
        <v>Under</v>
      </c>
      <c r="R8" s="6" t="s">
        <v>183</v>
      </c>
    </row>
    <row r="9" spans="1:18" ht="14.25" customHeight="1" x14ac:dyDescent="0.25">
      <c r="A9">
        <v>5</v>
      </c>
      <c r="B9" t="s">
        <v>161</v>
      </c>
      <c r="C9" t="s">
        <v>117</v>
      </c>
      <c r="D9" t="s">
        <v>119</v>
      </c>
      <c r="E9">
        <v>-30.4</v>
      </c>
      <c r="F9">
        <v>-17.2</v>
      </c>
      <c r="G9" s="6">
        <f t="shared" si="0"/>
        <v>13.2</v>
      </c>
      <c r="H9" s="6" t="str">
        <f t="shared" si="1"/>
        <v>Home</v>
      </c>
      <c r="I9">
        <v>46.7</v>
      </c>
      <c r="J9">
        <v>44.5</v>
      </c>
      <c r="K9" s="6">
        <f t="shared" si="2"/>
        <v>2.2000000000000028</v>
      </c>
      <c r="L9" s="6" t="str">
        <f t="shared" si="3"/>
        <v>Over</v>
      </c>
      <c r="M9" s="6" t="str">
        <f>IF(ABS(G9)&gt;=Settings!$B$5,H9,IF(F9=0,"Pick'em",IF(F9&lt;0,"Home (auto)","Away (auto)")))</f>
        <v>Home</v>
      </c>
      <c r="N9" s="6" t="str">
        <f>IF(ABS(K9)&gt;=Settings!$B$6,L9,IF(K9=0,"Push",L9&amp;" (auto)"))</f>
        <v>Over</v>
      </c>
      <c r="R9" s="6" t="s">
        <v>119</v>
      </c>
    </row>
    <row r="10" spans="1:18" ht="14.25" customHeight="1" x14ac:dyDescent="0.25">
      <c r="A10">
        <v>5</v>
      </c>
      <c r="B10" t="s">
        <v>161</v>
      </c>
      <c r="C10" t="s">
        <v>32</v>
      </c>
      <c r="D10" t="s">
        <v>120</v>
      </c>
      <c r="E10">
        <v>-5.9</v>
      </c>
      <c r="F10">
        <v>-1.8</v>
      </c>
      <c r="G10" s="6">
        <f t="shared" si="0"/>
        <v>4.1000000000000005</v>
      </c>
      <c r="H10" s="6" t="str">
        <f t="shared" si="1"/>
        <v>Home</v>
      </c>
      <c r="I10">
        <v>45.6</v>
      </c>
      <c r="J10">
        <v>52.2</v>
      </c>
      <c r="K10" s="6">
        <f t="shared" si="2"/>
        <v>-6.6000000000000014</v>
      </c>
      <c r="L10" s="6" t="str">
        <f t="shared" si="3"/>
        <v>Under</v>
      </c>
      <c r="M10" s="6" t="str">
        <f>IF(ABS(G10)&gt;=Settings!$B$5,H10,IF(F10=0,"Pick'em",IF(F10&lt;0,"Home (auto)","Away (auto)")))</f>
        <v>Home</v>
      </c>
      <c r="N10" s="6" t="str">
        <f>IF(ABS(K10)&gt;=Settings!$B$6,L10,IF(K10=0,"Push",L10&amp;" (auto)"))</f>
        <v>Under</v>
      </c>
      <c r="R10" s="6" t="s">
        <v>116</v>
      </c>
    </row>
    <row r="11" spans="1:18" ht="14.25" customHeight="1" x14ac:dyDescent="0.25">
      <c r="A11">
        <v>5</v>
      </c>
      <c r="B11" t="s">
        <v>176</v>
      </c>
      <c r="C11" t="s">
        <v>118</v>
      </c>
      <c r="D11" t="s">
        <v>69</v>
      </c>
      <c r="E11">
        <v>-6.9</v>
      </c>
      <c r="F11">
        <v>-2.8</v>
      </c>
      <c r="G11" s="6">
        <f t="shared" si="0"/>
        <v>4.1000000000000005</v>
      </c>
      <c r="H11" s="6" t="str">
        <f t="shared" si="1"/>
        <v>Home</v>
      </c>
      <c r="I11">
        <v>48.5</v>
      </c>
      <c r="J11">
        <v>51.2</v>
      </c>
      <c r="K11" s="6">
        <f t="shared" si="2"/>
        <v>-2.7000000000000028</v>
      </c>
      <c r="L11" s="6" t="str">
        <f t="shared" si="3"/>
        <v>Under</v>
      </c>
      <c r="M11" s="6" t="str">
        <f>IF(ABS(G11)&gt;=Settings!$B$5,H11,IF(F11=0,"Pick'em",IF(F11&lt;0,"Home (auto)","Away (auto)")))</f>
        <v>Home</v>
      </c>
      <c r="N11" s="6" t="str">
        <f>IF(ABS(K11)&gt;=Settings!$B$6,L11,IF(K11=0,"Push",L11&amp;" (auto)"))</f>
        <v>Under</v>
      </c>
      <c r="R11" s="6" t="s">
        <v>118</v>
      </c>
    </row>
    <row r="12" spans="1:18" ht="14.25" customHeight="1" x14ac:dyDescent="0.2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120</v>
      </c>
    </row>
    <row r="13" spans="1:18" ht="14.25" customHeight="1" x14ac:dyDescent="0.2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2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25">
      <c r="G15" s="6"/>
      <c r="H15" s="6"/>
      <c r="K15" s="6"/>
      <c r="L15" s="6"/>
      <c r="M15" s="6"/>
      <c r="N15" s="6"/>
    </row>
    <row r="16" spans="1:18" ht="14.25" customHeight="1" x14ac:dyDescent="0.25">
      <c r="G16" s="6"/>
      <c r="H16" s="6"/>
      <c r="K16" s="6"/>
      <c r="L16" s="6"/>
      <c r="M16" s="6"/>
      <c r="N16" s="6"/>
    </row>
    <row r="17" spans="7:14" ht="14.25" customHeight="1" x14ac:dyDescent="0.25">
      <c r="G17" s="6"/>
      <c r="H17" s="6"/>
      <c r="K17" s="6"/>
      <c r="L17" s="6"/>
      <c r="M17" s="6"/>
      <c r="N17" s="6"/>
    </row>
    <row r="18" spans="7:14" ht="14.25" customHeight="1" x14ac:dyDescent="0.25">
      <c r="G18" s="6"/>
      <c r="H18" s="6"/>
      <c r="K18" s="6"/>
      <c r="L18" s="6"/>
      <c r="M18" s="6"/>
      <c r="N18" s="6"/>
    </row>
    <row r="19" spans="7:14" ht="14.25" customHeight="1" x14ac:dyDescent="0.25">
      <c r="G19" s="6"/>
      <c r="H19" s="6"/>
      <c r="K19" s="6"/>
      <c r="L19" s="6"/>
      <c r="M19" s="6"/>
      <c r="N19" s="6"/>
    </row>
    <row r="20" spans="7:14" ht="14.25" customHeight="1" x14ac:dyDescent="0.25">
      <c r="G20" s="6"/>
      <c r="H20" s="6"/>
      <c r="K20" s="6"/>
      <c r="L20" s="6"/>
      <c r="M20" s="6"/>
      <c r="N20" s="6"/>
    </row>
    <row r="21" spans="7:14" ht="14.25" customHeight="1" x14ac:dyDescent="0.25">
      <c r="G21" s="6"/>
      <c r="H21" s="6"/>
      <c r="K21" s="6"/>
      <c r="L21" s="6"/>
      <c r="M21" s="6"/>
      <c r="N21" s="6"/>
    </row>
    <row r="22" spans="7:14" ht="14.25" customHeight="1" x14ac:dyDescent="0.25">
      <c r="G22" s="6"/>
      <c r="H22" s="6"/>
      <c r="K22" s="6"/>
      <c r="L22" s="6"/>
      <c r="M22" s="6"/>
      <c r="N22" s="6"/>
    </row>
    <row r="23" spans="7:14" ht="14.25" customHeight="1" x14ac:dyDescent="0.25">
      <c r="G23" s="6"/>
      <c r="H23" s="6"/>
      <c r="K23" s="6"/>
      <c r="L23" s="6"/>
      <c r="M23" s="6"/>
      <c r="N23" s="6"/>
    </row>
    <row r="24" spans="7:14" ht="14.25" customHeight="1" x14ac:dyDescent="0.25">
      <c r="G24" s="6"/>
      <c r="H24" s="6"/>
      <c r="K24" s="6"/>
      <c r="L24" s="6"/>
      <c r="M24" s="6"/>
      <c r="N24" s="6"/>
    </row>
    <row r="25" spans="7:14" ht="14.25" customHeight="1" x14ac:dyDescent="0.25">
      <c r="G25" s="6"/>
      <c r="H25" s="6"/>
      <c r="K25" s="6"/>
      <c r="L25" s="6"/>
      <c r="M25" s="6"/>
      <c r="N25" s="6"/>
    </row>
    <row r="26" spans="7:14" ht="14.25" customHeight="1" x14ac:dyDescent="0.25">
      <c r="G26" s="6"/>
      <c r="H26" s="6"/>
      <c r="K26" s="6"/>
      <c r="L26" s="6"/>
      <c r="M26" s="6"/>
      <c r="N26" s="6"/>
    </row>
    <row r="27" spans="7:14" ht="14.25" customHeight="1" x14ac:dyDescent="0.25">
      <c r="G27" s="6"/>
      <c r="H27" s="6"/>
      <c r="K27" s="6"/>
      <c r="L27" s="6"/>
      <c r="M27" s="6"/>
      <c r="N27" s="6"/>
    </row>
    <row r="28" spans="7:14" ht="14.25" customHeight="1" x14ac:dyDescent="0.25">
      <c r="G28" s="6"/>
      <c r="H28" s="6"/>
      <c r="K28" s="6"/>
      <c r="L28" s="6"/>
      <c r="M28" s="6"/>
      <c r="N28" s="6"/>
    </row>
    <row r="29" spans="7:14" ht="14.25" customHeight="1" x14ac:dyDescent="0.25">
      <c r="G29" s="6"/>
      <c r="H29" s="6"/>
      <c r="K29" s="6"/>
      <c r="L29" s="6"/>
      <c r="M29" s="6"/>
      <c r="N29" s="6"/>
    </row>
    <row r="30" spans="7:14" ht="14.25" customHeight="1" x14ac:dyDescent="0.25"/>
    <row r="31" spans="7:14" ht="14.25" customHeight="1" x14ac:dyDescent="0.25"/>
    <row r="32" spans="7:1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opLeftCell="A50" zoomScaleNormal="100" workbookViewId="0">
      <selection activeCell="C69" sqref="C69"/>
    </sheetView>
  </sheetViews>
  <sheetFormatPr defaultColWidth="8.7109375" defaultRowHeight="15" x14ac:dyDescent="0.25"/>
  <cols>
    <col min="1" max="1" width="11" customWidth="1"/>
    <col min="2" max="2" width="6" customWidth="1"/>
    <col min="3" max="3" width="37.42578125" customWidth="1"/>
    <col min="4" max="4" width="10" customWidth="1"/>
    <col min="5" max="5" width="22.285156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25">
      <c r="A1" s="5" t="s">
        <v>10</v>
      </c>
      <c r="B1" s="5" t="s">
        <v>9</v>
      </c>
      <c r="C1" s="5" t="s">
        <v>229</v>
      </c>
      <c r="D1" s="5" t="s">
        <v>230</v>
      </c>
      <c r="E1" s="5" t="s">
        <v>231</v>
      </c>
      <c r="F1" s="5" t="s">
        <v>232</v>
      </c>
      <c r="G1" s="5" t="s">
        <v>233</v>
      </c>
      <c r="H1" s="5" t="s">
        <v>234</v>
      </c>
      <c r="I1" s="5" t="s">
        <v>235</v>
      </c>
      <c r="J1" s="5" t="s">
        <v>236</v>
      </c>
      <c r="K1" s="5" t="s">
        <v>237</v>
      </c>
      <c r="L1" s="5" t="s">
        <v>238</v>
      </c>
      <c r="M1" s="5" t="s">
        <v>239</v>
      </c>
    </row>
    <row r="2" spans="1:13" ht="14.25" customHeight="1" x14ac:dyDescent="0.25">
      <c r="A2" t="s">
        <v>240</v>
      </c>
      <c r="B2">
        <v>1</v>
      </c>
      <c r="C2" t="s">
        <v>241</v>
      </c>
      <c r="D2" t="s">
        <v>242</v>
      </c>
      <c r="E2" t="s">
        <v>119</v>
      </c>
      <c r="F2">
        <v>-7.5</v>
      </c>
      <c r="G2">
        <v>100</v>
      </c>
      <c r="H2">
        <v>1</v>
      </c>
      <c r="I2">
        <v>-7</v>
      </c>
      <c r="J2" s="6">
        <f t="shared" ref="J2:J33" si="0">IF(I2="","",I2-F2)</f>
        <v>0.5</v>
      </c>
      <c r="K2" t="s">
        <v>243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25">
      <c r="A3" t="s">
        <v>240</v>
      </c>
      <c r="B3">
        <v>1</v>
      </c>
      <c r="C3" t="s">
        <v>241</v>
      </c>
      <c r="D3" t="s">
        <v>244</v>
      </c>
      <c r="E3" t="s">
        <v>119</v>
      </c>
      <c r="G3">
        <v>-285</v>
      </c>
      <c r="H3">
        <v>5</v>
      </c>
      <c r="J3" s="6" t="str">
        <f t="shared" si="0"/>
        <v/>
      </c>
      <c r="K3" t="s">
        <v>243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25">
      <c r="A4" t="s">
        <v>240</v>
      </c>
      <c r="B4">
        <v>1</v>
      </c>
      <c r="C4" t="s">
        <v>245</v>
      </c>
      <c r="D4" t="s">
        <v>244</v>
      </c>
      <c r="E4" t="s">
        <v>120</v>
      </c>
      <c r="G4">
        <v>-178</v>
      </c>
      <c r="H4">
        <v>5</v>
      </c>
      <c r="J4" s="6" t="str">
        <f t="shared" si="0"/>
        <v/>
      </c>
      <c r="K4" t="s">
        <v>246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25">
      <c r="A5" t="s">
        <v>240</v>
      </c>
      <c r="B5">
        <v>1</v>
      </c>
      <c r="C5" t="s">
        <v>247</v>
      </c>
      <c r="D5" t="s">
        <v>248</v>
      </c>
      <c r="E5" t="s">
        <v>249</v>
      </c>
      <c r="G5">
        <v>110</v>
      </c>
      <c r="H5">
        <v>3</v>
      </c>
      <c r="J5" s="6" t="str">
        <f t="shared" si="0"/>
        <v/>
      </c>
      <c r="K5" t="s">
        <v>246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25">
      <c r="A6" t="s">
        <v>250</v>
      </c>
      <c r="B6">
        <v>1</v>
      </c>
      <c r="C6" t="s">
        <v>251</v>
      </c>
      <c r="D6" t="s">
        <v>242</v>
      </c>
      <c r="E6" t="s">
        <v>103</v>
      </c>
      <c r="F6">
        <v>-3.5</v>
      </c>
      <c r="G6">
        <v>-110</v>
      </c>
      <c r="H6">
        <v>2</v>
      </c>
      <c r="J6" s="6" t="str">
        <f t="shared" si="0"/>
        <v/>
      </c>
      <c r="K6" t="s">
        <v>246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25">
      <c r="A7" s="10" t="s">
        <v>252</v>
      </c>
      <c r="B7">
        <v>1</v>
      </c>
      <c r="C7" t="s">
        <v>253</v>
      </c>
      <c r="D7" t="s">
        <v>248</v>
      </c>
      <c r="E7" t="s">
        <v>254</v>
      </c>
      <c r="G7">
        <v>149</v>
      </c>
      <c r="H7">
        <v>2</v>
      </c>
      <c r="J7" s="6" t="str">
        <f t="shared" si="0"/>
        <v/>
      </c>
      <c r="K7" t="s">
        <v>246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25">
      <c r="A8" s="10" t="s">
        <v>252</v>
      </c>
      <c r="B8">
        <v>1</v>
      </c>
      <c r="C8" t="s">
        <v>255</v>
      </c>
      <c r="D8" t="s">
        <v>242</v>
      </c>
      <c r="E8" t="s">
        <v>184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243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25">
      <c r="A9" s="10" t="s">
        <v>252</v>
      </c>
      <c r="B9">
        <v>1</v>
      </c>
      <c r="C9" t="s">
        <v>255</v>
      </c>
      <c r="D9" t="s">
        <v>244</v>
      </c>
      <c r="E9" t="s">
        <v>184</v>
      </c>
      <c r="G9">
        <v>-145</v>
      </c>
      <c r="H9">
        <v>2</v>
      </c>
      <c r="J9" s="6" t="str">
        <f t="shared" si="0"/>
        <v/>
      </c>
      <c r="K9" t="s">
        <v>243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25">
      <c r="A10" s="10" t="s">
        <v>252</v>
      </c>
      <c r="B10">
        <v>1</v>
      </c>
      <c r="C10" t="s">
        <v>256</v>
      </c>
      <c r="D10" t="s">
        <v>242</v>
      </c>
      <c r="E10" t="s">
        <v>183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243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25">
      <c r="A11" s="10" t="s">
        <v>257</v>
      </c>
      <c r="B11">
        <v>1</v>
      </c>
      <c r="C11" t="s">
        <v>258</v>
      </c>
      <c r="D11" t="s">
        <v>242</v>
      </c>
      <c r="E11" t="s">
        <v>166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243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25">
      <c r="A12" s="10" t="s">
        <v>257</v>
      </c>
      <c r="B12">
        <v>1</v>
      </c>
      <c r="C12" t="s">
        <v>258</v>
      </c>
      <c r="D12" t="s">
        <v>242</v>
      </c>
      <c r="E12" t="s">
        <v>28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243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25">
      <c r="A13" s="10" t="s">
        <v>257</v>
      </c>
      <c r="B13">
        <v>1</v>
      </c>
      <c r="C13" t="s">
        <v>258</v>
      </c>
      <c r="D13" t="s">
        <v>244</v>
      </c>
      <c r="E13" t="s">
        <v>28</v>
      </c>
      <c r="G13">
        <v>265</v>
      </c>
      <c r="H13">
        <v>1</v>
      </c>
      <c r="J13" s="6" t="str">
        <f t="shared" si="0"/>
        <v/>
      </c>
      <c r="K13" t="s">
        <v>246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25">
      <c r="A14" s="10" t="s">
        <v>259</v>
      </c>
      <c r="B14">
        <v>1</v>
      </c>
      <c r="C14" t="s">
        <v>260</v>
      </c>
      <c r="D14" t="s">
        <v>242</v>
      </c>
      <c r="E14" t="s">
        <v>29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243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25">
      <c r="A15" s="10" t="s">
        <v>259</v>
      </c>
      <c r="B15">
        <v>1</v>
      </c>
      <c r="C15" t="s">
        <v>260</v>
      </c>
      <c r="D15" t="s">
        <v>242</v>
      </c>
      <c r="E15" t="s">
        <v>29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243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25">
      <c r="A16" s="10" t="s">
        <v>259</v>
      </c>
      <c r="B16">
        <v>1</v>
      </c>
      <c r="C16" t="s">
        <v>261</v>
      </c>
      <c r="D16" t="s">
        <v>242</v>
      </c>
      <c r="E16" t="s">
        <v>180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246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25">
      <c r="A17" s="10" t="s">
        <v>252</v>
      </c>
      <c r="B17">
        <v>1</v>
      </c>
      <c r="C17" t="s">
        <v>262</v>
      </c>
      <c r="D17" t="s">
        <v>242</v>
      </c>
      <c r="E17" t="s">
        <v>163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246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25">
      <c r="A18" s="10" t="s">
        <v>252</v>
      </c>
      <c r="B18">
        <v>1</v>
      </c>
      <c r="C18" t="s">
        <v>262</v>
      </c>
      <c r="D18" t="s">
        <v>242</v>
      </c>
      <c r="E18" t="s">
        <v>163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246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25">
      <c r="A19" s="10" t="s">
        <v>252</v>
      </c>
      <c r="B19">
        <v>1</v>
      </c>
      <c r="C19" t="s">
        <v>263</v>
      </c>
      <c r="D19" t="s">
        <v>244</v>
      </c>
      <c r="E19" t="s">
        <v>179</v>
      </c>
      <c r="G19">
        <v>146</v>
      </c>
      <c r="H19">
        <v>11.5</v>
      </c>
      <c r="J19" s="6" t="str">
        <f t="shared" si="0"/>
        <v/>
      </c>
      <c r="K19" t="s">
        <v>243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25">
      <c r="A20" s="10" t="s">
        <v>252</v>
      </c>
      <c r="B20">
        <v>1</v>
      </c>
      <c r="C20" t="s">
        <v>264</v>
      </c>
      <c r="D20" t="s">
        <v>242</v>
      </c>
      <c r="E20" t="s">
        <v>128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246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25">
      <c r="A21" s="10" t="s">
        <v>252</v>
      </c>
      <c r="B21">
        <v>1</v>
      </c>
      <c r="C21" t="s">
        <v>265</v>
      </c>
      <c r="D21" t="s">
        <v>244</v>
      </c>
      <c r="E21" t="s">
        <v>106</v>
      </c>
      <c r="G21">
        <v>200</v>
      </c>
      <c r="H21">
        <v>3</v>
      </c>
      <c r="J21" s="6" t="str">
        <f t="shared" si="0"/>
        <v/>
      </c>
      <c r="K21" t="s">
        <v>246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25">
      <c r="A22" t="s">
        <v>250</v>
      </c>
      <c r="B22">
        <v>1</v>
      </c>
      <c r="C22" t="s">
        <v>266</v>
      </c>
      <c r="D22" t="s">
        <v>242</v>
      </c>
      <c r="E22" t="s">
        <v>162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243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25">
      <c r="A23" t="s">
        <v>250</v>
      </c>
      <c r="B23">
        <v>1</v>
      </c>
      <c r="C23" t="s">
        <v>267</v>
      </c>
      <c r="D23" t="s">
        <v>268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246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25">
      <c r="A24" t="s">
        <v>250</v>
      </c>
      <c r="B24">
        <v>1</v>
      </c>
      <c r="C24" t="s">
        <v>269</v>
      </c>
      <c r="D24" t="s">
        <v>242</v>
      </c>
      <c r="E24" t="s">
        <v>179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246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25">
      <c r="A25" t="s">
        <v>250</v>
      </c>
      <c r="B25">
        <v>1</v>
      </c>
      <c r="C25" t="s">
        <v>270</v>
      </c>
      <c r="D25" t="s">
        <v>268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246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25">
      <c r="A26" t="s">
        <v>250</v>
      </c>
      <c r="B26">
        <v>1</v>
      </c>
      <c r="C26" t="s">
        <v>271</v>
      </c>
      <c r="D26" t="s">
        <v>244</v>
      </c>
      <c r="E26" t="s">
        <v>103</v>
      </c>
      <c r="G26">
        <v>-146</v>
      </c>
      <c r="H26">
        <v>2</v>
      </c>
      <c r="J26" s="6" t="str">
        <f t="shared" si="0"/>
        <v/>
      </c>
      <c r="K26" t="s">
        <v>246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25">
      <c r="A27" t="s">
        <v>250</v>
      </c>
      <c r="B27">
        <v>1</v>
      </c>
      <c r="C27" t="s">
        <v>272</v>
      </c>
      <c r="D27" t="s">
        <v>242</v>
      </c>
      <c r="E27" t="s">
        <v>49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246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25">
      <c r="A28" t="s">
        <v>250</v>
      </c>
      <c r="B28">
        <v>1</v>
      </c>
      <c r="C28" t="s">
        <v>272</v>
      </c>
      <c r="D28" t="s">
        <v>242</v>
      </c>
      <c r="E28" t="s">
        <v>49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243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25">
      <c r="A29" t="s">
        <v>273</v>
      </c>
      <c r="B29">
        <v>2</v>
      </c>
      <c r="C29" t="s">
        <v>274</v>
      </c>
      <c r="D29" t="s">
        <v>242</v>
      </c>
      <c r="E29" t="s">
        <v>54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243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25">
      <c r="A30" t="s">
        <v>275</v>
      </c>
      <c r="B30">
        <v>2</v>
      </c>
      <c r="C30" t="s">
        <v>276</v>
      </c>
      <c r="D30" t="s">
        <v>242</v>
      </c>
      <c r="E30" t="s">
        <v>119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243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25">
      <c r="A31" t="s">
        <v>275</v>
      </c>
      <c r="B31">
        <v>2</v>
      </c>
      <c r="C31" t="s">
        <v>276</v>
      </c>
      <c r="D31" t="s">
        <v>244</v>
      </c>
      <c r="E31" t="s">
        <v>119</v>
      </c>
      <c r="G31">
        <v>-134</v>
      </c>
      <c r="H31">
        <v>2.5</v>
      </c>
      <c r="J31" s="6" t="str">
        <f t="shared" si="0"/>
        <v/>
      </c>
      <c r="K31" t="s">
        <v>243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25">
      <c r="A32" t="s">
        <v>275</v>
      </c>
      <c r="B32">
        <v>2</v>
      </c>
      <c r="C32" t="s">
        <v>277</v>
      </c>
      <c r="D32" t="s">
        <v>244</v>
      </c>
      <c r="E32" t="s">
        <v>278</v>
      </c>
      <c r="G32">
        <v>-330</v>
      </c>
      <c r="H32">
        <v>1</v>
      </c>
      <c r="J32" s="6" t="str">
        <f t="shared" si="0"/>
        <v/>
      </c>
      <c r="K32" t="s">
        <v>243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25">
      <c r="A33" t="s">
        <v>273</v>
      </c>
      <c r="B33">
        <v>2</v>
      </c>
      <c r="C33" t="s">
        <v>279</v>
      </c>
      <c r="D33" t="s">
        <v>242</v>
      </c>
      <c r="E33" t="s">
        <v>280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246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25">
      <c r="A34" t="s">
        <v>273</v>
      </c>
      <c r="B34">
        <v>2</v>
      </c>
      <c r="C34" t="s">
        <v>281</v>
      </c>
      <c r="D34" t="s">
        <v>244</v>
      </c>
      <c r="E34" t="s">
        <v>141</v>
      </c>
      <c r="G34">
        <v>500</v>
      </c>
      <c r="H34">
        <v>40</v>
      </c>
      <c r="J34" s="6" t="str">
        <f t="shared" ref="J34:J55" si="2">IF(I34="","",I34-F34)</f>
        <v/>
      </c>
      <c r="K34" t="s">
        <v>243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25">
      <c r="A35" t="s">
        <v>282</v>
      </c>
      <c r="B35">
        <v>3</v>
      </c>
      <c r="C35" t="s">
        <v>283</v>
      </c>
      <c r="D35" t="s">
        <v>242</v>
      </c>
      <c r="E35" t="s">
        <v>109</v>
      </c>
      <c r="F35">
        <v>-1.5</v>
      </c>
      <c r="G35">
        <v>-110</v>
      </c>
      <c r="H35">
        <v>1</v>
      </c>
      <c r="I35">
        <v>-2.5</v>
      </c>
      <c r="J35" s="6">
        <f t="shared" si="2"/>
        <v>-1</v>
      </c>
      <c r="K35" t="s">
        <v>243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25">
      <c r="A36" t="s">
        <v>282</v>
      </c>
      <c r="B36">
        <v>3</v>
      </c>
      <c r="C36" t="s">
        <v>283</v>
      </c>
      <c r="D36" t="s">
        <v>244</v>
      </c>
      <c r="E36" t="s">
        <v>109</v>
      </c>
      <c r="F36">
        <v>-0.5</v>
      </c>
      <c r="G36">
        <v>-114</v>
      </c>
      <c r="H36">
        <v>1</v>
      </c>
      <c r="J36" s="6" t="str">
        <f t="shared" si="2"/>
        <v/>
      </c>
      <c r="K36" t="s">
        <v>243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25">
      <c r="A37" t="s">
        <v>282</v>
      </c>
      <c r="B37">
        <v>3</v>
      </c>
      <c r="C37" t="s">
        <v>284</v>
      </c>
      <c r="D37" t="s">
        <v>242</v>
      </c>
      <c r="E37" t="s">
        <v>119</v>
      </c>
      <c r="F37">
        <v>-27.5</v>
      </c>
      <c r="G37">
        <v>-115</v>
      </c>
      <c r="H37">
        <v>2</v>
      </c>
      <c r="I37">
        <v>-27.5</v>
      </c>
      <c r="J37" s="6">
        <f t="shared" si="2"/>
        <v>0</v>
      </c>
      <c r="K37" t="s">
        <v>246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25">
      <c r="A38" t="s">
        <v>282</v>
      </c>
      <c r="B38">
        <v>3</v>
      </c>
      <c r="C38" t="s">
        <v>285</v>
      </c>
      <c r="D38" t="s">
        <v>244</v>
      </c>
      <c r="E38" t="s">
        <v>166</v>
      </c>
      <c r="G38">
        <v>134</v>
      </c>
      <c r="H38">
        <v>1</v>
      </c>
      <c r="J38" s="6" t="str">
        <f t="shared" si="2"/>
        <v/>
      </c>
      <c r="K38" t="s">
        <v>246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25">
      <c r="A39" t="s">
        <v>282</v>
      </c>
      <c r="B39">
        <v>3</v>
      </c>
      <c r="C39" t="s">
        <v>286</v>
      </c>
      <c r="D39" t="s">
        <v>244</v>
      </c>
      <c r="E39" t="s">
        <v>137</v>
      </c>
      <c r="G39">
        <v>350</v>
      </c>
      <c r="H39">
        <v>36</v>
      </c>
      <c r="J39" s="6" t="str">
        <f t="shared" si="2"/>
        <v/>
      </c>
      <c r="K39" t="s">
        <v>246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25">
      <c r="A40" t="s">
        <v>282</v>
      </c>
      <c r="B40">
        <v>3</v>
      </c>
      <c r="C40" t="s">
        <v>283</v>
      </c>
      <c r="D40" t="s">
        <v>242</v>
      </c>
      <c r="E40" t="s">
        <v>109</v>
      </c>
      <c r="F40">
        <v>-1.5</v>
      </c>
      <c r="G40">
        <v>-114</v>
      </c>
      <c r="H40">
        <v>2.6</v>
      </c>
      <c r="I40">
        <v>-2.5</v>
      </c>
      <c r="J40" s="6">
        <f t="shared" si="2"/>
        <v>-1</v>
      </c>
      <c r="K40" t="s">
        <v>243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25">
      <c r="A41" t="s">
        <v>282</v>
      </c>
      <c r="B41">
        <v>3</v>
      </c>
      <c r="C41" t="s">
        <v>287</v>
      </c>
      <c r="D41" t="s">
        <v>242</v>
      </c>
      <c r="E41" t="s">
        <v>182</v>
      </c>
      <c r="F41">
        <v>-4.5</v>
      </c>
      <c r="G41">
        <v>-118</v>
      </c>
      <c r="H41">
        <v>3.5</v>
      </c>
      <c r="I41">
        <v>-5.5</v>
      </c>
      <c r="J41" s="6">
        <f t="shared" si="2"/>
        <v>-1</v>
      </c>
      <c r="K41" t="s">
        <v>243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25">
      <c r="A42" t="s">
        <v>282</v>
      </c>
      <c r="B42">
        <v>3</v>
      </c>
      <c r="C42" t="s">
        <v>288</v>
      </c>
      <c r="D42" t="s">
        <v>242</v>
      </c>
      <c r="E42" t="s">
        <v>172</v>
      </c>
      <c r="F42">
        <v>-7.5</v>
      </c>
      <c r="G42">
        <v>-115</v>
      </c>
      <c r="H42">
        <v>1.5</v>
      </c>
      <c r="I42">
        <v>-7.5</v>
      </c>
      <c r="J42" s="6">
        <f t="shared" si="2"/>
        <v>0</v>
      </c>
      <c r="K42" t="s">
        <v>246</v>
      </c>
      <c r="L42" s="11">
        <f t="shared" si="1"/>
        <v>-1.5</v>
      </c>
      <c r="M42" s="11">
        <f>Settings!$B$4+SUM(L$2:L42)</f>
        <v>219.62795272007367</v>
      </c>
    </row>
    <row r="43" spans="1:13" x14ac:dyDescent="0.25">
      <c r="A43" t="s">
        <v>282</v>
      </c>
      <c r="B43">
        <v>3</v>
      </c>
      <c r="C43" t="s">
        <v>289</v>
      </c>
      <c r="D43" t="s">
        <v>242</v>
      </c>
      <c r="E43" t="s">
        <v>35</v>
      </c>
      <c r="F43">
        <v>31.5</v>
      </c>
      <c r="G43">
        <v>-140</v>
      </c>
      <c r="H43">
        <v>2.5</v>
      </c>
      <c r="I43">
        <v>20.5</v>
      </c>
      <c r="J43" s="6">
        <f t="shared" si="2"/>
        <v>-11</v>
      </c>
      <c r="K43" t="s">
        <v>243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25">
      <c r="A44" t="s">
        <v>290</v>
      </c>
      <c r="B44">
        <v>4</v>
      </c>
      <c r="C44" t="s">
        <v>291</v>
      </c>
      <c r="D44" t="s">
        <v>244</v>
      </c>
      <c r="E44" t="s">
        <v>163</v>
      </c>
      <c r="F44">
        <v>-138</v>
      </c>
      <c r="G44">
        <v>-138</v>
      </c>
      <c r="H44">
        <v>2</v>
      </c>
      <c r="J44" s="6" t="str">
        <f t="shared" si="2"/>
        <v/>
      </c>
      <c r="K44" t="s">
        <v>243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25">
      <c r="A45" t="s">
        <v>290</v>
      </c>
      <c r="B45">
        <v>4</v>
      </c>
      <c r="C45" t="s">
        <v>292</v>
      </c>
      <c r="D45" t="s">
        <v>242</v>
      </c>
      <c r="E45" t="s">
        <v>104</v>
      </c>
      <c r="F45">
        <v>13.5</v>
      </c>
      <c r="G45">
        <v>-110</v>
      </c>
      <c r="H45">
        <v>1.5</v>
      </c>
      <c r="J45" s="12" t="str">
        <f t="shared" si="2"/>
        <v/>
      </c>
      <c r="K45" t="s">
        <v>246</v>
      </c>
      <c r="L45" s="11">
        <f t="shared" si="1"/>
        <v>-1.5</v>
      </c>
      <c r="M45" s="11">
        <f>Settings!$B$4+SUM(L$2:L45)</f>
        <v>221.36294236810679</v>
      </c>
    </row>
    <row r="46" spans="1:13" x14ac:dyDescent="0.25">
      <c r="A46" t="s">
        <v>290</v>
      </c>
      <c r="B46">
        <v>4</v>
      </c>
      <c r="C46" t="s">
        <v>293</v>
      </c>
      <c r="D46" t="s">
        <v>242</v>
      </c>
      <c r="E46" t="s">
        <v>183</v>
      </c>
      <c r="F46">
        <v>-11.5</v>
      </c>
      <c r="G46">
        <v>-110</v>
      </c>
      <c r="H46">
        <v>1.5</v>
      </c>
      <c r="I46">
        <v>-11.5</v>
      </c>
      <c r="J46" s="12">
        <f t="shared" si="2"/>
        <v>0</v>
      </c>
      <c r="K46" t="s">
        <v>243</v>
      </c>
      <c r="L46" s="11">
        <f t="shared" si="1"/>
        <v>1.3636363636363635</v>
      </c>
      <c r="M46" s="11">
        <f>Settings!$B$4+SUM(L$2:L46)</f>
        <v>222.72657873174316</v>
      </c>
    </row>
    <row r="47" spans="1:13" x14ac:dyDescent="0.25">
      <c r="A47" t="s">
        <v>290</v>
      </c>
      <c r="B47">
        <v>4</v>
      </c>
      <c r="C47" t="s">
        <v>294</v>
      </c>
      <c r="D47" t="s">
        <v>244</v>
      </c>
      <c r="E47" t="s">
        <v>29</v>
      </c>
      <c r="G47">
        <v>-130</v>
      </c>
      <c r="H47">
        <v>1.5</v>
      </c>
      <c r="J47" s="12" t="str">
        <f t="shared" si="2"/>
        <v/>
      </c>
      <c r="K47" t="s">
        <v>246</v>
      </c>
      <c r="L47" s="11">
        <f t="shared" si="1"/>
        <v>-1.5</v>
      </c>
      <c r="M47" s="11">
        <f>Settings!$B$4+SUM(L$2:L47)</f>
        <v>221.22657873174316</v>
      </c>
    </row>
    <row r="48" spans="1:13" x14ac:dyDescent="0.25">
      <c r="A48" t="s">
        <v>290</v>
      </c>
      <c r="B48">
        <v>4</v>
      </c>
      <c r="C48" t="s">
        <v>294</v>
      </c>
      <c r="D48" t="s">
        <v>244</v>
      </c>
      <c r="E48" t="s">
        <v>29</v>
      </c>
      <c r="G48">
        <v>100</v>
      </c>
      <c r="H48">
        <v>1</v>
      </c>
      <c r="J48" s="12" t="str">
        <f t="shared" si="2"/>
        <v/>
      </c>
      <c r="K48" t="s">
        <v>246</v>
      </c>
      <c r="L48" s="11">
        <f t="shared" si="1"/>
        <v>-1</v>
      </c>
      <c r="M48" s="11">
        <f>Settings!$B$4+SUM(L$2:L48)</f>
        <v>220.22657873174316</v>
      </c>
    </row>
    <row r="49" spans="1:13" x14ac:dyDescent="0.25">
      <c r="A49" t="s">
        <v>290</v>
      </c>
      <c r="B49">
        <v>4</v>
      </c>
      <c r="C49" t="s">
        <v>295</v>
      </c>
      <c r="D49" t="s">
        <v>242</v>
      </c>
      <c r="E49" t="s">
        <v>87</v>
      </c>
      <c r="F49">
        <v>5.5</v>
      </c>
      <c r="G49">
        <v>-112</v>
      </c>
      <c r="H49">
        <v>1</v>
      </c>
      <c r="I49">
        <v>5.5</v>
      </c>
      <c r="J49" s="12">
        <f t="shared" si="2"/>
        <v>0</v>
      </c>
      <c r="K49" t="s">
        <v>243</v>
      </c>
      <c r="L49" s="11">
        <f t="shared" si="1"/>
        <v>0.8928571428571429</v>
      </c>
      <c r="M49" s="11">
        <f>Settings!$B$4+SUM(L$2:L49)</f>
        <v>221.1194358746003</v>
      </c>
    </row>
    <row r="50" spans="1:13" x14ac:dyDescent="0.25">
      <c r="A50" t="s">
        <v>290</v>
      </c>
      <c r="B50">
        <v>4</v>
      </c>
      <c r="C50" t="s">
        <v>296</v>
      </c>
      <c r="D50" t="s">
        <v>242</v>
      </c>
      <c r="E50" t="s">
        <v>66</v>
      </c>
      <c r="F50">
        <v>-1.5</v>
      </c>
      <c r="G50">
        <v>-115</v>
      </c>
      <c r="H50">
        <v>1.1499999999999999</v>
      </c>
      <c r="J50" s="12" t="str">
        <f t="shared" si="2"/>
        <v/>
      </c>
      <c r="K50" t="s">
        <v>246</v>
      </c>
      <c r="L50" s="11">
        <f t="shared" si="1"/>
        <v>-1.1499999999999999</v>
      </c>
      <c r="M50" s="11">
        <f>Settings!$B$4+SUM(L$2:L50)</f>
        <v>219.96943587460029</v>
      </c>
    </row>
    <row r="51" spans="1:13" x14ac:dyDescent="0.25">
      <c r="A51" t="s">
        <v>290</v>
      </c>
      <c r="B51">
        <v>4</v>
      </c>
      <c r="C51" t="s">
        <v>297</v>
      </c>
      <c r="D51" t="s">
        <v>242</v>
      </c>
      <c r="E51" t="s">
        <v>84</v>
      </c>
      <c r="F51">
        <v>-3.5</v>
      </c>
      <c r="G51">
        <v>-110</v>
      </c>
      <c r="H51">
        <v>1.1000000000000001</v>
      </c>
      <c r="I51">
        <v>-3.5</v>
      </c>
      <c r="J51" s="12">
        <f t="shared" si="2"/>
        <v>0</v>
      </c>
      <c r="K51" t="s">
        <v>243</v>
      </c>
      <c r="L51" s="11">
        <f t="shared" si="1"/>
        <v>1.0000000000000002</v>
      </c>
      <c r="M51" s="11">
        <f>Settings!$B$4+SUM(L$2:L51)</f>
        <v>220.96943587460029</v>
      </c>
    </row>
    <row r="52" spans="1:13" x14ac:dyDescent="0.25">
      <c r="A52" t="s">
        <v>290</v>
      </c>
      <c r="B52">
        <v>4</v>
      </c>
      <c r="C52" t="s">
        <v>298</v>
      </c>
      <c r="D52" t="s">
        <v>242</v>
      </c>
      <c r="E52" t="s">
        <v>188</v>
      </c>
      <c r="F52">
        <v>-3.5</v>
      </c>
      <c r="G52">
        <v>118</v>
      </c>
      <c r="H52">
        <v>1</v>
      </c>
      <c r="J52" s="12" t="str">
        <f t="shared" si="2"/>
        <v/>
      </c>
      <c r="K52" t="s">
        <v>243</v>
      </c>
      <c r="L52" s="11">
        <f t="shared" si="1"/>
        <v>1.18</v>
      </c>
      <c r="M52" s="11">
        <f>Settings!$B$4+SUM(L$2:L52)</f>
        <v>222.1494358746003</v>
      </c>
    </row>
    <row r="53" spans="1:13" x14ac:dyDescent="0.25">
      <c r="A53" t="s">
        <v>290</v>
      </c>
      <c r="B53">
        <v>4</v>
      </c>
      <c r="C53" t="s">
        <v>299</v>
      </c>
      <c r="D53" t="s">
        <v>244</v>
      </c>
      <c r="E53" t="s">
        <v>34</v>
      </c>
      <c r="G53">
        <v>-150</v>
      </c>
      <c r="H53">
        <v>1.5</v>
      </c>
      <c r="J53" s="12" t="str">
        <f t="shared" si="2"/>
        <v/>
      </c>
      <c r="K53" t="s">
        <v>246</v>
      </c>
      <c r="L53" s="11">
        <f t="shared" si="1"/>
        <v>-1.5</v>
      </c>
      <c r="M53" s="11">
        <f>Settings!$B$4+SUM(L$2:L53)</f>
        <v>220.6494358746003</v>
      </c>
    </row>
    <row r="54" spans="1:13" x14ac:dyDescent="0.25">
      <c r="A54" t="s">
        <v>290</v>
      </c>
      <c r="B54">
        <v>4</v>
      </c>
      <c r="C54" t="s">
        <v>300</v>
      </c>
      <c r="D54" t="s">
        <v>242</v>
      </c>
      <c r="E54" t="s">
        <v>88</v>
      </c>
      <c r="F54">
        <v>-6.5</v>
      </c>
      <c r="G54">
        <v>-114</v>
      </c>
      <c r="H54">
        <v>1.1000000000000001</v>
      </c>
      <c r="J54" s="12" t="str">
        <f t="shared" si="2"/>
        <v/>
      </c>
      <c r="K54" t="s">
        <v>246</v>
      </c>
      <c r="L54" s="11">
        <f t="shared" si="1"/>
        <v>-1.1000000000000001</v>
      </c>
      <c r="M54" s="11">
        <f>Settings!$B$4+SUM(L$2:L54)</f>
        <v>219.54943587460031</v>
      </c>
    </row>
    <row r="55" spans="1:13" x14ac:dyDescent="0.25">
      <c r="A55" t="s">
        <v>290</v>
      </c>
      <c r="B55">
        <v>4</v>
      </c>
      <c r="C55" t="s">
        <v>300</v>
      </c>
      <c r="D55" t="s">
        <v>242</v>
      </c>
      <c r="E55" t="s">
        <v>88</v>
      </c>
      <c r="F55">
        <v>-4.5</v>
      </c>
      <c r="G55">
        <v>-108</v>
      </c>
      <c r="H55">
        <v>1</v>
      </c>
      <c r="J55" s="12" t="str">
        <f t="shared" si="2"/>
        <v/>
      </c>
      <c r="K55" t="s">
        <v>246</v>
      </c>
      <c r="L55" s="11">
        <f t="shared" si="1"/>
        <v>-1</v>
      </c>
      <c r="M55" s="11">
        <f>Settings!$B$4+SUM(L$2:L55)</f>
        <v>218.54943587460031</v>
      </c>
    </row>
    <row r="56" spans="1:13" x14ac:dyDescent="0.25">
      <c r="A56" t="s">
        <v>161</v>
      </c>
      <c r="B56">
        <v>5</v>
      </c>
      <c r="C56" t="s">
        <v>301</v>
      </c>
      <c r="D56" t="s">
        <v>242</v>
      </c>
      <c r="E56" t="s">
        <v>52</v>
      </c>
      <c r="F56">
        <v>2.5</v>
      </c>
      <c r="G56">
        <v>-104</v>
      </c>
      <c r="H56">
        <v>1</v>
      </c>
      <c r="J56" s="12">
        <v>3.5</v>
      </c>
      <c r="K56" t="s">
        <v>246</v>
      </c>
      <c r="L56" s="11">
        <f t="shared" si="1"/>
        <v>-1</v>
      </c>
      <c r="M56" s="11">
        <f>Settings!$B$4+SUM(L$2:L56)</f>
        <v>217.54943587460031</v>
      </c>
    </row>
    <row r="57" spans="1:13" x14ac:dyDescent="0.25">
      <c r="A57" t="s">
        <v>161</v>
      </c>
      <c r="B57">
        <v>5</v>
      </c>
      <c r="C57" t="s">
        <v>301</v>
      </c>
      <c r="D57" t="s">
        <v>244</v>
      </c>
      <c r="E57" t="s">
        <v>52</v>
      </c>
      <c r="G57">
        <v>116</v>
      </c>
      <c r="H57">
        <v>1</v>
      </c>
      <c r="J57" s="12" t="str">
        <f>IF(I57="","",I57-F57)</f>
        <v/>
      </c>
      <c r="K57" t="s">
        <v>246</v>
      </c>
      <c r="L57" s="11">
        <f t="shared" si="1"/>
        <v>-1</v>
      </c>
      <c r="M57" s="11">
        <f>Settings!$B$4+SUM(L$2:L57)</f>
        <v>216.54943587460031</v>
      </c>
    </row>
    <row r="58" spans="1:13" x14ac:dyDescent="0.25">
      <c r="A58" t="s">
        <v>161</v>
      </c>
      <c r="B58">
        <v>5</v>
      </c>
      <c r="C58" t="s">
        <v>302</v>
      </c>
      <c r="D58" t="s">
        <v>242</v>
      </c>
      <c r="E58" t="s">
        <v>119</v>
      </c>
      <c r="F58">
        <v>-19.5</v>
      </c>
      <c r="G58">
        <v>-115</v>
      </c>
      <c r="H58">
        <v>1</v>
      </c>
      <c r="J58" s="12">
        <v>-26.5</v>
      </c>
      <c r="K58" t="s">
        <v>243</v>
      </c>
      <c r="L58" s="11">
        <f t="shared" si="1"/>
        <v>0.86956521739130432</v>
      </c>
      <c r="M58" s="11">
        <f>Settings!$B$4+SUM(L$2:L58)</f>
        <v>217.41900109199162</v>
      </c>
    </row>
    <row r="59" spans="1:13" x14ac:dyDescent="0.25">
      <c r="A59" t="s">
        <v>161</v>
      </c>
      <c r="B59">
        <v>5</v>
      </c>
      <c r="C59" t="s">
        <v>303</v>
      </c>
      <c r="D59" t="s">
        <v>242</v>
      </c>
      <c r="E59" t="s">
        <v>183</v>
      </c>
      <c r="F59">
        <v>-22.5</v>
      </c>
      <c r="G59">
        <v>-110</v>
      </c>
      <c r="H59">
        <v>1</v>
      </c>
      <c r="J59" s="12">
        <v>-34.5</v>
      </c>
      <c r="K59" t="s">
        <v>243</v>
      </c>
      <c r="L59" s="11">
        <f t="shared" si="1"/>
        <v>0.90909090909090906</v>
      </c>
      <c r="M59" s="11">
        <f>Settings!$B$4+SUM(L$2:L59)</f>
        <v>218.32809200108252</v>
      </c>
    </row>
    <row r="60" spans="1:13" x14ac:dyDescent="0.25">
      <c r="A60" t="s">
        <v>161</v>
      </c>
      <c r="B60">
        <v>5</v>
      </c>
      <c r="C60" t="s">
        <v>304</v>
      </c>
      <c r="D60" t="s">
        <v>242</v>
      </c>
      <c r="E60" t="s">
        <v>182</v>
      </c>
      <c r="F60">
        <v>6.5</v>
      </c>
      <c r="G60">
        <v>-110</v>
      </c>
      <c r="H60">
        <v>1</v>
      </c>
      <c r="J60" s="12">
        <v>7.5</v>
      </c>
      <c r="K60" t="s">
        <v>246</v>
      </c>
      <c r="L60" s="11">
        <f t="shared" si="1"/>
        <v>-1</v>
      </c>
      <c r="M60" s="11">
        <f>Settings!$B$4+SUM(L$2:L60)</f>
        <v>217.32809200108252</v>
      </c>
    </row>
    <row r="61" spans="1:13" x14ac:dyDescent="0.25">
      <c r="A61" t="s">
        <v>161</v>
      </c>
      <c r="B61">
        <v>5</v>
      </c>
      <c r="C61" t="s">
        <v>305</v>
      </c>
      <c r="D61" t="s">
        <v>242</v>
      </c>
      <c r="E61" t="s">
        <v>132</v>
      </c>
      <c r="F61">
        <v>-5.5</v>
      </c>
      <c r="G61">
        <v>-110</v>
      </c>
      <c r="H61">
        <v>1</v>
      </c>
      <c r="J61" s="12">
        <v>-6</v>
      </c>
      <c r="K61" t="s">
        <v>243</v>
      </c>
      <c r="L61" s="11">
        <f t="shared" si="1"/>
        <v>0.90909090909090906</v>
      </c>
      <c r="M61" s="11">
        <f>Settings!$B$4+SUM(L$2:L61)</f>
        <v>218.23718291017343</v>
      </c>
    </row>
    <row r="62" spans="1:13" x14ac:dyDescent="0.25">
      <c r="A62" s="13" t="s">
        <v>161</v>
      </c>
      <c r="B62">
        <v>5</v>
      </c>
      <c r="C62" t="s">
        <v>306</v>
      </c>
      <c r="D62" t="s">
        <v>242</v>
      </c>
      <c r="E62" t="s">
        <v>152</v>
      </c>
      <c r="F62">
        <v>-18.5</v>
      </c>
      <c r="G62">
        <v>-115</v>
      </c>
      <c r="H62">
        <v>1</v>
      </c>
      <c r="J62" s="12">
        <v>-19.5</v>
      </c>
      <c r="K62" t="s">
        <v>243</v>
      </c>
      <c r="L62" s="11">
        <f t="shared" si="1"/>
        <v>0.86956521739130432</v>
      </c>
      <c r="M62" s="11">
        <f>Settings!$B$4+SUM(L$2:L62)</f>
        <v>219.10674812756474</v>
      </c>
    </row>
    <row r="63" spans="1:13" x14ac:dyDescent="0.25">
      <c r="A63" t="s">
        <v>159</v>
      </c>
      <c r="B63">
        <v>5</v>
      </c>
      <c r="C63" t="s">
        <v>307</v>
      </c>
      <c r="D63" t="s">
        <v>244</v>
      </c>
      <c r="E63" t="s">
        <v>38</v>
      </c>
      <c r="G63">
        <v>116</v>
      </c>
      <c r="H63">
        <v>2</v>
      </c>
      <c r="J63" s="12" t="str">
        <f t="shared" ref="J63:J126" si="3">IF(I63="","",I63-F63)</f>
        <v/>
      </c>
      <c r="K63" t="s">
        <v>243</v>
      </c>
      <c r="L63" s="11">
        <f t="shared" si="1"/>
        <v>2.3199999999999998</v>
      </c>
      <c r="M63" s="11">
        <f>Settings!$B$4+SUM(L$2:L63)</f>
        <v>221.42674812756474</v>
      </c>
    </row>
    <row r="64" spans="1:13" x14ac:dyDescent="0.25">
      <c r="A64" s="13" t="s">
        <v>161</v>
      </c>
      <c r="B64">
        <v>5</v>
      </c>
      <c r="C64" t="s">
        <v>308</v>
      </c>
      <c r="D64" t="s">
        <v>244</v>
      </c>
      <c r="E64" t="s">
        <v>59</v>
      </c>
      <c r="G64">
        <v>-120</v>
      </c>
      <c r="H64">
        <v>1</v>
      </c>
      <c r="J64" s="12" t="str">
        <f t="shared" si="3"/>
        <v/>
      </c>
      <c r="K64" t="s">
        <v>243</v>
      </c>
      <c r="L64" s="11">
        <f t="shared" si="1"/>
        <v>0.83333333333333337</v>
      </c>
      <c r="M64" s="11">
        <f>Settings!$B$4+SUM(L$2:L64)</f>
        <v>222.26008146089808</v>
      </c>
    </row>
    <row r="65" spans="1:13" x14ac:dyDescent="0.25">
      <c r="A65" s="13" t="s">
        <v>161</v>
      </c>
      <c r="B65">
        <v>5</v>
      </c>
      <c r="C65" t="s">
        <v>309</v>
      </c>
      <c r="D65" t="s">
        <v>242</v>
      </c>
      <c r="E65" t="s">
        <v>133</v>
      </c>
      <c r="F65">
        <v>-2.5</v>
      </c>
      <c r="G65">
        <v>125</v>
      </c>
      <c r="H65">
        <v>1</v>
      </c>
      <c r="J65" s="12" t="str">
        <f t="shared" si="3"/>
        <v/>
      </c>
      <c r="K65" t="s">
        <v>243</v>
      </c>
      <c r="L65" s="11">
        <f t="shared" si="1"/>
        <v>1.25</v>
      </c>
      <c r="M65" s="11">
        <f>Settings!$B$4+SUM(L$2:L65)</f>
        <v>223.51008146089808</v>
      </c>
    </row>
    <row r="66" spans="1:13" x14ac:dyDescent="0.25">
      <c r="A66" t="s">
        <v>159</v>
      </c>
      <c r="B66">
        <v>5</v>
      </c>
      <c r="C66" t="s">
        <v>304</v>
      </c>
      <c r="D66" t="s">
        <v>242</v>
      </c>
      <c r="E66" t="s">
        <v>182</v>
      </c>
      <c r="F66">
        <v>7.5</v>
      </c>
      <c r="G66">
        <v>-122</v>
      </c>
      <c r="H66">
        <v>1</v>
      </c>
      <c r="J66" s="12" t="str">
        <f t="shared" si="3"/>
        <v/>
      </c>
      <c r="K66" t="s">
        <v>246</v>
      </c>
      <c r="L66" s="11">
        <f t="shared" ref="L66:L129" si="4">IF(K66="W",IF(G66&lt;0,H66*100/ABS(G66),H66*G66/100),IF(K66="L",-H66,0))</f>
        <v>-1</v>
      </c>
      <c r="M66" s="11">
        <f>Settings!$B$4+SUM(L$2:L66)</f>
        <v>222.51008146089808</v>
      </c>
    </row>
    <row r="67" spans="1:13" x14ac:dyDescent="0.25">
      <c r="A67" s="13" t="s">
        <v>161</v>
      </c>
      <c r="B67">
        <v>5</v>
      </c>
      <c r="C67" t="s">
        <v>310</v>
      </c>
      <c r="D67" t="s">
        <v>242</v>
      </c>
      <c r="E67" t="s">
        <v>175</v>
      </c>
      <c r="F67">
        <v>5.5</v>
      </c>
      <c r="G67">
        <v>-112</v>
      </c>
      <c r="H67">
        <v>1</v>
      </c>
      <c r="J67" s="12" t="str">
        <f t="shared" si="3"/>
        <v/>
      </c>
      <c r="K67" t="s">
        <v>246</v>
      </c>
      <c r="L67" s="11">
        <f t="shared" si="4"/>
        <v>-1</v>
      </c>
      <c r="M67" s="11">
        <f>Settings!$B$4+SUM(L$2:L67)</f>
        <v>221.51008146089808</v>
      </c>
    </row>
    <row r="68" spans="1:13" x14ac:dyDescent="0.25">
      <c r="A68" s="13" t="s">
        <v>161</v>
      </c>
      <c r="B68">
        <v>5</v>
      </c>
      <c r="C68" t="s">
        <v>311</v>
      </c>
      <c r="D68" t="s">
        <v>244</v>
      </c>
      <c r="E68" t="s">
        <v>85</v>
      </c>
      <c r="G68">
        <v>126</v>
      </c>
      <c r="H68">
        <v>1.79</v>
      </c>
      <c r="J68" s="12" t="str">
        <f t="shared" si="3"/>
        <v/>
      </c>
      <c r="K68" t="s">
        <v>243</v>
      </c>
      <c r="L68" s="11">
        <f t="shared" si="4"/>
        <v>2.2553999999999998</v>
      </c>
      <c r="M68" s="11">
        <f>Settings!$B$4+SUM(L$2:L68)</f>
        <v>223.76548146089809</v>
      </c>
    </row>
    <row r="69" spans="1:13" x14ac:dyDescent="0.25">
      <c r="J69" s="12" t="str">
        <f t="shared" si="3"/>
        <v/>
      </c>
      <c r="L69" s="11">
        <f t="shared" si="4"/>
        <v>0</v>
      </c>
      <c r="M69" s="11">
        <f>Settings!$B$4+SUM(L$2:L69)</f>
        <v>223.76548146089809</v>
      </c>
    </row>
    <row r="70" spans="1:13" x14ac:dyDescent="0.25">
      <c r="J70" s="12" t="str">
        <f t="shared" si="3"/>
        <v/>
      </c>
      <c r="L70" s="11">
        <f t="shared" si="4"/>
        <v>0</v>
      </c>
      <c r="M70" s="11">
        <f>Settings!$B$4+SUM(L$2:L70)</f>
        <v>223.76548146089809</v>
      </c>
    </row>
    <row r="71" spans="1:13" x14ac:dyDescent="0.25">
      <c r="J71" s="12" t="str">
        <f t="shared" si="3"/>
        <v/>
      </c>
      <c r="L71" s="11">
        <f t="shared" si="4"/>
        <v>0</v>
      </c>
      <c r="M71" s="11">
        <f>Settings!$B$4+SUM(L$2:L71)</f>
        <v>223.76548146089809</v>
      </c>
    </row>
    <row r="72" spans="1:13" x14ac:dyDescent="0.25">
      <c r="J72" s="12" t="str">
        <f t="shared" si="3"/>
        <v/>
      </c>
      <c r="L72" s="11">
        <f t="shared" si="4"/>
        <v>0</v>
      </c>
      <c r="M72" s="11">
        <f>Settings!$B$4+SUM(L$2:L72)</f>
        <v>223.76548146089809</v>
      </c>
    </row>
    <row r="73" spans="1:13" x14ac:dyDescent="0.25">
      <c r="J73" s="12" t="str">
        <f t="shared" si="3"/>
        <v/>
      </c>
      <c r="L73" s="11">
        <f t="shared" si="4"/>
        <v>0</v>
      </c>
      <c r="M73" s="11">
        <f>Settings!$B$4+SUM(L$2:L73)</f>
        <v>223.76548146089809</v>
      </c>
    </row>
    <row r="74" spans="1:13" x14ac:dyDescent="0.25">
      <c r="J74" s="12" t="str">
        <f t="shared" si="3"/>
        <v/>
      </c>
      <c r="L74" s="11">
        <f t="shared" si="4"/>
        <v>0</v>
      </c>
      <c r="M74" s="11">
        <f>Settings!$B$4+SUM(L$2:L74)</f>
        <v>223.76548146089809</v>
      </c>
    </row>
    <row r="75" spans="1:13" x14ac:dyDescent="0.25">
      <c r="J75" s="12" t="str">
        <f t="shared" si="3"/>
        <v/>
      </c>
      <c r="L75" s="11">
        <f t="shared" si="4"/>
        <v>0</v>
      </c>
      <c r="M75" s="11">
        <f>Settings!$B$4+SUM(L$2:L75)</f>
        <v>223.76548146089809</v>
      </c>
    </row>
    <row r="76" spans="1:13" x14ac:dyDescent="0.25">
      <c r="J76" s="12" t="str">
        <f t="shared" si="3"/>
        <v/>
      </c>
      <c r="L76" s="11">
        <f t="shared" si="4"/>
        <v>0</v>
      </c>
      <c r="M76" s="11">
        <f>Settings!$B$4+SUM(L$2:L76)</f>
        <v>223.76548146089809</v>
      </c>
    </row>
    <row r="77" spans="1:13" x14ac:dyDescent="0.25">
      <c r="J77" s="12" t="str">
        <f t="shared" si="3"/>
        <v/>
      </c>
      <c r="L77" s="11">
        <f t="shared" si="4"/>
        <v>0</v>
      </c>
      <c r="M77" s="11">
        <f>Settings!$B$4+SUM(L$2:L77)</f>
        <v>223.76548146089809</v>
      </c>
    </row>
    <row r="78" spans="1:13" x14ac:dyDescent="0.25">
      <c r="J78" s="12" t="str">
        <f t="shared" si="3"/>
        <v/>
      </c>
      <c r="L78" s="11">
        <f t="shared" si="4"/>
        <v>0</v>
      </c>
      <c r="M78" s="11">
        <f>Settings!$B$4+SUM(L$2:L78)</f>
        <v>223.76548146089809</v>
      </c>
    </row>
    <row r="79" spans="1:13" x14ac:dyDescent="0.25">
      <c r="J79" s="12" t="str">
        <f t="shared" si="3"/>
        <v/>
      </c>
      <c r="L79" s="11">
        <f t="shared" si="4"/>
        <v>0</v>
      </c>
      <c r="M79" s="11">
        <f>Settings!$B$4+SUM(L$2:L79)</f>
        <v>223.76548146089809</v>
      </c>
    </row>
    <row r="80" spans="1:13" x14ac:dyDescent="0.25">
      <c r="J80" s="12" t="str">
        <f t="shared" si="3"/>
        <v/>
      </c>
      <c r="L80" s="11">
        <f t="shared" si="4"/>
        <v>0</v>
      </c>
      <c r="M80" s="11">
        <f>Settings!$B$4+SUM(L$2:L80)</f>
        <v>223.76548146089809</v>
      </c>
    </row>
    <row r="81" spans="10:13" x14ac:dyDescent="0.25">
      <c r="J81" s="12" t="str">
        <f t="shared" si="3"/>
        <v/>
      </c>
      <c r="L81" s="11">
        <f t="shared" si="4"/>
        <v>0</v>
      </c>
      <c r="M81" s="11">
        <f>Settings!$B$4+SUM(L$2:L81)</f>
        <v>223.76548146089809</v>
      </c>
    </row>
    <row r="82" spans="10:13" x14ac:dyDescent="0.25">
      <c r="J82" s="12" t="str">
        <f t="shared" si="3"/>
        <v/>
      </c>
      <c r="L82" s="11">
        <f t="shared" si="4"/>
        <v>0</v>
      </c>
      <c r="M82" s="11">
        <f>Settings!$B$4+SUM(L$2:L82)</f>
        <v>223.76548146089809</v>
      </c>
    </row>
    <row r="83" spans="10:13" x14ac:dyDescent="0.25">
      <c r="J83" s="12" t="str">
        <f t="shared" si="3"/>
        <v/>
      </c>
      <c r="L83" s="11">
        <f t="shared" si="4"/>
        <v>0</v>
      </c>
      <c r="M83" s="11">
        <f>Settings!$B$4+SUM(L$2:L83)</f>
        <v>223.76548146089809</v>
      </c>
    </row>
    <row r="84" spans="10:13" x14ac:dyDescent="0.25">
      <c r="J84" s="12" t="str">
        <f t="shared" si="3"/>
        <v/>
      </c>
      <c r="L84" s="11">
        <f t="shared" si="4"/>
        <v>0</v>
      </c>
      <c r="M84" s="11">
        <f>Settings!$B$4+SUM(L$2:L84)</f>
        <v>223.76548146089809</v>
      </c>
    </row>
    <row r="85" spans="10:13" x14ac:dyDescent="0.25">
      <c r="J85" s="12" t="str">
        <f t="shared" si="3"/>
        <v/>
      </c>
      <c r="L85" s="11">
        <f t="shared" si="4"/>
        <v>0</v>
      </c>
      <c r="M85" s="11">
        <f>Settings!$B$4+SUM(L$2:L85)</f>
        <v>223.76548146089809</v>
      </c>
    </row>
    <row r="86" spans="10:13" x14ac:dyDescent="0.25">
      <c r="J86" s="12" t="str">
        <f t="shared" si="3"/>
        <v/>
      </c>
      <c r="L86" s="11">
        <f t="shared" si="4"/>
        <v>0</v>
      </c>
      <c r="M86" s="11">
        <f>Settings!$B$4+SUM(L$2:L86)</f>
        <v>223.76548146089809</v>
      </c>
    </row>
    <row r="87" spans="10:13" x14ac:dyDescent="0.25">
      <c r="J87" s="12" t="str">
        <f t="shared" si="3"/>
        <v/>
      </c>
      <c r="L87" s="11">
        <f t="shared" si="4"/>
        <v>0</v>
      </c>
      <c r="M87" s="11">
        <f>Settings!$B$4+SUM(L$2:L87)</f>
        <v>223.76548146089809</v>
      </c>
    </row>
    <row r="88" spans="10:13" x14ac:dyDescent="0.25">
      <c r="J88" s="12" t="str">
        <f t="shared" si="3"/>
        <v/>
      </c>
      <c r="L88" s="11">
        <f t="shared" si="4"/>
        <v>0</v>
      </c>
      <c r="M88" s="11">
        <f>Settings!$B$4+SUM(L$2:L88)</f>
        <v>223.76548146089809</v>
      </c>
    </row>
    <row r="89" spans="10:13" x14ac:dyDescent="0.25">
      <c r="J89" s="12" t="str">
        <f t="shared" si="3"/>
        <v/>
      </c>
      <c r="L89" s="11">
        <f t="shared" si="4"/>
        <v>0</v>
      </c>
      <c r="M89" s="11">
        <f>Settings!$B$4+SUM(L$2:L89)</f>
        <v>223.76548146089809</v>
      </c>
    </row>
    <row r="90" spans="10:13" x14ac:dyDescent="0.25">
      <c r="J90" s="12" t="str">
        <f t="shared" si="3"/>
        <v/>
      </c>
      <c r="L90" s="11">
        <f t="shared" si="4"/>
        <v>0</v>
      </c>
      <c r="M90" s="11">
        <f>Settings!$B$4+SUM(L$2:L90)</f>
        <v>223.76548146089809</v>
      </c>
    </row>
    <row r="91" spans="10:13" x14ac:dyDescent="0.25">
      <c r="J91" s="12" t="str">
        <f t="shared" si="3"/>
        <v/>
      </c>
      <c r="L91" s="11">
        <f t="shared" si="4"/>
        <v>0</v>
      </c>
      <c r="M91" s="11">
        <f>Settings!$B$4+SUM(L$2:L91)</f>
        <v>223.76548146089809</v>
      </c>
    </row>
    <row r="92" spans="10:13" x14ac:dyDescent="0.25">
      <c r="J92" s="12" t="str">
        <f t="shared" si="3"/>
        <v/>
      </c>
      <c r="L92" s="11">
        <f t="shared" si="4"/>
        <v>0</v>
      </c>
      <c r="M92" s="11">
        <f>Settings!$B$4+SUM(L$2:L92)</f>
        <v>223.76548146089809</v>
      </c>
    </row>
    <row r="93" spans="10:13" x14ac:dyDescent="0.25">
      <c r="J93" s="12" t="str">
        <f t="shared" si="3"/>
        <v/>
      </c>
      <c r="L93" s="11">
        <f t="shared" si="4"/>
        <v>0</v>
      </c>
      <c r="M93" s="11">
        <f>Settings!$B$4+SUM(L$2:L93)</f>
        <v>223.76548146089809</v>
      </c>
    </row>
    <row r="94" spans="10:13" x14ac:dyDescent="0.25">
      <c r="J94" s="12" t="str">
        <f t="shared" si="3"/>
        <v/>
      </c>
      <c r="L94" s="11">
        <f t="shared" si="4"/>
        <v>0</v>
      </c>
      <c r="M94" s="11">
        <f>Settings!$B$4+SUM(L$2:L94)</f>
        <v>223.76548146089809</v>
      </c>
    </row>
    <row r="95" spans="10:13" x14ac:dyDescent="0.25">
      <c r="J95" s="12" t="str">
        <f t="shared" si="3"/>
        <v/>
      </c>
      <c r="L95" s="11">
        <f t="shared" si="4"/>
        <v>0</v>
      </c>
      <c r="M95" s="11">
        <f>Settings!$B$4+SUM(L$2:L95)</f>
        <v>223.76548146089809</v>
      </c>
    </row>
    <row r="96" spans="10:13" x14ac:dyDescent="0.25">
      <c r="J96" s="12" t="str">
        <f t="shared" si="3"/>
        <v/>
      </c>
      <c r="L96" s="11">
        <f t="shared" si="4"/>
        <v>0</v>
      </c>
      <c r="M96" s="11">
        <f>Settings!$B$4+SUM(L$2:L96)</f>
        <v>223.76548146089809</v>
      </c>
    </row>
    <row r="97" spans="10:13" x14ac:dyDescent="0.25">
      <c r="J97" s="12" t="str">
        <f t="shared" si="3"/>
        <v/>
      </c>
      <c r="L97" s="11">
        <f t="shared" si="4"/>
        <v>0</v>
      </c>
      <c r="M97" s="11">
        <f>Settings!$B$4+SUM(L$2:L97)</f>
        <v>223.76548146089809</v>
      </c>
    </row>
    <row r="98" spans="10:13" x14ac:dyDescent="0.25">
      <c r="J98" s="12" t="str">
        <f t="shared" si="3"/>
        <v/>
      </c>
      <c r="L98" s="11">
        <f t="shared" si="4"/>
        <v>0</v>
      </c>
      <c r="M98" s="11">
        <f>Settings!$B$4+SUM(L$2:L98)</f>
        <v>223.76548146089809</v>
      </c>
    </row>
    <row r="99" spans="10:13" x14ac:dyDescent="0.25">
      <c r="J99" s="12" t="str">
        <f t="shared" si="3"/>
        <v/>
      </c>
      <c r="L99" s="11">
        <f t="shared" si="4"/>
        <v>0</v>
      </c>
      <c r="M99" s="11">
        <f>Settings!$B$4+SUM(L$2:L99)</f>
        <v>223.76548146089809</v>
      </c>
    </row>
    <row r="100" spans="10:13" x14ac:dyDescent="0.25">
      <c r="J100" s="12" t="str">
        <f t="shared" si="3"/>
        <v/>
      </c>
      <c r="L100" s="11">
        <f t="shared" si="4"/>
        <v>0</v>
      </c>
      <c r="M100" s="11">
        <f>Settings!$B$4+SUM(L$2:L100)</f>
        <v>223.76548146089809</v>
      </c>
    </row>
    <row r="101" spans="10:13" x14ac:dyDescent="0.25">
      <c r="J101" s="12" t="str">
        <f t="shared" si="3"/>
        <v/>
      </c>
      <c r="L101" s="11">
        <f t="shared" si="4"/>
        <v>0</v>
      </c>
      <c r="M101" s="11">
        <f>Settings!$B$4+SUM(L$2:L101)</f>
        <v>223.76548146089809</v>
      </c>
    </row>
    <row r="102" spans="10:13" x14ac:dyDescent="0.25">
      <c r="J102" s="12" t="str">
        <f t="shared" si="3"/>
        <v/>
      </c>
      <c r="L102" s="11">
        <f t="shared" si="4"/>
        <v>0</v>
      </c>
      <c r="M102" s="11">
        <f>Settings!$B$4+SUM(L$2:L102)</f>
        <v>223.76548146089809</v>
      </c>
    </row>
    <row r="103" spans="10:13" x14ac:dyDescent="0.25">
      <c r="J103" s="12" t="str">
        <f t="shared" si="3"/>
        <v/>
      </c>
      <c r="L103" s="11">
        <f t="shared" si="4"/>
        <v>0</v>
      </c>
      <c r="M103" s="11">
        <f>Settings!$B$4+SUM(L$2:L103)</f>
        <v>223.76548146089809</v>
      </c>
    </row>
    <row r="104" spans="10:13" x14ac:dyDescent="0.25">
      <c r="J104" s="12" t="str">
        <f t="shared" si="3"/>
        <v/>
      </c>
      <c r="L104" s="11">
        <f t="shared" si="4"/>
        <v>0</v>
      </c>
      <c r="M104" s="11">
        <f>Settings!$B$4+SUM(L$2:L104)</f>
        <v>223.76548146089809</v>
      </c>
    </row>
    <row r="105" spans="10:13" x14ac:dyDescent="0.25">
      <c r="J105" s="12" t="str">
        <f t="shared" si="3"/>
        <v/>
      </c>
      <c r="L105" s="11">
        <f t="shared" si="4"/>
        <v>0</v>
      </c>
      <c r="M105" s="11">
        <f>Settings!$B$4+SUM(L$2:L105)</f>
        <v>223.76548146089809</v>
      </c>
    </row>
    <row r="106" spans="10:13" x14ac:dyDescent="0.25">
      <c r="J106" s="12" t="str">
        <f t="shared" si="3"/>
        <v/>
      </c>
      <c r="L106" s="11">
        <f t="shared" si="4"/>
        <v>0</v>
      </c>
      <c r="M106" s="11">
        <f>Settings!$B$4+SUM(L$2:L106)</f>
        <v>223.76548146089809</v>
      </c>
    </row>
    <row r="107" spans="10:13" x14ac:dyDescent="0.25">
      <c r="J107" s="12" t="str">
        <f t="shared" si="3"/>
        <v/>
      </c>
      <c r="L107" s="11">
        <f t="shared" si="4"/>
        <v>0</v>
      </c>
      <c r="M107" s="11">
        <f>Settings!$B$4+SUM(L$2:L107)</f>
        <v>223.76548146089809</v>
      </c>
    </row>
    <row r="108" spans="10:13" x14ac:dyDescent="0.25">
      <c r="J108" s="12" t="str">
        <f t="shared" si="3"/>
        <v/>
      </c>
      <c r="L108" s="11">
        <f t="shared" si="4"/>
        <v>0</v>
      </c>
      <c r="M108" s="11">
        <f>Settings!$B$4+SUM(L$2:L108)</f>
        <v>223.76548146089809</v>
      </c>
    </row>
    <row r="109" spans="10:13" x14ac:dyDescent="0.25">
      <c r="J109" s="12" t="str">
        <f t="shared" si="3"/>
        <v/>
      </c>
      <c r="L109" s="11">
        <f t="shared" si="4"/>
        <v>0</v>
      </c>
      <c r="M109" s="11">
        <f>Settings!$B$4+SUM(L$2:L109)</f>
        <v>223.76548146089809</v>
      </c>
    </row>
    <row r="110" spans="10:13" x14ac:dyDescent="0.25">
      <c r="J110" s="12" t="str">
        <f t="shared" si="3"/>
        <v/>
      </c>
      <c r="L110" s="11">
        <f t="shared" si="4"/>
        <v>0</v>
      </c>
      <c r="M110" s="11">
        <f>Settings!$B$4+SUM(L$2:L110)</f>
        <v>223.76548146089809</v>
      </c>
    </row>
    <row r="111" spans="10:13" x14ac:dyDescent="0.25">
      <c r="J111" s="12" t="str">
        <f t="shared" si="3"/>
        <v/>
      </c>
      <c r="L111" s="11">
        <f t="shared" si="4"/>
        <v>0</v>
      </c>
      <c r="M111" s="11">
        <f>Settings!$B$4+SUM(L$2:L111)</f>
        <v>223.76548146089809</v>
      </c>
    </row>
    <row r="112" spans="10:13" x14ac:dyDescent="0.25">
      <c r="J112" s="12" t="str">
        <f t="shared" si="3"/>
        <v/>
      </c>
      <c r="L112" s="11">
        <f t="shared" si="4"/>
        <v>0</v>
      </c>
      <c r="M112" s="11">
        <f>Settings!$B$4+SUM(L$2:L112)</f>
        <v>223.76548146089809</v>
      </c>
    </row>
    <row r="113" spans="10:13" x14ac:dyDescent="0.25">
      <c r="J113" s="12" t="str">
        <f t="shared" si="3"/>
        <v/>
      </c>
      <c r="L113" s="11">
        <f t="shared" si="4"/>
        <v>0</v>
      </c>
      <c r="M113" s="11">
        <f>Settings!$B$4+SUM(L$2:L113)</f>
        <v>223.76548146089809</v>
      </c>
    </row>
    <row r="114" spans="10:13" x14ac:dyDescent="0.25">
      <c r="J114" s="12" t="str">
        <f t="shared" si="3"/>
        <v/>
      </c>
      <c r="L114" s="11">
        <f t="shared" si="4"/>
        <v>0</v>
      </c>
      <c r="M114" s="11">
        <f>Settings!$B$4+SUM(L$2:L114)</f>
        <v>223.76548146089809</v>
      </c>
    </row>
    <row r="115" spans="10:13" x14ac:dyDescent="0.25">
      <c r="J115" s="12" t="str">
        <f t="shared" si="3"/>
        <v/>
      </c>
      <c r="L115" s="11">
        <f t="shared" si="4"/>
        <v>0</v>
      </c>
      <c r="M115" s="11">
        <f>Settings!$B$4+SUM(L$2:L115)</f>
        <v>223.76548146089809</v>
      </c>
    </row>
    <row r="116" spans="10:13" x14ac:dyDescent="0.25">
      <c r="J116" s="12" t="str">
        <f t="shared" si="3"/>
        <v/>
      </c>
      <c r="L116" s="11">
        <f t="shared" si="4"/>
        <v>0</v>
      </c>
      <c r="M116" s="11">
        <f>Settings!$B$4+SUM(L$2:L116)</f>
        <v>223.76548146089809</v>
      </c>
    </row>
    <row r="117" spans="10:13" x14ac:dyDescent="0.25">
      <c r="J117" s="12" t="str">
        <f t="shared" si="3"/>
        <v/>
      </c>
      <c r="L117" s="11">
        <f t="shared" si="4"/>
        <v>0</v>
      </c>
      <c r="M117" s="11">
        <f>Settings!$B$4+SUM(L$2:L117)</f>
        <v>223.76548146089809</v>
      </c>
    </row>
    <row r="118" spans="10:13" x14ac:dyDescent="0.25">
      <c r="J118" s="12" t="str">
        <f t="shared" si="3"/>
        <v/>
      </c>
      <c r="L118" s="11">
        <f t="shared" si="4"/>
        <v>0</v>
      </c>
      <c r="M118" s="11">
        <f>Settings!$B$4+SUM(L$2:L118)</f>
        <v>223.76548146089809</v>
      </c>
    </row>
    <row r="119" spans="10:13" x14ac:dyDescent="0.25">
      <c r="J119" s="12" t="str">
        <f t="shared" si="3"/>
        <v/>
      </c>
      <c r="L119" s="11">
        <f t="shared" si="4"/>
        <v>0</v>
      </c>
      <c r="M119" s="11">
        <f>Settings!$B$4+SUM(L$2:L119)</f>
        <v>223.76548146089809</v>
      </c>
    </row>
    <row r="120" spans="10:13" x14ac:dyDescent="0.25">
      <c r="J120" s="12" t="str">
        <f t="shared" si="3"/>
        <v/>
      </c>
      <c r="L120" s="11">
        <f t="shared" si="4"/>
        <v>0</v>
      </c>
      <c r="M120" s="11">
        <f>Settings!$B$4+SUM(L$2:L120)</f>
        <v>223.76548146089809</v>
      </c>
    </row>
    <row r="121" spans="10:13" x14ac:dyDescent="0.25">
      <c r="J121" s="12" t="str">
        <f t="shared" si="3"/>
        <v/>
      </c>
      <c r="L121" s="11">
        <f t="shared" si="4"/>
        <v>0</v>
      </c>
      <c r="M121" s="11">
        <f>Settings!$B$4+SUM(L$2:L121)</f>
        <v>223.76548146089809</v>
      </c>
    </row>
    <row r="122" spans="10:13" x14ac:dyDescent="0.25">
      <c r="J122" s="12" t="str">
        <f t="shared" si="3"/>
        <v/>
      </c>
      <c r="L122" s="11">
        <f t="shared" si="4"/>
        <v>0</v>
      </c>
      <c r="M122" s="11">
        <f>Settings!$B$4+SUM(L$2:L122)</f>
        <v>223.76548146089809</v>
      </c>
    </row>
    <row r="123" spans="10:13" x14ac:dyDescent="0.25">
      <c r="J123" s="12" t="str">
        <f t="shared" si="3"/>
        <v/>
      </c>
      <c r="L123" s="11">
        <f t="shared" si="4"/>
        <v>0</v>
      </c>
      <c r="M123" s="11">
        <f>Settings!$B$4+SUM(L$2:L123)</f>
        <v>223.76548146089809</v>
      </c>
    </row>
    <row r="124" spans="10:13" x14ac:dyDescent="0.25">
      <c r="J124" s="12" t="str">
        <f t="shared" si="3"/>
        <v/>
      </c>
      <c r="L124" s="11">
        <f t="shared" si="4"/>
        <v>0</v>
      </c>
      <c r="M124" s="11">
        <f>Settings!$B$4+SUM(L$2:L124)</f>
        <v>223.76548146089809</v>
      </c>
    </row>
    <row r="125" spans="10:13" x14ac:dyDescent="0.25">
      <c r="J125" s="12" t="str">
        <f t="shared" si="3"/>
        <v/>
      </c>
      <c r="L125" s="11">
        <f t="shared" si="4"/>
        <v>0</v>
      </c>
      <c r="M125" s="11">
        <f>Settings!$B$4+SUM(L$2:L125)</f>
        <v>223.76548146089809</v>
      </c>
    </row>
    <row r="126" spans="10:13" x14ac:dyDescent="0.25">
      <c r="J126" s="12" t="str">
        <f t="shared" si="3"/>
        <v/>
      </c>
      <c r="L126" s="11">
        <f t="shared" si="4"/>
        <v>0</v>
      </c>
      <c r="M126" s="11">
        <f>Settings!$B$4+SUM(L$2:L126)</f>
        <v>223.76548146089809</v>
      </c>
    </row>
    <row r="127" spans="10:13" x14ac:dyDescent="0.25">
      <c r="J127" s="12" t="str">
        <f t="shared" ref="J127:J190" si="5">IF(I127="","",I127-F127)</f>
        <v/>
      </c>
      <c r="L127" s="11">
        <f t="shared" si="4"/>
        <v>0</v>
      </c>
      <c r="M127" s="11">
        <f>Settings!$B$4+SUM(L$2:L127)</f>
        <v>223.76548146089809</v>
      </c>
    </row>
    <row r="128" spans="10:13" x14ac:dyDescent="0.25">
      <c r="J128" s="12" t="str">
        <f t="shared" si="5"/>
        <v/>
      </c>
      <c r="L128" s="11">
        <f t="shared" si="4"/>
        <v>0</v>
      </c>
      <c r="M128" s="11">
        <f>Settings!$B$4+SUM(L$2:L128)</f>
        <v>223.76548146089809</v>
      </c>
    </row>
    <row r="129" spans="10:13" x14ac:dyDescent="0.25">
      <c r="J129" s="12" t="str">
        <f t="shared" si="5"/>
        <v/>
      </c>
      <c r="L129" s="11">
        <f t="shared" si="4"/>
        <v>0</v>
      </c>
      <c r="M129" s="11">
        <f>Settings!$B$4+SUM(L$2:L129)</f>
        <v>223.76548146089809</v>
      </c>
    </row>
    <row r="130" spans="10:13" x14ac:dyDescent="0.25">
      <c r="J130" s="12" t="str">
        <f t="shared" si="5"/>
        <v/>
      </c>
      <c r="L130" s="11">
        <f t="shared" ref="L130:L193" si="6">IF(K130="W",IF(G130&lt;0,H130*100/ABS(G130),H130*G130/100),IF(K130="L",-H130,0))</f>
        <v>0</v>
      </c>
      <c r="M130" s="11">
        <f>Settings!$B$4+SUM(L$2:L130)</f>
        <v>223.76548146089809</v>
      </c>
    </row>
    <row r="131" spans="10:13" x14ac:dyDescent="0.25">
      <c r="J131" s="12" t="str">
        <f t="shared" si="5"/>
        <v/>
      </c>
      <c r="L131" s="11">
        <f t="shared" si="6"/>
        <v>0</v>
      </c>
      <c r="M131" s="11">
        <f>Settings!$B$4+SUM(L$2:L131)</f>
        <v>223.76548146089809</v>
      </c>
    </row>
    <row r="132" spans="10:13" x14ac:dyDescent="0.25">
      <c r="J132" s="12" t="str">
        <f t="shared" si="5"/>
        <v/>
      </c>
      <c r="L132" s="11">
        <f t="shared" si="6"/>
        <v>0</v>
      </c>
      <c r="M132" s="11">
        <f>Settings!$B$4+SUM(L$2:L132)</f>
        <v>223.76548146089809</v>
      </c>
    </row>
    <row r="133" spans="10:13" x14ac:dyDescent="0.25">
      <c r="J133" s="12" t="str">
        <f t="shared" si="5"/>
        <v/>
      </c>
      <c r="L133" s="11">
        <f t="shared" si="6"/>
        <v>0</v>
      </c>
      <c r="M133" s="11">
        <f>Settings!$B$4+SUM(L$2:L133)</f>
        <v>223.76548146089809</v>
      </c>
    </row>
    <row r="134" spans="10:13" x14ac:dyDescent="0.25">
      <c r="J134" s="12" t="str">
        <f t="shared" si="5"/>
        <v/>
      </c>
      <c r="L134" s="11">
        <f t="shared" si="6"/>
        <v>0</v>
      </c>
      <c r="M134" s="11">
        <f>Settings!$B$4+SUM(L$2:L134)</f>
        <v>223.76548146089809</v>
      </c>
    </row>
    <row r="135" spans="10:13" x14ac:dyDescent="0.25">
      <c r="J135" s="12" t="str">
        <f t="shared" si="5"/>
        <v/>
      </c>
      <c r="L135" s="11">
        <f t="shared" si="6"/>
        <v>0</v>
      </c>
      <c r="M135" s="11">
        <f>Settings!$B$4+SUM(L$2:L135)</f>
        <v>223.76548146089809</v>
      </c>
    </row>
    <row r="136" spans="10:13" x14ac:dyDescent="0.25">
      <c r="J136" s="12" t="str">
        <f t="shared" si="5"/>
        <v/>
      </c>
      <c r="L136" s="11">
        <f t="shared" si="6"/>
        <v>0</v>
      </c>
      <c r="M136" s="11">
        <f>Settings!$B$4+SUM(L$2:L136)</f>
        <v>223.76548146089809</v>
      </c>
    </row>
    <row r="137" spans="10:13" x14ac:dyDescent="0.25">
      <c r="J137" s="12" t="str">
        <f t="shared" si="5"/>
        <v/>
      </c>
      <c r="L137" s="11">
        <f t="shared" si="6"/>
        <v>0</v>
      </c>
      <c r="M137" s="11">
        <f>Settings!$B$4+SUM(L$2:L137)</f>
        <v>223.76548146089809</v>
      </c>
    </row>
    <row r="138" spans="10:13" x14ac:dyDescent="0.25">
      <c r="J138" s="12" t="str">
        <f t="shared" si="5"/>
        <v/>
      </c>
      <c r="L138" s="11">
        <f t="shared" si="6"/>
        <v>0</v>
      </c>
      <c r="M138" s="11">
        <f>Settings!$B$4+SUM(L$2:L138)</f>
        <v>223.76548146089809</v>
      </c>
    </row>
    <row r="139" spans="10:13" x14ac:dyDescent="0.25">
      <c r="J139" s="12" t="str">
        <f t="shared" si="5"/>
        <v/>
      </c>
      <c r="L139" s="11">
        <f t="shared" si="6"/>
        <v>0</v>
      </c>
      <c r="M139" s="11">
        <f>Settings!$B$4+SUM(L$2:L139)</f>
        <v>223.76548146089809</v>
      </c>
    </row>
    <row r="140" spans="10:13" x14ac:dyDescent="0.25">
      <c r="J140" s="12" t="str">
        <f t="shared" si="5"/>
        <v/>
      </c>
      <c r="L140" s="11">
        <f t="shared" si="6"/>
        <v>0</v>
      </c>
      <c r="M140" s="11">
        <f>Settings!$B$4+SUM(L$2:L140)</f>
        <v>223.76548146089809</v>
      </c>
    </row>
    <row r="141" spans="10:13" x14ac:dyDescent="0.25">
      <c r="J141" s="12" t="str">
        <f t="shared" si="5"/>
        <v/>
      </c>
      <c r="L141" s="11">
        <f t="shared" si="6"/>
        <v>0</v>
      </c>
      <c r="M141" s="11">
        <f>Settings!$B$4+SUM(L$2:L141)</f>
        <v>223.76548146089809</v>
      </c>
    </row>
    <row r="142" spans="10:13" x14ac:dyDescent="0.25">
      <c r="J142" s="12" t="str">
        <f t="shared" si="5"/>
        <v/>
      </c>
      <c r="L142" s="11">
        <f t="shared" si="6"/>
        <v>0</v>
      </c>
      <c r="M142" s="11">
        <f>Settings!$B$4+SUM(L$2:L142)</f>
        <v>223.76548146089809</v>
      </c>
    </row>
    <row r="143" spans="10:13" x14ac:dyDescent="0.25">
      <c r="J143" s="12" t="str">
        <f t="shared" si="5"/>
        <v/>
      </c>
      <c r="L143" s="11">
        <f t="shared" si="6"/>
        <v>0</v>
      </c>
      <c r="M143" s="11">
        <f>Settings!$B$4+SUM(L$2:L143)</f>
        <v>223.76548146089809</v>
      </c>
    </row>
    <row r="144" spans="10:13" x14ac:dyDescent="0.25">
      <c r="J144" s="12" t="str">
        <f t="shared" si="5"/>
        <v/>
      </c>
      <c r="L144" s="11">
        <f t="shared" si="6"/>
        <v>0</v>
      </c>
      <c r="M144" s="11">
        <f>Settings!$B$4+SUM(L$2:L144)</f>
        <v>223.76548146089809</v>
      </c>
    </row>
    <row r="145" spans="10:13" x14ac:dyDescent="0.25">
      <c r="J145" s="12" t="str">
        <f t="shared" si="5"/>
        <v/>
      </c>
      <c r="L145" s="11">
        <f t="shared" si="6"/>
        <v>0</v>
      </c>
      <c r="M145" s="11">
        <f>Settings!$B$4+SUM(L$2:L145)</f>
        <v>223.76548146089809</v>
      </c>
    </row>
    <row r="146" spans="10:13" x14ac:dyDescent="0.25">
      <c r="J146" s="12" t="str">
        <f t="shared" si="5"/>
        <v/>
      </c>
      <c r="L146" s="11">
        <f t="shared" si="6"/>
        <v>0</v>
      </c>
      <c r="M146" s="11">
        <f>Settings!$B$4+SUM(L$2:L146)</f>
        <v>223.76548146089809</v>
      </c>
    </row>
    <row r="147" spans="10:13" x14ac:dyDescent="0.25">
      <c r="J147" s="12" t="str">
        <f t="shared" si="5"/>
        <v/>
      </c>
      <c r="L147" s="11">
        <f t="shared" si="6"/>
        <v>0</v>
      </c>
      <c r="M147" s="11">
        <f>Settings!$B$4+SUM(L$2:L147)</f>
        <v>223.76548146089809</v>
      </c>
    </row>
    <row r="148" spans="10:13" x14ac:dyDescent="0.25">
      <c r="J148" s="12" t="str">
        <f t="shared" si="5"/>
        <v/>
      </c>
      <c r="L148" s="11">
        <f t="shared" si="6"/>
        <v>0</v>
      </c>
      <c r="M148" s="11">
        <f>Settings!$B$4+SUM(L$2:L148)</f>
        <v>223.76548146089809</v>
      </c>
    </row>
    <row r="149" spans="10:13" x14ac:dyDescent="0.25">
      <c r="J149" s="12" t="str">
        <f t="shared" si="5"/>
        <v/>
      </c>
      <c r="L149" s="11">
        <f t="shared" si="6"/>
        <v>0</v>
      </c>
      <c r="M149" s="11">
        <f>Settings!$B$4+SUM(L$2:L149)</f>
        <v>223.76548146089809</v>
      </c>
    </row>
    <row r="150" spans="10:13" x14ac:dyDescent="0.25">
      <c r="J150" s="12" t="str">
        <f t="shared" si="5"/>
        <v/>
      </c>
      <c r="L150" s="11">
        <f t="shared" si="6"/>
        <v>0</v>
      </c>
      <c r="M150" s="11">
        <f>Settings!$B$4+SUM(L$2:L150)</f>
        <v>223.76548146089809</v>
      </c>
    </row>
    <row r="151" spans="10:13" x14ac:dyDescent="0.25">
      <c r="J151" s="12" t="str">
        <f t="shared" si="5"/>
        <v/>
      </c>
      <c r="L151" s="11">
        <f t="shared" si="6"/>
        <v>0</v>
      </c>
      <c r="M151" s="11">
        <f>Settings!$B$4+SUM(L$2:L151)</f>
        <v>223.76548146089809</v>
      </c>
    </row>
    <row r="152" spans="10:13" x14ac:dyDescent="0.25">
      <c r="J152" s="12" t="str">
        <f t="shared" si="5"/>
        <v/>
      </c>
      <c r="L152" s="11">
        <f t="shared" si="6"/>
        <v>0</v>
      </c>
      <c r="M152" s="11">
        <f>Settings!$B$4+SUM(L$2:L152)</f>
        <v>223.76548146089809</v>
      </c>
    </row>
    <row r="153" spans="10:13" x14ac:dyDescent="0.25">
      <c r="J153" s="12" t="str">
        <f t="shared" si="5"/>
        <v/>
      </c>
      <c r="L153" s="11">
        <f t="shared" si="6"/>
        <v>0</v>
      </c>
      <c r="M153" s="11">
        <f>Settings!$B$4+SUM(L$2:L153)</f>
        <v>223.76548146089809</v>
      </c>
    </row>
    <row r="154" spans="10:13" x14ac:dyDescent="0.25">
      <c r="J154" s="12" t="str">
        <f t="shared" si="5"/>
        <v/>
      </c>
      <c r="L154" s="11">
        <f t="shared" si="6"/>
        <v>0</v>
      </c>
      <c r="M154" s="11">
        <f>Settings!$B$4+SUM(L$2:L154)</f>
        <v>223.76548146089809</v>
      </c>
    </row>
    <row r="155" spans="10:13" x14ac:dyDescent="0.25">
      <c r="J155" s="12" t="str">
        <f t="shared" si="5"/>
        <v/>
      </c>
      <c r="L155" s="11">
        <f t="shared" si="6"/>
        <v>0</v>
      </c>
      <c r="M155" s="11">
        <f>Settings!$B$4+SUM(L$2:L155)</f>
        <v>223.76548146089809</v>
      </c>
    </row>
    <row r="156" spans="10:13" x14ac:dyDescent="0.25">
      <c r="J156" s="12" t="str">
        <f t="shared" si="5"/>
        <v/>
      </c>
      <c r="L156" s="11">
        <f t="shared" si="6"/>
        <v>0</v>
      </c>
      <c r="M156" s="11">
        <f>Settings!$B$4+SUM(L$2:L156)</f>
        <v>223.76548146089809</v>
      </c>
    </row>
    <row r="157" spans="10:13" x14ac:dyDescent="0.25">
      <c r="J157" s="12" t="str">
        <f t="shared" si="5"/>
        <v/>
      </c>
      <c r="L157" s="11">
        <f t="shared" si="6"/>
        <v>0</v>
      </c>
      <c r="M157" s="11">
        <f>Settings!$B$4+SUM(L$2:L157)</f>
        <v>223.76548146089809</v>
      </c>
    </row>
    <row r="158" spans="10:13" x14ac:dyDescent="0.25">
      <c r="J158" s="12" t="str">
        <f t="shared" si="5"/>
        <v/>
      </c>
      <c r="L158" s="11">
        <f t="shared" si="6"/>
        <v>0</v>
      </c>
      <c r="M158" s="11">
        <f>Settings!$B$4+SUM(L$2:L158)</f>
        <v>223.76548146089809</v>
      </c>
    </row>
    <row r="159" spans="10:13" x14ac:dyDescent="0.25">
      <c r="J159" s="12" t="str">
        <f t="shared" si="5"/>
        <v/>
      </c>
      <c r="L159" s="11">
        <f t="shared" si="6"/>
        <v>0</v>
      </c>
      <c r="M159" s="11">
        <f>Settings!$B$4+SUM(L$2:L159)</f>
        <v>223.76548146089809</v>
      </c>
    </row>
    <row r="160" spans="10:13" x14ac:dyDescent="0.25">
      <c r="J160" s="12" t="str">
        <f t="shared" si="5"/>
        <v/>
      </c>
      <c r="L160" s="11">
        <f t="shared" si="6"/>
        <v>0</v>
      </c>
      <c r="M160" s="11">
        <f>Settings!$B$4+SUM(L$2:L160)</f>
        <v>223.76548146089809</v>
      </c>
    </row>
    <row r="161" spans="10:13" x14ac:dyDescent="0.25">
      <c r="J161" s="12" t="str">
        <f t="shared" si="5"/>
        <v/>
      </c>
      <c r="L161" s="11">
        <f t="shared" si="6"/>
        <v>0</v>
      </c>
      <c r="M161" s="11">
        <f>Settings!$B$4+SUM(L$2:L161)</f>
        <v>223.76548146089809</v>
      </c>
    </row>
    <row r="162" spans="10:13" x14ac:dyDescent="0.25">
      <c r="J162" s="12" t="str">
        <f t="shared" si="5"/>
        <v/>
      </c>
      <c r="L162" s="11">
        <f t="shared" si="6"/>
        <v>0</v>
      </c>
      <c r="M162" s="11">
        <f>Settings!$B$4+SUM(L$2:L162)</f>
        <v>223.76548146089809</v>
      </c>
    </row>
    <row r="163" spans="10:13" x14ac:dyDescent="0.25">
      <c r="J163" s="12" t="str">
        <f t="shared" si="5"/>
        <v/>
      </c>
      <c r="L163" s="11">
        <f t="shared" si="6"/>
        <v>0</v>
      </c>
      <c r="M163" s="11">
        <f>Settings!$B$4+SUM(L$2:L163)</f>
        <v>223.76548146089809</v>
      </c>
    </row>
    <row r="164" spans="10:13" x14ac:dyDescent="0.25">
      <c r="J164" s="12" t="str">
        <f t="shared" si="5"/>
        <v/>
      </c>
      <c r="L164" s="11">
        <f t="shared" si="6"/>
        <v>0</v>
      </c>
      <c r="M164" s="11">
        <f>Settings!$B$4+SUM(L$2:L164)</f>
        <v>223.76548146089809</v>
      </c>
    </row>
    <row r="165" spans="10:13" x14ac:dyDescent="0.25">
      <c r="J165" s="12" t="str">
        <f t="shared" si="5"/>
        <v/>
      </c>
      <c r="L165" s="11">
        <f t="shared" si="6"/>
        <v>0</v>
      </c>
      <c r="M165" s="11">
        <f>Settings!$B$4+SUM(L$2:L165)</f>
        <v>223.76548146089809</v>
      </c>
    </row>
    <row r="166" spans="10:13" x14ac:dyDescent="0.25">
      <c r="J166" s="12" t="str">
        <f t="shared" si="5"/>
        <v/>
      </c>
      <c r="L166" s="11">
        <f t="shared" si="6"/>
        <v>0</v>
      </c>
      <c r="M166" s="11">
        <f>Settings!$B$4+SUM(L$2:L166)</f>
        <v>223.76548146089809</v>
      </c>
    </row>
    <row r="167" spans="10:13" x14ac:dyDescent="0.25">
      <c r="J167" s="12" t="str">
        <f t="shared" si="5"/>
        <v/>
      </c>
      <c r="L167" s="11">
        <f t="shared" si="6"/>
        <v>0</v>
      </c>
      <c r="M167" s="11">
        <f>Settings!$B$4+SUM(L$2:L167)</f>
        <v>223.76548146089809</v>
      </c>
    </row>
    <row r="168" spans="10:13" x14ac:dyDescent="0.25">
      <c r="J168" s="12" t="str">
        <f t="shared" si="5"/>
        <v/>
      </c>
      <c r="L168" s="11">
        <f t="shared" si="6"/>
        <v>0</v>
      </c>
      <c r="M168" s="11">
        <f>Settings!$B$4+SUM(L$2:L168)</f>
        <v>223.76548146089809</v>
      </c>
    </row>
    <row r="169" spans="10:13" x14ac:dyDescent="0.25">
      <c r="J169" s="12" t="str">
        <f t="shared" si="5"/>
        <v/>
      </c>
      <c r="L169" s="11">
        <f t="shared" si="6"/>
        <v>0</v>
      </c>
      <c r="M169" s="11">
        <f>Settings!$B$4+SUM(L$2:L169)</f>
        <v>223.76548146089809</v>
      </c>
    </row>
    <row r="170" spans="10:13" x14ac:dyDescent="0.25">
      <c r="J170" s="12" t="str">
        <f t="shared" si="5"/>
        <v/>
      </c>
      <c r="L170" s="11">
        <f t="shared" si="6"/>
        <v>0</v>
      </c>
      <c r="M170" s="11">
        <f>Settings!$B$4+SUM(L$2:L170)</f>
        <v>223.76548146089809</v>
      </c>
    </row>
    <row r="171" spans="10:13" x14ac:dyDescent="0.25">
      <c r="J171" s="12" t="str">
        <f t="shared" si="5"/>
        <v/>
      </c>
      <c r="L171" s="11">
        <f t="shared" si="6"/>
        <v>0</v>
      </c>
      <c r="M171" s="11">
        <f>Settings!$B$4+SUM(L$2:L171)</f>
        <v>223.76548146089809</v>
      </c>
    </row>
    <row r="172" spans="10:13" x14ac:dyDescent="0.25">
      <c r="J172" s="12" t="str">
        <f t="shared" si="5"/>
        <v/>
      </c>
      <c r="L172" s="11">
        <f t="shared" si="6"/>
        <v>0</v>
      </c>
      <c r="M172" s="11">
        <f>Settings!$B$4+SUM(L$2:L172)</f>
        <v>223.76548146089809</v>
      </c>
    </row>
    <row r="173" spans="10:13" x14ac:dyDescent="0.25">
      <c r="J173" s="12" t="str">
        <f t="shared" si="5"/>
        <v/>
      </c>
      <c r="L173" s="11">
        <f t="shared" si="6"/>
        <v>0</v>
      </c>
      <c r="M173" s="11">
        <f>Settings!$B$4+SUM(L$2:L173)</f>
        <v>223.76548146089809</v>
      </c>
    </row>
    <row r="174" spans="10:13" x14ac:dyDescent="0.25">
      <c r="J174" s="12" t="str">
        <f t="shared" si="5"/>
        <v/>
      </c>
      <c r="L174" s="11">
        <f t="shared" si="6"/>
        <v>0</v>
      </c>
      <c r="M174" s="11">
        <f>Settings!$B$4+SUM(L$2:L174)</f>
        <v>223.76548146089809</v>
      </c>
    </row>
    <row r="175" spans="10:13" x14ac:dyDescent="0.25">
      <c r="J175" s="12" t="str">
        <f t="shared" si="5"/>
        <v/>
      </c>
      <c r="L175" s="11">
        <f t="shared" si="6"/>
        <v>0</v>
      </c>
      <c r="M175" s="11">
        <f>Settings!$B$4+SUM(L$2:L175)</f>
        <v>223.76548146089809</v>
      </c>
    </row>
    <row r="176" spans="10:13" x14ac:dyDescent="0.25">
      <c r="J176" s="12" t="str">
        <f t="shared" si="5"/>
        <v/>
      </c>
      <c r="L176" s="11">
        <f t="shared" si="6"/>
        <v>0</v>
      </c>
      <c r="M176" s="11">
        <f>Settings!$B$4+SUM(L$2:L176)</f>
        <v>223.76548146089809</v>
      </c>
    </row>
    <row r="177" spans="10:13" x14ac:dyDescent="0.25">
      <c r="J177" s="12" t="str">
        <f t="shared" si="5"/>
        <v/>
      </c>
      <c r="L177" s="11">
        <f t="shared" si="6"/>
        <v>0</v>
      </c>
      <c r="M177" s="11">
        <f>Settings!$B$4+SUM(L$2:L177)</f>
        <v>223.76548146089809</v>
      </c>
    </row>
    <row r="178" spans="10:13" x14ac:dyDescent="0.25">
      <c r="J178" s="12" t="str">
        <f t="shared" si="5"/>
        <v/>
      </c>
      <c r="L178" s="11">
        <f t="shared" si="6"/>
        <v>0</v>
      </c>
      <c r="M178" s="11">
        <f>Settings!$B$4+SUM(L$2:L178)</f>
        <v>223.76548146089809</v>
      </c>
    </row>
    <row r="179" spans="10:13" x14ac:dyDescent="0.25">
      <c r="J179" s="12" t="str">
        <f t="shared" si="5"/>
        <v/>
      </c>
      <c r="L179" s="11">
        <f t="shared" si="6"/>
        <v>0</v>
      </c>
      <c r="M179" s="11">
        <f>Settings!$B$4+SUM(L$2:L179)</f>
        <v>223.76548146089809</v>
      </c>
    </row>
    <row r="180" spans="10:13" x14ac:dyDescent="0.25">
      <c r="J180" s="12" t="str">
        <f t="shared" si="5"/>
        <v/>
      </c>
      <c r="L180" s="11">
        <f t="shared" si="6"/>
        <v>0</v>
      </c>
      <c r="M180" s="11">
        <f>Settings!$B$4+SUM(L$2:L180)</f>
        <v>223.76548146089809</v>
      </c>
    </row>
    <row r="181" spans="10:13" x14ac:dyDescent="0.25">
      <c r="J181" s="12" t="str">
        <f t="shared" si="5"/>
        <v/>
      </c>
      <c r="L181" s="11">
        <f t="shared" si="6"/>
        <v>0</v>
      </c>
      <c r="M181" s="11">
        <f>Settings!$B$4+SUM(L$2:L181)</f>
        <v>223.76548146089809</v>
      </c>
    </row>
    <row r="182" spans="10:13" x14ac:dyDescent="0.25">
      <c r="J182" s="12" t="str">
        <f t="shared" si="5"/>
        <v/>
      </c>
      <c r="L182" s="11">
        <f t="shared" si="6"/>
        <v>0</v>
      </c>
      <c r="M182" s="11">
        <f>Settings!$B$4+SUM(L$2:L182)</f>
        <v>223.76548146089809</v>
      </c>
    </row>
    <row r="183" spans="10:13" x14ac:dyDescent="0.25">
      <c r="J183" s="12" t="str">
        <f t="shared" si="5"/>
        <v/>
      </c>
      <c r="L183" s="11">
        <f t="shared" si="6"/>
        <v>0</v>
      </c>
      <c r="M183" s="11">
        <f>Settings!$B$4+SUM(L$2:L183)</f>
        <v>223.76548146089809</v>
      </c>
    </row>
    <row r="184" spans="10:13" x14ac:dyDescent="0.25">
      <c r="J184" s="12" t="str">
        <f t="shared" si="5"/>
        <v/>
      </c>
      <c r="L184" s="11">
        <f t="shared" si="6"/>
        <v>0</v>
      </c>
      <c r="M184" s="11">
        <f>Settings!$B$4+SUM(L$2:L184)</f>
        <v>223.76548146089809</v>
      </c>
    </row>
    <row r="185" spans="10:13" x14ac:dyDescent="0.25">
      <c r="J185" s="12" t="str">
        <f t="shared" si="5"/>
        <v/>
      </c>
      <c r="L185" s="11">
        <f t="shared" si="6"/>
        <v>0</v>
      </c>
      <c r="M185" s="11">
        <f>Settings!$B$4+SUM(L$2:L185)</f>
        <v>223.76548146089809</v>
      </c>
    </row>
    <row r="186" spans="10:13" x14ac:dyDescent="0.25">
      <c r="J186" s="12" t="str">
        <f t="shared" si="5"/>
        <v/>
      </c>
      <c r="L186" s="11">
        <f t="shared" si="6"/>
        <v>0</v>
      </c>
      <c r="M186" s="11">
        <f>Settings!$B$4+SUM(L$2:L186)</f>
        <v>223.76548146089809</v>
      </c>
    </row>
    <row r="187" spans="10:13" x14ac:dyDescent="0.25">
      <c r="J187" s="12" t="str">
        <f t="shared" si="5"/>
        <v/>
      </c>
      <c r="L187" s="11">
        <f t="shared" si="6"/>
        <v>0</v>
      </c>
      <c r="M187" s="11">
        <f>Settings!$B$4+SUM(L$2:L187)</f>
        <v>223.76548146089809</v>
      </c>
    </row>
    <row r="188" spans="10:13" x14ac:dyDescent="0.25">
      <c r="J188" s="12" t="str">
        <f t="shared" si="5"/>
        <v/>
      </c>
      <c r="L188" s="11">
        <f t="shared" si="6"/>
        <v>0</v>
      </c>
      <c r="M188" s="11">
        <f>Settings!$B$4+SUM(L$2:L188)</f>
        <v>223.76548146089809</v>
      </c>
    </row>
    <row r="189" spans="10:13" x14ac:dyDescent="0.25">
      <c r="J189" s="12" t="str">
        <f t="shared" si="5"/>
        <v/>
      </c>
      <c r="L189" s="11">
        <f t="shared" si="6"/>
        <v>0</v>
      </c>
      <c r="M189" s="11">
        <f>Settings!$B$4+SUM(L$2:L189)</f>
        <v>223.76548146089809</v>
      </c>
    </row>
    <row r="190" spans="10:13" x14ac:dyDescent="0.25">
      <c r="J190" s="12" t="str">
        <f t="shared" si="5"/>
        <v/>
      </c>
      <c r="L190" s="11">
        <f t="shared" si="6"/>
        <v>0</v>
      </c>
      <c r="M190" s="11">
        <f>Settings!$B$4+SUM(L$2:L190)</f>
        <v>223.76548146089809</v>
      </c>
    </row>
    <row r="191" spans="10:13" x14ac:dyDescent="0.25">
      <c r="J191" s="12" t="str">
        <f t="shared" ref="J191:J254" si="7">IF(I191="","",I191-F191)</f>
        <v/>
      </c>
      <c r="L191" s="11">
        <f t="shared" si="6"/>
        <v>0</v>
      </c>
      <c r="M191" s="11">
        <f>Settings!$B$4+SUM(L$2:L191)</f>
        <v>223.76548146089809</v>
      </c>
    </row>
    <row r="192" spans="10:13" x14ac:dyDescent="0.25">
      <c r="J192" s="12" t="str">
        <f t="shared" si="7"/>
        <v/>
      </c>
      <c r="L192" s="11">
        <f t="shared" si="6"/>
        <v>0</v>
      </c>
      <c r="M192" s="11">
        <f>Settings!$B$4+SUM(L$2:L192)</f>
        <v>223.76548146089809</v>
      </c>
    </row>
    <row r="193" spans="10:13" x14ac:dyDescent="0.25">
      <c r="J193" s="12" t="str">
        <f t="shared" si="7"/>
        <v/>
      </c>
      <c r="L193" s="11">
        <f t="shared" si="6"/>
        <v>0</v>
      </c>
      <c r="M193" s="11">
        <f>Settings!$B$4+SUM(L$2:L193)</f>
        <v>223.76548146089809</v>
      </c>
    </row>
    <row r="194" spans="10:13" x14ac:dyDescent="0.25">
      <c r="J194" s="12" t="str">
        <f t="shared" si="7"/>
        <v/>
      </c>
      <c r="L194" s="11">
        <f t="shared" ref="L194:L257" si="8">IF(K194="W",IF(G194&lt;0,H194*100/ABS(G194),H194*G194/100),IF(K194="L",-H194,0))</f>
        <v>0</v>
      </c>
      <c r="M194" s="11">
        <f>Settings!$B$4+SUM(L$2:L194)</f>
        <v>223.76548146089809</v>
      </c>
    </row>
    <row r="195" spans="10:13" x14ac:dyDescent="0.25">
      <c r="J195" s="12" t="str">
        <f t="shared" si="7"/>
        <v/>
      </c>
      <c r="L195" s="11">
        <f t="shared" si="8"/>
        <v>0</v>
      </c>
      <c r="M195" s="11">
        <f>Settings!$B$4+SUM(L$2:L195)</f>
        <v>223.76548146089809</v>
      </c>
    </row>
    <row r="196" spans="10:13" x14ac:dyDescent="0.25">
      <c r="J196" s="12" t="str">
        <f t="shared" si="7"/>
        <v/>
      </c>
      <c r="L196" s="11">
        <f t="shared" si="8"/>
        <v>0</v>
      </c>
      <c r="M196" s="11">
        <f>Settings!$B$4+SUM(L$2:L196)</f>
        <v>223.76548146089809</v>
      </c>
    </row>
    <row r="197" spans="10:13" x14ac:dyDescent="0.25">
      <c r="J197" s="12" t="str">
        <f t="shared" si="7"/>
        <v/>
      </c>
      <c r="L197" s="11">
        <f t="shared" si="8"/>
        <v>0</v>
      </c>
      <c r="M197" s="11">
        <f>Settings!$B$4+SUM(L$2:L197)</f>
        <v>223.76548146089809</v>
      </c>
    </row>
    <row r="198" spans="10:13" x14ac:dyDescent="0.25">
      <c r="J198" s="12" t="str">
        <f t="shared" si="7"/>
        <v/>
      </c>
      <c r="L198" s="11">
        <f t="shared" si="8"/>
        <v>0</v>
      </c>
      <c r="M198" s="11">
        <f>Settings!$B$4+SUM(L$2:L198)</f>
        <v>223.76548146089809</v>
      </c>
    </row>
    <row r="199" spans="10:13" x14ac:dyDescent="0.25">
      <c r="J199" s="12" t="str">
        <f t="shared" si="7"/>
        <v/>
      </c>
      <c r="L199" s="11">
        <f t="shared" si="8"/>
        <v>0</v>
      </c>
      <c r="M199" s="11">
        <f>Settings!$B$4+SUM(L$2:L199)</f>
        <v>223.76548146089809</v>
      </c>
    </row>
    <row r="200" spans="10:13" x14ac:dyDescent="0.25">
      <c r="J200" s="12" t="str">
        <f t="shared" si="7"/>
        <v/>
      </c>
      <c r="L200" s="11">
        <f t="shared" si="8"/>
        <v>0</v>
      </c>
      <c r="M200" s="11">
        <f>Settings!$B$4+SUM(L$2:L200)</f>
        <v>223.76548146089809</v>
      </c>
    </row>
    <row r="201" spans="10:13" x14ac:dyDescent="0.25">
      <c r="J201" s="12" t="str">
        <f t="shared" si="7"/>
        <v/>
      </c>
      <c r="L201" s="11">
        <f t="shared" si="8"/>
        <v>0</v>
      </c>
      <c r="M201" s="11">
        <f>Settings!$B$4+SUM(L$2:L201)</f>
        <v>223.76548146089809</v>
      </c>
    </row>
    <row r="202" spans="10:13" x14ac:dyDescent="0.25">
      <c r="J202" s="12" t="str">
        <f t="shared" si="7"/>
        <v/>
      </c>
      <c r="L202" s="11">
        <f t="shared" si="8"/>
        <v>0</v>
      </c>
      <c r="M202" s="11">
        <f>Settings!$B$4+SUM(L$2:L202)</f>
        <v>223.76548146089809</v>
      </c>
    </row>
    <row r="203" spans="10:13" x14ac:dyDescent="0.25">
      <c r="J203" s="12" t="str">
        <f t="shared" si="7"/>
        <v/>
      </c>
      <c r="L203" s="11">
        <f t="shared" si="8"/>
        <v>0</v>
      </c>
      <c r="M203" s="11">
        <f>Settings!$B$4+SUM(L$2:L203)</f>
        <v>223.76548146089809</v>
      </c>
    </row>
    <row r="204" spans="10:13" x14ac:dyDescent="0.25">
      <c r="J204" s="12" t="str">
        <f t="shared" si="7"/>
        <v/>
      </c>
      <c r="L204" s="11">
        <f t="shared" si="8"/>
        <v>0</v>
      </c>
      <c r="M204" s="11">
        <f>Settings!$B$4+SUM(L$2:L204)</f>
        <v>223.76548146089809</v>
      </c>
    </row>
    <row r="205" spans="10:13" x14ac:dyDescent="0.25">
      <c r="J205" s="12" t="str">
        <f t="shared" si="7"/>
        <v/>
      </c>
      <c r="L205" s="11">
        <f t="shared" si="8"/>
        <v>0</v>
      </c>
      <c r="M205" s="11">
        <f>Settings!$B$4+SUM(L$2:L205)</f>
        <v>223.76548146089809</v>
      </c>
    </row>
    <row r="206" spans="10:13" x14ac:dyDescent="0.25">
      <c r="J206" s="12" t="str">
        <f t="shared" si="7"/>
        <v/>
      </c>
      <c r="L206" s="11">
        <f t="shared" si="8"/>
        <v>0</v>
      </c>
      <c r="M206" s="11">
        <f>Settings!$B$4+SUM(L$2:L206)</f>
        <v>223.76548146089809</v>
      </c>
    </row>
    <row r="207" spans="10:13" x14ac:dyDescent="0.25">
      <c r="J207" s="12" t="str">
        <f t="shared" si="7"/>
        <v/>
      </c>
      <c r="L207" s="11">
        <f t="shared" si="8"/>
        <v>0</v>
      </c>
      <c r="M207" s="11">
        <f>Settings!$B$4+SUM(L$2:L207)</f>
        <v>223.76548146089809</v>
      </c>
    </row>
    <row r="208" spans="10:13" x14ac:dyDescent="0.25">
      <c r="J208" s="12" t="str">
        <f t="shared" si="7"/>
        <v/>
      </c>
      <c r="L208" s="11">
        <f t="shared" si="8"/>
        <v>0</v>
      </c>
      <c r="M208" s="11">
        <f>Settings!$B$4+SUM(L$2:L208)</f>
        <v>223.76548146089809</v>
      </c>
    </row>
    <row r="209" spans="10:13" x14ac:dyDescent="0.25">
      <c r="J209" s="12" t="str">
        <f t="shared" si="7"/>
        <v/>
      </c>
      <c r="L209" s="11">
        <f t="shared" si="8"/>
        <v>0</v>
      </c>
      <c r="M209" s="11">
        <f>Settings!$B$4+SUM(L$2:L209)</f>
        <v>223.76548146089809</v>
      </c>
    </row>
    <row r="210" spans="10:13" x14ac:dyDescent="0.25">
      <c r="J210" s="12" t="str">
        <f t="shared" si="7"/>
        <v/>
      </c>
      <c r="L210" s="11">
        <f t="shared" si="8"/>
        <v>0</v>
      </c>
      <c r="M210" s="11">
        <f>Settings!$B$4+SUM(L$2:L210)</f>
        <v>223.76548146089809</v>
      </c>
    </row>
    <row r="211" spans="10:13" x14ac:dyDescent="0.25">
      <c r="J211" s="12" t="str">
        <f t="shared" si="7"/>
        <v/>
      </c>
      <c r="L211" s="11">
        <f t="shared" si="8"/>
        <v>0</v>
      </c>
      <c r="M211" s="11">
        <f>Settings!$B$4+SUM(L$2:L211)</f>
        <v>223.76548146089809</v>
      </c>
    </row>
    <row r="212" spans="10:13" x14ac:dyDescent="0.25">
      <c r="J212" s="12" t="str">
        <f t="shared" si="7"/>
        <v/>
      </c>
      <c r="L212" s="11">
        <f t="shared" si="8"/>
        <v>0</v>
      </c>
      <c r="M212" s="11">
        <f>Settings!$B$4+SUM(L$2:L212)</f>
        <v>223.76548146089809</v>
      </c>
    </row>
    <row r="213" spans="10:13" x14ac:dyDescent="0.25">
      <c r="J213" s="12" t="str">
        <f t="shared" si="7"/>
        <v/>
      </c>
      <c r="L213" s="11">
        <f t="shared" si="8"/>
        <v>0</v>
      </c>
      <c r="M213" s="11">
        <f>Settings!$B$4+SUM(L$2:L213)</f>
        <v>223.76548146089809</v>
      </c>
    </row>
    <row r="214" spans="10:13" x14ac:dyDescent="0.25">
      <c r="J214" s="12" t="str">
        <f t="shared" si="7"/>
        <v/>
      </c>
      <c r="L214" s="11">
        <f t="shared" si="8"/>
        <v>0</v>
      </c>
      <c r="M214" s="11">
        <f>Settings!$B$4+SUM(L$2:L214)</f>
        <v>223.76548146089809</v>
      </c>
    </row>
    <row r="215" spans="10:13" x14ac:dyDescent="0.25">
      <c r="J215" s="12" t="str">
        <f t="shared" si="7"/>
        <v/>
      </c>
      <c r="L215" s="11">
        <f t="shared" si="8"/>
        <v>0</v>
      </c>
      <c r="M215" s="11">
        <f>Settings!$B$4+SUM(L$2:L215)</f>
        <v>223.76548146089809</v>
      </c>
    </row>
    <row r="216" spans="10:13" x14ac:dyDescent="0.25">
      <c r="J216" s="12" t="str">
        <f t="shared" si="7"/>
        <v/>
      </c>
      <c r="L216" s="11">
        <f t="shared" si="8"/>
        <v>0</v>
      </c>
      <c r="M216" s="11">
        <f>Settings!$B$4+SUM(L$2:L216)</f>
        <v>223.76548146089809</v>
      </c>
    </row>
    <row r="217" spans="10:13" x14ac:dyDescent="0.25">
      <c r="J217" s="12" t="str">
        <f t="shared" si="7"/>
        <v/>
      </c>
      <c r="L217" s="11">
        <f t="shared" si="8"/>
        <v>0</v>
      </c>
      <c r="M217" s="11">
        <f>Settings!$B$4+SUM(L$2:L217)</f>
        <v>223.76548146089809</v>
      </c>
    </row>
    <row r="218" spans="10:13" x14ac:dyDescent="0.25">
      <c r="J218" s="12" t="str">
        <f t="shared" si="7"/>
        <v/>
      </c>
      <c r="L218" s="11">
        <f t="shared" si="8"/>
        <v>0</v>
      </c>
      <c r="M218" s="11">
        <f>Settings!$B$4+SUM(L$2:L218)</f>
        <v>223.76548146089809</v>
      </c>
    </row>
    <row r="219" spans="10:13" x14ac:dyDescent="0.25">
      <c r="J219" s="12" t="str">
        <f t="shared" si="7"/>
        <v/>
      </c>
      <c r="L219" s="11">
        <f t="shared" si="8"/>
        <v>0</v>
      </c>
      <c r="M219" s="11">
        <f>Settings!$B$4+SUM(L$2:L219)</f>
        <v>223.76548146089809</v>
      </c>
    </row>
    <row r="220" spans="10:13" x14ac:dyDescent="0.25">
      <c r="J220" s="12" t="str">
        <f t="shared" si="7"/>
        <v/>
      </c>
      <c r="L220" s="11">
        <f t="shared" si="8"/>
        <v>0</v>
      </c>
      <c r="M220" s="11">
        <f>Settings!$B$4+SUM(L$2:L220)</f>
        <v>223.76548146089809</v>
      </c>
    </row>
    <row r="221" spans="10:13" x14ac:dyDescent="0.25">
      <c r="J221" s="12" t="str">
        <f t="shared" si="7"/>
        <v/>
      </c>
      <c r="L221" s="11">
        <f t="shared" si="8"/>
        <v>0</v>
      </c>
      <c r="M221" s="11">
        <f>Settings!$B$4+SUM(L$2:L221)</f>
        <v>223.76548146089809</v>
      </c>
    </row>
    <row r="222" spans="10:13" x14ac:dyDescent="0.25">
      <c r="J222" s="12" t="str">
        <f t="shared" si="7"/>
        <v/>
      </c>
      <c r="L222" s="11">
        <f t="shared" si="8"/>
        <v>0</v>
      </c>
      <c r="M222" s="11">
        <f>Settings!$B$4+SUM(L$2:L222)</f>
        <v>223.76548146089809</v>
      </c>
    </row>
    <row r="223" spans="10:13" x14ac:dyDescent="0.25">
      <c r="J223" s="12" t="str">
        <f t="shared" si="7"/>
        <v/>
      </c>
      <c r="L223" s="11">
        <f t="shared" si="8"/>
        <v>0</v>
      </c>
      <c r="M223" s="11">
        <f>Settings!$B$4+SUM(L$2:L223)</f>
        <v>223.76548146089809</v>
      </c>
    </row>
    <row r="224" spans="10:13" x14ac:dyDescent="0.25">
      <c r="J224" s="12" t="str">
        <f t="shared" si="7"/>
        <v/>
      </c>
      <c r="L224" s="11">
        <f t="shared" si="8"/>
        <v>0</v>
      </c>
      <c r="M224" s="11">
        <f>Settings!$B$4+SUM(L$2:L224)</f>
        <v>223.76548146089809</v>
      </c>
    </row>
    <row r="225" spans="10:13" x14ac:dyDescent="0.25">
      <c r="J225" s="12" t="str">
        <f t="shared" si="7"/>
        <v/>
      </c>
      <c r="L225" s="11">
        <f t="shared" si="8"/>
        <v>0</v>
      </c>
      <c r="M225" s="11">
        <f>Settings!$B$4+SUM(L$2:L225)</f>
        <v>223.76548146089809</v>
      </c>
    </row>
    <row r="226" spans="10:13" x14ac:dyDescent="0.25">
      <c r="J226" s="12" t="str">
        <f t="shared" si="7"/>
        <v/>
      </c>
      <c r="L226" s="11">
        <f t="shared" si="8"/>
        <v>0</v>
      </c>
      <c r="M226" s="11">
        <f>Settings!$B$4+SUM(L$2:L226)</f>
        <v>223.76548146089809</v>
      </c>
    </row>
    <row r="227" spans="10:13" x14ac:dyDescent="0.25">
      <c r="J227" s="12" t="str">
        <f t="shared" si="7"/>
        <v/>
      </c>
      <c r="L227" s="11">
        <f t="shared" si="8"/>
        <v>0</v>
      </c>
      <c r="M227" s="11">
        <f>Settings!$B$4+SUM(L$2:L227)</f>
        <v>223.76548146089809</v>
      </c>
    </row>
    <row r="228" spans="10:13" x14ac:dyDescent="0.25">
      <c r="J228" s="12" t="str">
        <f t="shared" si="7"/>
        <v/>
      </c>
      <c r="L228" s="11">
        <f t="shared" si="8"/>
        <v>0</v>
      </c>
      <c r="M228" s="11">
        <f>Settings!$B$4+SUM(L$2:L228)</f>
        <v>223.76548146089809</v>
      </c>
    </row>
    <row r="229" spans="10:13" x14ac:dyDescent="0.25">
      <c r="J229" s="12" t="str">
        <f t="shared" si="7"/>
        <v/>
      </c>
      <c r="L229" s="11">
        <f t="shared" si="8"/>
        <v>0</v>
      </c>
      <c r="M229" s="11">
        <f>Settings!$B$4+SUM(L$2:L229)</f>
        <v>223.76548146089809</v>
      </c>
    </row>
    <row r="230" spans="10:13" x14ac:dyDescent="0.25">
      <c r="J230" s="12" t="str">
        <f t="shared" si="7"/>
        <v/>
      </c>
      <c r="L230" s="11">
        <f t="shared" si="8"/>
        <v>0</v>
      </c>
      <c r="M230" s="11">
        <f>Settings!$B$4+SUM(L$2:L230)</f>
        <v>223.76548146089809</v>
      </c>
    </row>
    <row r="231" spans="10:13" x14ac:dyDescent="0.25">
      <c r="J231" s="12" t="str">
        <f t="shared" si="7"/>
        <v/>
      </c>
      <c r="L231" s="11">
        <f t="shared" si="8"/>
        <v>0</v>
      </c>
      <c r="M231" s="11">
        <f>Settings!$B$4+SUM(L$2:L231)</f>
        <v>223.76548146089809</v>
      </c>
    </row>
    <row r="232" spans="10:13" x14ac:dyDescent="0.25">
      <c r="J232" s="12" t="str">
        <f t="shared" si="7"/>
        <v/>
      </c>
      <c r="L232" s="11">
        <f t="shared" si="8"/>
        <v>0</v>
      </c>
      <c r="M232" s="11">
        <f>Settings!$B$4+SUM(L$2:L232)</f>
        <v>223.76548146089809</v>
      </c>
    </row>
    <row r="233" spans="10:13" x14ac:dyDescent="0.25">
      <c r="J233" s="12" t="str">
        <f t="shared" si="7"/>
        <v/>
      </c>
      <c r="L233" s="11">
        <f t="shared" si="8"/>
        <v>0</v>
      </c>
      <c r="M233" s="11">
        <f>Settings!$B$4+SUM(L$2:L233)</f>
        <v>223.76548146089809</v>
      </c>
    </row>
    <row r="234" spans="10:13" x14ac:dyDescent="0.25">
      <c r="J234" s="12" t="str">
        <f t="shared" si="7"/>
        <v/>
      </c>
      <c r="L234" s="11">
        <f t="shared" si="8"/>
        <v>0</v>
      </c>
      <c r="M234" s="11">
        <f>Settings!$B$4+SUM(L$2:L234)</f>
        <v>223.76548146089809</v>
      </c>
    </row>
    <row r="235" spans="10:13" x14ac:dyDescent="0.25">
      <c r="J235" s="12" t="str">
        <f t="shared" si="7"/>
        <v/>
      </c>
      <c r="L235" s="11">
        <f t="shared" si="8"/>
        <v>0</v>
      </c>
      <c r="M235" s="11">
        <f>Settings!$B$4+SUM(L$2:L235)</f>
        <v>223.76548146089809</v>
      </c>
    </row>
    <row r="236" spans="10:13" x14ac:dyDescent="0.25">
      <c r="J236" s="12" t="str">
        <f t="shared" si="7"/>
        <v/>
      </c>
      <c r="L236" s="11">
        <f t="shared" si="8"/>
        <v>0</v>
      </c>
      <c r="M236" s="11">
        <f>Settings!$B$4+SUM(L$2:L236)</f>
        <v>223.76548146089809</v>
      </c>
    </row>
    <row r="237" spans="10:13" x14ac:dyDescent="0.25">
      <c r="J237" s="12" t="str">
        <f t="shared" si="7"/>
        <v/>
      </c>
      <c r="L237" s="11">
        <f t="shared" si="8"/>
        <v>0</v>
      </c>
      <c r="M237" s="11">
        <f>Settings!$B$4+SUM(L$2:L237)</f>
        <v>223.76548146089809</v>
      </c>
    </row>
    <row r="238" spans="10:13" x14ac:dyDescent="0.25">
      <c r="J238" s="12" t="str">
        <f t="shared" si="7"/>
        <v/>
      </c>
      <c r="L238" s="11">
        <f t="shared" si="8"/>
        <v>0</v>
      </c>
      <c r="M238" s="11">
        <f>Settings!$B$4+SUM(L$2:L238)</f>
        <v>223.76548146089809</v>
      </c>
    </row>
    <row r="239" spans="10:13" x14ac:dyDescent="0.25">
      <c r="J239" s="12" t="str">
        <f t="shared" si="7"/>
        <v/>
      </c>
      <c r="L239" s="11">
        <f t="shared" si="8"/>
        <v>0</v>
      </c>
      <c r="M239" s="11">
        <f>Settings!$B$4+SUM(L$2:L239)</f>
        <v>223.76548146089809</v>
      </c>
    </row>
    <row r="240" spans="10:13" x14ac:dyDescent="0.25">
      <c r="J240" s="12" t="str">
        <f t="shared" si="7"/>
        <v/>
      </c>
      <c r="L240" s="11">
        <f t="shared" si="8"/>
        <v>0</v>
      </c>
      <c r="M240" s="11">
        <f>Settings!$B$4+SUM(L$2:L240)</f>
        <v>223.76548146089809</v>
      </c>
    </row>
    <row r="241" spans="10:13" x14ac:dyDescent="0.25">
      <c r="J241" s="12" t="str">
        <f t="shared" si="7"/>
        <v/>
      </c>
      <c r="L241" s="11">
        <f t="shared" si="8"/>
        <v>0</v>
      </c>
      <c r="M241" s="11">
        <f>Settings!$B$4+SUM(L$2:L241)</f>
        <v>223.76548146089809</v>
      </c>
    </row>
    <row r="242" spans="10:13" x14ac:dyDescent="0.25">
      <c r="J242" s="12" t="str">
        <f t="shared" si="7"/>
        <v/>
      </c>
      <c r="L242" s="11">
        <f t="shared" si="8"/>
        <v>0</v>
      </c>
      <c r="M242" s="11">
        <f>Settings!$B$4+SUM(L$2:L242)</f>
        <v>223.76548146089809</v>
      </c>
    </row>
    <row r="243" spans="10:13" x14ac:dyDescent="0.25">
      <c r="J243" s="12" t="str">
        <f t="shared" si="7"/>
        <v/>
      </c>
      <c r="L243" s="11">
        <f t="shared" si="8"/>
        <v>0</v>
      </c>
      <c r="M243" s="11">
        <f>Settings!$B$4+SUM(L$2:L243)</f>
        <v>223.76548146089809</v>
      </c>
    </row>
    <row r="244" spans="10:13" x14ac:dyDescent="0.25">
      <c r="J244" s="12" t="str">
        <f t="shared" si="7"/>
        <v/>
      </c>
      <c r="L244" s="11">
        <f t="shared" si="8"/>
        <v>0</v>
      </c>
      <c r="M244" s="11">
        <f>Settings!$B$4+SUM(L$2:L244)</f>
        <v>223.76548146089809</v>
      </c>
    </row>
    <row r="245" spans="10:13" x14ac:dyDescent="0.25">
      <c r="J245" s="12" t="str">
        <f t="shared" si="7"/>
        <v/>
      </c>
      <c r="L245" s="11">
        <f t="shared" si="8"/>
        <v>0</v>
      </c>
      <c r="M245" s="11">
        <f>Settings!$B$4+SUM(L$2:L245)</f>
        <v>223.76548146089809</v>
      </c>
    </row>
    <row r="246" spans="10:13" x14ac:dyDescent="0.25">
      <c r="J246" s="12" t="str">
        <f t="shared" si="7"/>
        <v/>
      </c>
      <c r="L246" s="11">
        <f t="shared" si="8"/>
        <v>0</v>
      </c>
      <c r="M246" s="11">
        <f>Settings!$B$4+SUM(L$2:L246)</f>
        <v>223.76548146089809</v>
      </c>
    </row>
    <row r="247" spans="10:13" x14ac:dyDescent="0.25">
      <c r="J247" s="12" t="str">
        <f t="shared" si="7"/>
        <v/>
      </c>
      <c r="L247" s="11">
        <f t="shared" si="8"/>
        <v>0</v>
      </c>
      <c r="M247" s="11">
        <f>Settings!$B$4+SUM(L$2:L247)</f>
        <v>223.76548146089809</v>
      </c>
    </row>
    <row r="248" spans="10:13" x14ac:dyDescent="0.25">
      <c r="J248" s="12" t="str">
        <f t="shared" si="7"/>
        <v/>
      </c>
      <c r="L248" s="11">
        <f t="shared" si="8"/>
        <v>0</v>
      </c>
      <c r="M248" s="11">
        <f>Settings!$B$4+SUM(L$2:L248)</f>
        <v>223.76548146089809</v>
      </c>
    </row>
    <row r="249" spans="10:13" x14ac:dyDescent="0.25">
      <c r="J249" s="12" t="str">
        <f t="shared" si="7"/>
        <v/>
      </c>
      <c r="L249" s="11">
        <f t="shared" si="8"/>
        <v>0</v>
      </c>
      <c r="M249" s="11">
        <f>Settings!$B$4+SUM(L$2:L249)</f>
        <v>223.76548146089809</v>
      </c>
    </row>
    <row r="250" spans="10:13" x14ac:dyDescent="0.25">
      <c r="J250" s="12" t="str">
        <f t="shared" si="7"/>
        <v/>
      </c>
      <c r="L250" s="11">
        <f t="shared" si="8"/>
        <v>0</v>
      </c>
      <c r="M250" s="11">
        <f>Settings!$B$4+SUM(L$2:L250)</f>
        <v>223.76548146089809</v>
      </c>
    </row>
    <row r="251" spans="10:13" x14ac:dyDescent="0.25">
      <c r="J251" s="12" t="str">
        <f t="shared" si="7"/>
        <v/>
      </c>
      <c r="L251" s="11">
        <f t="shared" si="8"/>
        <v>0</v>
      </c>
      <c r="M251" s="11">
        <f>Settings!$B$4+SUM(L$2:L251)</f>
        <v>223.76548146089809</v>
      </c>
    </row>
    <row r="252" spans="10:13" x14ac:dyDescent="0.25">
      <c r="J252" s="12" t="str">
        <f t="shared" si="7"/>
        <v/>
      </c>
      <c r="L252" s="11">
        <f t="shared" si="8"/>
        <v>0</v>
      </c>
      <c r="M252" s="11">
        <f>Settings!$B$4+SUM(L$2:L252)</f>
        <v>223.76548146089809</v>
      </c>
    </row>
    <row r="253" spans="10:13" x14ac:dyDescent="0.25">
      <c r="J253" s="12" t="str">
        <f t="shared" si="7"/>
        <v/>
      </c>
      <c r="L253" s="11">
        <f t="shared" si="8"/>
        <v>0</v>
      </c>
      <c r="M253" s="11">
        <f>Settings!$B$4+SUM(L$2:L253)</f>
        <v>223.76548146089809</v>
      </c>
    </row>
    <row r="254" spans="10:13" x14ac:dyDescent="0.25">
      <c r="J254" s="12" t="str">
        <f t="shared" si="7"/>
        <v/>
      </c>
      <c r="L254" s="11">
        <f t="shared" si="8"/>
        <v>0</v>
      </c>
      <c r="M254" s="11">
        <f>Settings!$B$4+SUM(L$2:L254)</f>
        <v>223.76548146089809</v>
      </c>
    </row>
    <row r="255" spans="10:13" x14ac:dyDescent="0.25">
      <c r="J255" s="12" t="str">
        <f t="shared" ref="J255:J318" si="9">IF(I255="","",I255-F255)</f>
        <v/>
      </c>
      <c r="L255" s="11">
        <f t="shared" si="8"/>
        <v>0</v>
      </c>
      <c r="M255" s="11">
        <f>Settings!$B$4+SUM(L$2:L255)</f>
        <v>223.76548146089809</v>
      </c>
    </row>
    <row r="256" spans="10:13" x14ac:dyDescent="0.25">
      <c r="J256" s="12" t="str">
        <f t="shared" si="9"/>
        <v/>
      </c>
      <c r="L256" s="11">
        <f t="shared" si="8"/>
        <v>0</v>
      </c>
      <c r="M256" s="11">
        <f>Settings!$B$4+SUM(L$2:L256)</f>
        <v>223.76548146089809</v>
      </c>
    </row>
    <row r="257" spans="10:13" x14ac:dyDescent="0.25">
      <c r="J257" s="12" t="str">
        <f t="shared" si="9"/>
        <v/>
      </c>
      <c r="L257" s="11">
        <f t="shared" si="8"/>
        <v>0</v>
      </c>
      <c r="M257" s="11">
        <f>Settings!$B$4+SUM(L$2:L257)</f>
        <v>223.76548146089809</v>
      </c>
    </row>
    <row r="258" spans="10:13" x14ac:dyDescent="0.25">
      <c r="J258" s="12" t="str">
        <f t="shared" si="9"/>
        <v/>
      </c>
      <c r="L258" s="11">
        <f t="shared" ref="L258:L321" si="10">IF(K258="W",IF(G258&lt;0,H258*100/ABS(G258),H258*G258/100),IF(K258="L",-H258,0))</f>
        <v>0</v>
      </c>
      <c r="M258" s="11">
        <f>Settings!$B$4+SUM(L$2:L258)</f>
        <v>223.76548146089809</v>
      </c>
    </row>
    <row r="259" spans="10:13" x14ac:dyDescent="0.25">
      <c r="J259" s="12" t="str">
        <f t="shared" si="9"/>
        <v/>
      </c>
      <c r="L259" s="11">
        <f t="shared" si="10"/>
        <v>0</v>
      </c>
      <c r="M259" s="11">
        <f>Settings!$B$4+SUM(L$2:L259)</f>
        <v>223.76548146089809</v>
      </c>
    </row>
    <row r="260" spans="10:13" x14ac:dyDescent="0.25">
      <c r="J260" s="12" t="str">
        <f t="shared" si="9"/>
        <v/>
      </c>
      <c r="L260" s="11">
        <f t="shared" si="10"/>
        <v>0</v>
      </c>
      <c r="M260" s="11">
        <f>Settings!$B$4+SUM(L$2:L260)</f>
        <v>223.76548146089809</v>
      </c>
    </row>
    <row r="261" spans="10:13" x14ac:dyDescent="0.25">
      <c r="J261" s="12" t="str">
        <f t="shared" si="9"/>
        <v/>
      </c>
      <c r="L261" s="11">
        <f t="shared" si="10"/>
        <v>0</v>
      </c>
      <c r="M261" s="11">
        <f>Settings!$B$4+SUM(L$2:L261)</f>
        <v>223.76548146089809</v>
      </c>
    </row>
    <row r="262" spans="10:13" x14ac:dyDescent="0.25">
      <c r="J262" s="12" t="str">
        <f t="shared" si="9"/>
        <v/>
      </c>
      <c r="L262" s="11">
        <f t="shared" si="10"/>
        <v>0</v>
      </c>
      <c r="M262" s="11">
        <f>Settings!$B$4+SUM(L$2:L262)</f>
        <v>223.76548146089809</v>
      </c>
    </row>
    <row r="263" spans="10:13" x14ac:dyDescent="0.25">
      <c r="J263" s="12" t="str">
        <f t="shared" si="9"/>
        <v/>
      </c>
      <c r="L263" s="11">
        <f t="shared" si="10"/>
        <v>0</v>
      </c>
      <c r="M263" s="11">
        <f>Settings!$B$4+SUM(L$2:L263)</f>
        <v>223.76548146089809</v>
      </c>
    </row>
    <row r="264" spans="10:13" x14ac:dyDescent="0.25">
      <c r="J264" s="12" t="str">
        <f t="shared" si="9"/>
        <v/>
      </c>
      <c r="L264" s="11">
        <f t="shared" si="10"/>
        <v>0</v>
      </c>
      <c r="M264" s="11">
        <f>Settings!$B$4+SUM(L$2:L264)</f>
        <v>223.76548146089809</v>
      </c>
    </row>
    <row r="265" spans="10:13" x14ac:dyDescent="0.25">
      <c r="J265" s="12" t="str">
        <f t="shared" si="9"/>
        <v/>
      </c>
      <c r="L265" s="11">
        <f t="shared" si="10"/>
        <v>0</v>
      </c>
      <c r="M265" s="11">
        <f>Settings!$B$4+SUM(L$2:L265)</f>
        <v>223.76548146089809</v>
      </c>
    </row>
    <row r="266" spans="10:13" x14ac:dyDescent="0.25">
      <c r="J266" s="12" t="str">
        <f t="shared" si="9"/>
        <v/>
      </c>
      <c r="L266" s="11">
        <f t="shared" si="10"/>
        <v>0</v>
      </c>
      <c r="M266" s="11">
        <f>Settings!$B$4+SUM(L$2:L266)</f>
        <v>223.76548146089809</v>
      </c>
    </row>
    <row r="267" spans="10:13" x14ac:dyDescent="0.25">
      <c r="J267" s="12" t="str">
        <f t="shared" si="9"/>
        <v/>
      </c>
      <c r="L267" s="11">
        <f t="shared" si="10"/>
        <v>0</v>
      </c>
      <c r="M267" s="11">
        <f>Settings!$B$4+SUM(L$2:L267)</f>
        <v>223.76548146089809</v>
      </c>
    </row>
    <row r="268" spans="10:13" x14ac:dyDescent="0.25">
      <c r="J268" s="12" t="str">
        <f t="shared" si="9"/>
        <v/>
      </c>
      <c r="L268" s="11">
        <f t="shared" si="10"/>
        <v>0</v>
      </c>
      <c r="M268" s="11">
        <f>Settings!$B$4+SUM(L$2:L268)</f>
        <v>223.76548146089809</v>
      </c>
    </row>
    <row r="269" spans="10:13" x14ac:dyDescent="0.25">
      <c r="J269" s="12" t="str">
        <f t="shared" si="9"/>
        <v/>
      </c>
      <c r="L269" s="11">
        <f t="shared" si="10"/>
        <v>0</v>
      </c>
      <c r="M269" s="11">
        <f>Settings!$B$4+SUM(L$2:L269)</f>
        <v>223.76548146089809</v>
      </c>
    </row>
    <row r="270" spans="10:13" x14ac:dyDescent="0.25">
      <c r="J270" s="12" t="str">
        <f t="shared" si="9"/>
        <v/>
      </c>
      <c r="L270" s="11">
        <f t="shared" si="10"/>
        <v>0</v>
      </c>
      <c r="M270" s="11">
        <f>Settings!$B$4+SUM(L$2:L270)</f>
        <v>223.76548146089809</v>
      </c>
    </row>
    <row r="271" spans="10:13" x14ac:dyDescent="0.25">
      <c r="J271" s="12" t="str">
        <f t="shared" si="9"/>
        <v/>
      </c>
      <c r="L271" s="11">
        <f t="shared" si="10"/>
        <v>0</v>
      </c>
      <c r="M271" s="11">
        <f>Settings!$B$4+SUM(L$2:L271)</f>
        <v>223.76548146089809</v>
      </c>
    </row>
    <row r="272" spans="10:13" x14ac:dyDescent="0.25">
      <c r="J272" s="12" t="str">
        <f t="shared" si="9"/>
        <v/>
      </c>
      <c r="L272" s="11">
        <f t="shared" si="10"/>
        <v>0</v>
      </c>
      <c r="M272" s="11">
        <f>Settings!$B$4+SUM(L$2:L272)</f>
        <v>223.76548146089809</v>
      </c>
    </row>
    <row r="273" spans="10:13" x14ac:dyDescent="0.25">
      <c r="J273" s="12" t="str">
        <f t="shared" si="9"/>
        <v/>
      </c>
      <c r="L273" s="11">
        <f t="shared" si="10"/>
        <v>0</v>
      </c>
      <c r="M273" s="11">
        <f>Settings!$B$4+SUM(L$2:L273)</f>
        <v>223.76548146089809</v>
      </c>
    </row>
    <row r="274" spans="10:13" x14ac:dyDescent="0.25">
      <c r="J274" s="12" t="str">
        <f t="shared" si="9"/>
        <v/>
      </c>
      <c r="L274" s="11">
        <f t="shared" si="10"/>
        <v>0</v>
      </c>
      <c r="M274" s="11">
        <f>Settings!$B$4+SUM(L$2:L274)</f>
        <v>223.76548146089809</v>
      </c>
    </row>
    <row r="275" spans="10:13" x14ac:dyDescent="0.25">
      <c r="J275" s="12" t="str">
        <f t="shared" si="9"/>
        <v/>
      </c>
      <c r="L275" s="11">
        <f t="shared" si="10"/>
        <v>0</v>
      </c>
      <c r="M275" s="11">
        <f>Settings!$B$4+SUM(L$2:L275)</f>
        <v>223.76548146089809</v>
      </c>
    </row>
    <row r="276" spans="10:13" x14ac:dyDescent="0.25">
      <c r="J276" s="12" t="str">
        <f t="shared" si="9"/>
        <v/>
      </c>
      <c r="L276" s="11">
        <f t="shared" si="10"/>
        <v>0</v>
      </c>
      <c r="M276" s="11">
        <f>Settings!$B$4+SUM(L$2:L276)</f>
        <v>223.76548146089809</v>
      </c>
    </row>
    <row r="277" spans="10:13" x14ac:dyDescent="0.25">
      <c r="J277" s="12" t="str">
        <f t="shared" si="9"/>
        <v/>
      </c>
      <c r="L277" s="11">
        <f t="shared" si="10"/>
        <v>0</v>
      </c>
      <c r="M277" s="11">
        <f>Settings!$B$4+SUM(L$2:L277)</f>
        <v>223.76548146089809</v>
      </c>
    </row>
    <row r="278" spans="10:13" x14ac:dyDescent="0.25">
      <c r="J278" s="12" t="str">
        <f t="shared" si="9"/>
        <v/>
      </c>
      <c r="L278" s="11">
        <f t="shared" si="10"/>
        <v>0</v>
      </c>
      <c r="M278" s="11">
        <f>Settings!$B$4+SUM(L$2:L278)</f>
        <v>223.76548146089809</v>
      </c>
    </row>
    <row r="279" spans="10:13" x14ac:dyDescent="0.25">
      <c r="J279" s="12" t="str">
        <f t="shared" si="9"/>
        <v/>
      </c>
      <c r="L279" s="11">
        <f t="shared" si="10"/>
        <v>0</v>
      </c>
      <c r="M279" s="11">
        <f>Settings!$B$4+SUM(L$2:L279)</f>
        <v>223.76548146089809</v>
      </c>
    </row>
    <row r="280" spans="10:13" x14ac:dyDescent="0.25">
      <c r="J280" s="12" t="str">
        <f t="shared" si="9"/>
        <v/>
      </c>
      <c r="L280" s="11">
        <f t="shared" si="10"/>
        <v>0</v>
      </c>
      <c r="M280" s="11">
        <f>Settings!$B$4+SUM(L$2:L280)</f>
        <v>223.76548146089809</v>
      </c>
    </row>
    <row r="281" spans="10:13" x14ac:dyDescent="0.25">
      <c r="J281" s="12" t="str">
        <f t="shared" si="9"/>
        <v/>
      </c>
      <c r="L281" s="11">
        <f t="shared" si="10"/>
        <v>0</v>
      </c>
      <c r="M281" s="11">
        <f>Settings!$B$4+SUM(L$2:L281)</f>
        <v>223.76548146089809</v>
      </c>
    </row>
    <row r="282" spans="10:13" x14ac:dyDescent="0.25">
      <c r="J282" s="12" t="str">
        <f t="shared" si="9"/>
        <v/>
      </c>
      <c r="L282" s="11">
        <f t="shared" si="10"/>
        <v>0</v>
      </c>
      <c r="M282" s="11">
        <f>Settings!$B$4+SUM(L$2:L282)</f>
        <v>223.76548146089809</v>
      </c>
    </row>
    <row r="283" spans="10:13" x14ac:dyDescent="0.25">
      <c r="J283" s="12" t="str">
        <f t="shared" si="9"/>
        <v/>
      </c>
      <c r="L283" s="11">
        <f t="shared" si="10"/>
        <v>0</v>
      </c>
      <c r="M283" s="11">
        <f>Settings!$B$4+SUM(L$2:L283)</f>
        <v>223.76548146089809</v>
      </c>
    </row>
    <row r="284" spans="10:13" x14ac:dyDescent="0.25">
      <c r="J284" s="12" t="str">
        <f t="shared" si="9"/>
        <v/>
      </c>
      <c r="L284" s="11">
        <f t="shared" si="10"/>
        <v>0</v>
      </c>
      <c r="M284" s="11">
        <f>Settings!$B$4+SUM(L$2:L284)</f>
        <v>223.76548146089809</v>
      </c>
    </row>
    <row r="285" spans="10:13" x14ac:dyDescent="0.25">
      <c r="J285" s="12" t="str">
        <f t="shared" si="9"/>
        <v/>
      </c>
      <c r="L285" s="11">
        <f t="shared" si="10"/>
        <v>0</v>
      </c>
      <c r="M285" s="11">
        <f>Settings!$B$4+SUM(L$2:L285)</f>
        <v>223.76548146089809</v>
      </c>
    </row>
    <row r="286" spans="10:13" x14ac:dyDescent="0.25">
      <c r="J286" s="12" t="str">
        <f t="shared" si="9"/>
        <v/>
      </c>
      <c r="L286" s="11">
        <f t="shared" si="10"/>
        <v>0</v>
      </c>
      <c r="M286" s="11">
        <f>Settings!$B$4+SUM(L$2:L286)</f>
        <v>223.76548146089809</v>
      </c>
    </row>
    <row r="287" spans="10:13" x14ac:dyDescent="0.25">
      <c r="J287" s="12" t="str">
        <f t="shared" si="9"/>
        <v/>
      </c>
      <c r="L287" s="11">
        <f t="shared" si="10"/>
        <v>0</v>
      </c>
      <c r="M287" s="11">
        <f>Settings!$B$4+SUM(L$2:L287)</f>
        <v>223.76548146089809</v>
      </c>
    </row>
    <row r="288" spans="10:13" x14ac:dyDescent="0.25">
      <c r="J288" s="12" t="str">
        <f t="shared" si="9"/>
        <v/>
      </c>
      <c r="L288" s="11">
        <f t="shared" si="10"/>
        <v>0</v>
      </c>
      <c r="M288" s="11">
        <f>Settings!$B$4+SUM(L$2:L288)</f>
        <v>223.76548146089809</v>
      </c>
    </row>
    <row r="289" spans="10:13" x14ac:dyDescent="0.25">
      <c r="J289" s="12" t="str">
        <f t="shared" si="9"/>
        <v/>
      </c>
      <c r="L289" s="11">
        <f t="shared" si="10"/>
        <v>0</v>
      </c>
      <c r="M289" s="11">
        <f>Settings!$B$4+SUM(L$2:L289)</f>
        <v>223.76548146089809</v>
      </c>
    </row>
    <row r="290" spans="10:13" x14ac:dyDescent="0.25">
      <c r="J290" s="12" t="str">
        <f t="shared" si="9"/>
        <v/>
      </c>
      <c r="L290" s="11">
        <f t="shared" si="10"/>
        <v>0</v>
      </c>
      <c r="M290" s="11">
        <f>Settings!$B$4+SUM(L$2:L290)</f>
        <v>223.76548146089809</v>
      </c>
    </row>
    <row r="291" spans="10:13" x14ac:dyDescent="0.25">
      <c r="J291" s="12" t="str">
        <f t="shared" si="9"/>
        <v/>
      </c>
      <c r="L291" s="11">
        <f t="shared" si="10"/>
        <v>0</v>
      </c>
      <c r="M291" s="11">
        <f>Settings!$B$4+SUM(L$2:L291)</f>
        <v>223.76548146089809</v>
      </c>
    </row>
    <row r="292" spans="10:13" x14ac:dyDescent="0.25">
      <c r="J292" s="12" t="str">
        <f t="shared" si="9"/>
        <v/>
      </c>
      <c r="L292" s="11">
        <f t="shared" si="10"/>
        <v>0</v>
      </c>
      <c r="M292" s="11">
        <f>Settings!$B$4+SUM(L$2:L292)</f>
        <v>223.76548146089809</v>
      </c>
    </row>
    <row r="293" spans="10:13" x14ac:dyDescent="0.25">
      <c r="J293" s="12" t="str">
        <f t="shared" si="9"/>
        <v/>
      </c>
      <c r="L293" s="11">
        <f t="shared" si="10"/>
        <v>0</v>
      </c>
      <c r="M293" s="11">
        <f>Settings!$B$4+SUM(L$2:L293)</f>
        <v>223.76548146089809</v>
      </c>
    </row>
    <row r="294" spans="10:13" x14ac:dyDescent="0.25">
      <c r="J294" s="12" t="str">
        <f t="shared" si="9"/>
        <v/>
      </c>
      <c r="L294" s="11">
        <f t="shared" si="10"/>
        <v>0</v>
      </c>
      <c r="M294" s="11">
        <f>Settings!$B$4+SUM(L$2:L294)</f>
        <v>223.76548146089809</v>
      </c>
    </row>
    <row r="295" spans="10:13" x14ac:dyDescent="0.25">
      <c r="J295" s="12" t="str">
        <f t="shared" si="9"/>
        <v/>
      </c>
      <c r="L295" s="11">
        <f t="shared" si="10"/>
        <v>0</v>
      </c>
      <c r="M295" s="11">
        <f>Settings!$B$4+SUM(L$2:L295)</f>
        <v>223.76548146089809</v>
      </c>
    </row>
    <row r="296" spans="10:13" x14ac:dyDescent="0.25">
      <c r="J296" s="12" t="str">
        <f t="shared" si="9"/>
        <v/>
      </c>
      <c r="L296" s="11">
        <f t="shared" si="10"/>
        <v>0</v>
      </c>
      <c r="M296" s="11">
        <f>Settings!$B$4+SUM(L$2:L296)</f>
        <v>223.76548146089809</v>
      </c>
    </row>
    <row r="297" spans="10:13" x14ac:dyDescent="0.25">
      <c r="J297" s="12" t="str">
        <f t="shared" si="9"/>
        <v/>
      </c>
      <c r="L297" s="11">
        <f t="shared" si="10"/>
        <v>0</v>
      </c>
      <c r="M297" s="11">
        <f>Settings!$B$4+SUM(L$2:L297)</f>
        <v>223.76548146089809</v>
      </c>
    </row>
    <row r="298" spans="10:13" x14ac:dyDescent="0.25">
      <c r="J298" s="12" t="str">
        <f t="shared" si="9"/>
        <v/>
      </c>
      <c r="L298" s="11">
        <f t="shared" si="10"/>
        <v>0</v>
      </c>
      <c r="M298" s="11">
        <f>Settings!$B$4+SUM(L$2:L298)</f>
        <v>223.76548146089809</v>
      </c>
    </row>
    <row r="299" spans="10:13" x14ac:dyDescent="0.25">
      <c r="J299" s="12" t="str">
        <f t="shared" si="9"/>
        <v/>
      </c>
      <c r="L299" s="11">
        <f t="shared" si="10"/>
        <v>0</v>
      </c>
      <c r="M299" s="11">
        <f>Settings!$B$4+SUM(L$2:L299)</f>
        <v>223.76548146089809</v>
      </c>
    </row>
    <row r="300" spans="10:13" x14ac:dyDescent="0.25">
      <c r="J300" s="12" t="str">
        <f t="shared" si="9"/>
        <v/>
      </c>
      <c r="L300" s="11">
        <f t="shared" si="10"/>
        <v>0</v>
      </c>
      <c r="M300" s="11">
        <f>Settings!$B$4+SUM(L$2:L300)</f>
        <v>223.76548146089809</v>
      </c>
    </row>
    <row r="301" spans="10:13" x14ac:dyDescent="0.25">
      <c r="J301" s="12" t="str">
        <f t="shared" si="9"/>
        <v/>
      </c>
      <c r="L301" s="11">
        <f t="shared" si="10"/>
        <v>0</v>
      </c>
      <c r="M301" s="11">
        <f>Settings!$B$4+SUM(L$2:L301)</f>
        <v>223.76548146089809</v>
      </c>
    </row>
    <row r="302" spans="10:13" x14ac:dyDescent="0.25">
      <c r="J302" s="12" t="str">
        <f t="shared" si="9"/>
        <v/>
      </c>
      <c r="L302" s="11">
        <f t="shared" si="10"/>
        <v>0</v>
      </c>
      <c r="M302" s="11">
        <f>Settings!$B$4+SUM(L$2:L302)</f>
        <v>223.76548146089809</v>
      </c>
    </row>
    <row r="303" spans="10:13" x14ac:dyDescent="0.25">
      <c r="J303" s="12" t="str">
        <f t="shared" si="9"/>
        <v/>
      </c>
      <c r="L303" s="11">
        <f t="shared" si="10"/>
        <v>0</v>
      </c>
      <c r="M303" s="11">
        <f>Settings!$B$4+SUM(L$2:L303)</f>
        <v>223.76548146089809</v>
      </c>
    </row>
    <row r="304" spans="10:13" x14ac:dyDescent="0.25">
      <c r="J304" s="12" t="str">
        <f t="shared" si="9"/>
        <v/>
      </c>
      <c r="L304" s="11">
        <f t="shared" si="10"/>
        <v>0</v>
      </c>
      <c r="M304" s="11">
        <f>Settings!$B$4+SUM(L$2:L304)</f>
        <v>223.76548146089809</v>
      </c>
    </row>
    <row r="305" spans="10:13" x14ac:dyDescent="0.25">
      <c r="J305" s="12" t="str">
        <f t="shared" si="9"/>
        <v/>
      </c>
      <c r="L305" s="11">
        <f t="shared" si="10"/>
        <v>0</v>
      </c>
      <c r="M305" s="11">
        <f>Settings!$B$4+SUM(L$2:L305)</f>
        <v>223.76548146089809</v>
      </c>
    </row>
    <row r="306" spans="10:13" x14ac:dyDescent="0.25">
      <c r="J306" s="12" t="str">
        <f t="shared" si="9"/>
        <v/>
      </c>
      <c r="L306" s="11">
        <f t="shared" si="10"/>
        <v>0</v>
      </c>
      <c r="M306" s="11">
        <f>Settings!$B$4+SUM(L$2:L306)</f>
        <v>223.76548146089809</v>
      </c>
    </row>
    <row r="307" spans="10:13" x14ac:dyDescent="0.25">
      <c r="J307" s="12" t="str">
        <f t="shared" si="9"/>
        <v/>
      </c>
      <c r="L307" s="11">
        <f t="shared" si="10"/>
        <v>0</v>
      </c>
      <c r="M307" s="11">
        <f>Settings!$B$4+SUM(L$2:L307)</f>
        <v>223.76548146089809</v>
      </c>
    </row>
    <row r="308" spans="10:13" x14ac:dyDescent="0.25">
      <c r="J308" s="12" t="str">
        <f t="shared" si="9"/>
        <v/>
      </c>
      <c r="L308" s="11">
        <f t="shared" si="10"/>
        <v>0</v>
      </c>
      <c r="M308" s="11">
        <f>Settings!$B$4+SUM(L$2:L308)</f>
        <v>223.76548146089809</v>
      </c>
    </row>
    <row r="309" spans="10:13" x14ac:dyDescent="0.25">
      <c r="J309" s="12" t="str">
        <f t="shared" si="9"/>
        <v/>
      </c>
      <c r="L309" s="11">
        <f t="shared" si="10"/>
        <v>0</v>
      </c>
      <c r="M309" s="11">
        <f>Settings!$B$4+SUM(L$2:L309)</f>
        <v>223.76548146089809</v>
      </c>
    </row>
    <row r="310" spans="10:13" x14ac:dyDescent="0.25">
      <c r="J310" s="12" t="str">
        <f t="shared" si="9"/>
        <v/>
      </c>
      <c r="L310" s="11">
        <f t="shared" si="10"/>
        <v>0</v>
      </c>
      <c r="M310" s="11">
        <f>Settings!$B$4+SUM(L$2:L310)</f>
        <v>223.76548146089809</v>
      </c>
    </row>
    <row r="311" spans="10:13" x14ac:dyDescent="0.25">
      <c r="J311" s="12" t="str">
        <f t="shared" si="9"/>
        <v/>
      </c>
      <c r="L311" s="11">
        <f t="shared" si="10"/>
        <v>0</v>
      </c>
      <c r="M311" s="11">
        <f>Settings!$B$4+SUM(L$2:L311)</f>
        <v>223.76548146089809</v>
      </c>
    </row>
    <row r="312" spans="10:13" x14ac:dyDescent="0.25">
      <c r="J312" s="12" t="str">
        <f t="shared" si="9"/>
        <v/>
      </c>
      <c r="L312" s="11">
        <f t="shared" si="10"/>
        <v>0</v>
      </c>
      <c r="M312" s="11">
        <f>Settings!$B$4+SUM(L$2:L312)</f>
        <v>223.76548146089809</v>
      </c>
    </row>
    <row r="313" spans="10:13" x14ac:dyDescent="0.25">
      <c r="J313" s="12" t="str">
        <f t="shared" si="9"/>
        <v/>
      </c>
      <c r="L313" s="11">
        <f t="shared" si="10"/>
        <v>0</v>
      </c>
      <c r="M313" s="11">
        <f>Settings!$B$4+SUM(L$2:L313)</f>
        <v>223.76548146089809</v>
      </c>
    </row>
    <row r="314" spans="10:13" x14ac:dyDescent="0.25">
      <c r="J314" s="12" t="str">
        <f t="shared" si="9"/>
        <v/>
      </c>
      <c r="L314" s="11">
        <f t="shared" si="10"/>
        <v>0</v>
      </c>
      <c r="M314" s="11">
        <f>Settings!$B$4+SUM(L$2:L314)</f>
        <v>223.76548146089809</v>
      </c>
    </row>
    <row r="315" spans="10:13" x14ac:dyDescent="0.25">
      <c r="J315" s="12" t="str">
        <f t="shared" si="9"/>
        <v/>
      </c>
      <c r="L315" s="11">
        <f t="shared" si="10"/>
        <v>0</v>
      </c>
      <c r="M315" s="11">
        <f>Settings!$B$4+SUM(L$2:L315)</f>
        <v>223.76548146089809</v>
      </c>
    </row>
    <row r="316" spans="10:13" x14ac:dyDescent="0.25">
      <c r="J316" s="12" t="str">
        <f t="shared" si="9"/>
        <v/>
      </c>
      <c r="L316" s="11">
        <f t="shared" si="10"/>
        <v>0</v>
      </c>
      <c r="M316" s="11">
        <f>Settings!$B$4+SUM(L$2:L316)</f>
        <v>223.76548146089809</v>
      </c>
    </row>
    <row r="317" spans="10:13" x14ac:dyDescent="0.25">
      <c r="J317" s="12" t="str">
        <f t="shared" si="9"/>
        <v/>
      </c>
      <c r="L317" s="11">
        <f t="shared" si="10"/>
        <v>0</v>
      </c>
      <c r="M317" s="11">
        <f>Settings!$B$4+SUM(L$2:L317)</f>
        <v>223.76548146089809</v>
      </c>
    </row>
    <row r="318" spans="10:13" x14ac:dyDescent="0.25">
      <c r="J318" s="12" t="str">
        <f t="shared" si="9"/>
        <v/>
      </c>
      <c r="L318" s="11">
        <f t="shared" si="10"/>
        <v>0</v>
      </c>
      <c r="M318" s="11">
        <f>Settings!$B$4+SUM(L$2:L318)</f>
        <v>223.76548146089809</v>
      </c>
    </row>
    <row r="319" spans="10:13" x14ac:dyDescent="0.25">
      <c r="J319" s="12" t="str">
        <f t="shared" ref="J319:J382" si="11">IF(I319="","",I319-F319)</f>
        <v/>
      </c>
      <c r="L319" s="11">
        <f t="shared" si="10"/>
        <v>0</v>
      </c>
      <c r="M319" s="11">
        <f>Settings!$B$4+SUM(L$2:L319)</f>
        <v>223.76548146089809</v>
      </c>
    </row>
    <row r="320" spans="10:13" x14ac:dyDescent="0.25">
      <c r="J320" s="12" t="str">
        <f t="shared" si="11"/>
        <v/>
      </c>
      <c r="L320" s="11">
        <f t="shared" si="10"/>
        <v>0</v>
      </c>
      <c r="M320" s="11">
        <f>Settings!$B$4+SUM(L$2:L320)</f>
        <v>223.76548146089809</v>
      </c>
    </row>
    <row r="321" spans="10:13" x14ac:dyDescent="0.25">
      <c r="J321" s="12" t="str">
        <f t="shared" si="11"/>
        <v/>
      </c>
      <c r="L321" s="11">
        <f t="shared" si="10"/>
        <v>0</v>
      </c>
      <c r="M321" s="11">
        <f>Settings!$B$4+SUM(L$2:L321)</f>
        <v>223.76548146089809</v>
      </c>
    </row>
    <row r="322" spans="10:13" x14ac:dyDescent="0.25">
      <c r="J322" s="12" t="str">
        <f t="shared" si="11"/>
        <v/>
      </c>
      <c r="L322" s="11">
        <f t="shared" ref="L322:L385" si="12">IF(K322="W",IF(G322&lt;0,H322*100/ABS(G322),H322*G322/100),IF(K322="L",-H322,0))</f>
        <v>0</v>
      </c>
      <c r="M322" s="11">
        <f>Settings!$B$4+SUM(L$2:L322)</f>
        <v>223.76548146089809</v>
      </c>
    </row>
    <row r="323" spans="10:13" x14ac:dyDescent="0.25">
      <c r="J323" s="12" t="str">
        <f t="shared" si="11"/>
        <v/>
      </c>
      <c r="L323" s="11">
        <f t="shared" si="12"/>
        <v>0</v>
      </c>
      <c r="M323" s="11">
        <f>Settings!$B$4+SUM(L$2:L323)</f>
        <v>223.76548146089809</v>
      </c>
    </row>
    <row r="324" spans="10:13" x14ac:dyDescent="0.25">
      <c r="J324" s="12" t="str">
        <f t="shared" si="11"/>
        <v/>
      </c>
      <c r="L324" s="11">
        <f t="shared" si="12"/>
        <v>0</v>
      </c>
      <c r="M324" s="11">
        <f>Settings!$B$4+SUM(L$2:L324)</f>
        <v>223.76548146089809</v>
      </c>
    </row>
    <row r="325" spans="10:13" x14ac:dyDescent="0.25">
      <c r="J325" s="12" t="str">
        <f t="shared" si="11"/>
        <v/>
      </c>
      <c r="L325" s="11">
        <f t="shared" si="12"/>
        <v>0</v>
      </c>
      <c r="M325" s="11">
        <f>Settings!$B$4+SUM(L$2:L325)</f>
        <v>223.76548146089809</v>
      </c>
    </row>
    <row r="326" spans="10:13" x14ac:dyDescent="0.25">
      <c r="J326" s="12" t="str">
        <f t="shared" si="11"/>
        <v/>
      </c>
      <c r="L326" s="11">
        <f t="shared" si="12"/>
        <v>0</v>
      </c>
      <c r="M326" s="11">
        <f>Settings!$B$4+SUM(L$2:L326)</f>
        <v>223.76548146089809</v>
      </c>
    </row>
    <row r="327" spans="10:13" x14ac:dyDescent="0.25">
      <c r="J327" s="12" t="str">
        <f t="shared" si="11"/>
        <v/>
      </c>
      <c r="L327" s="11">
        <f t="shared" si="12"/>
        <v>0</v>
      </c>
      <c r="M327" s="11">
        <f>Settings!$B$4+SUM(L$2:L327)</f>
        <v>223.76548146089809</v>
      </c>
    </row>
    <row r="328" spans="10:13" x14ac:dyDescent="0.25">
      <c r="J328" s="12" t="str">
        <f t="shared" si="11"/>
        <v/>
      </c>
      <c r="L328" s="11">
        <f t="shared" si="12"/>
        <v>0</v>
      </c>
      <c r="M328" s="11">
        <f>Settings!$B$4+SUM(L$2:L328)</f>
        <v>223.76548146089809</v>
      </c>
    </row>
    <row r="329" spans="10:13" x14ac:dyDescent="0.25">
      <c r="J329" s="12" t="str">
        <f t="shared" si="11"/>
        <v/>
      </c>
      <c r="L329" s="11">
        <f t="shared" si="12"/>
        <v>0</v>
      </c>
      <c r="M329" s="11">
        <f>Settings!$B$4+SUM(L$2:L329)</f>
        <v>223.76548146089809</v>
      </c>
    </row>
    <row r="330" spans="10:13" x14ac:dyDescent="0.25">
      <c r="J330" s="12" t="str">
        <f t="shared" si="11"/>
        <v/>
      </c>
      <c r="L330" s="11">
        <f t="shared" si="12"/>
        <v>0</v>
      </c>
      <c r="M330" s="11">
        <f>Settings!$B$4+SUM(L$2:L330)</f>
        <v>223.76548146089809</v>
      </c>
    </row>
    <row r="331" spans="10:13" x14ac:dyDescent="0.25">
      <c r="J331" s="12" t="str">
        <f t="shared" si="11"/>
        <v/>
      </c>
      <c r="L331" s="11">
        <f t="shared" si="12"/>
        <v>0</v>
      </c>
      <c r="M331" s="11">
        <f>Settings!$B$4+SUM(L$2:L331)</f>
        <v>223.76548146089809</v>
      </c>
    </row>
    <row r="332" spans="10:13" x14ac:dyDescent="0.25">
      <c r="J332" s="12" t="str">
        <f t="shared" si="11"/>
        <v/>
      </c>
      <c r="L332" s="11">
        <f t="shared" si="12"/>
        <v>0</v>
      </c>
      <c r="M332" s="11">
        <f>Settings!$B$4+SUM(L$2:L332)</f>
        <v>223.76548146089809</v>
      </c>
    </row>
    <row r="333" spans="10:13" x14ac:dyDescent="0.25">
      <c r="J333" s="12" t="str">
        <f t="shared" si="11"/>
        <v/>
      </c>
      <c r="L333" s="11">
        <f t="shared" si="12"/>
        <v>0</v>
      </c>
      <c r="M333" s="11">
        <f>Settings!$B$4+SUM(L$2:L333)</f>
        <v>223.76548146089809</v>
      </c>
    </row>
    <row r="334" spans="10:13" x14ac:dyDescent="0.25">
      <c r="J334" s="12" t="str">
        <f t="shared" si="11"/>
        <v/>
      </c>
      <c r="L334" s="11">
        <f t="shared" si="12"/>
        <v>0</v>
      </c>
      <c r="M334" s="11">
        <f>Settings!$B$4+SUM(L$2:L334)</f>
        <v>223.76548146089809</v>
      </c>
    </row>
    <row r="335" spans="10:13" x14ac:dyDescent="0.25">
      <c r="J335" s="12" t="str">
        <f t="shared" si="11"/>
        <v/>
      </c>
      <c r="L335" s="11">
        <f t="shared" si="12"/>
        <v>0</v>
      </c>
      <c r="M335" s="11">
        <f>Settings!$B$4+SUM(L$2:L335)</f>
        <v>223.76548146089809</v>
      </c>
    </row>
    <row r="336" spans="10:13" x14ac:dyDescent="0.25">
      <c r="J336" s="12" t="str">
        <f t="shared" si="11"/>
        <v/>
      </c>
      <c r="L336" s="11">
        <f t="shared" si="12"/>
        <v>0</v>
      </c>
      <c r="M336" s="11">
        <f>Settings!$B$4+SUM(L$2:L336)</f>
        <v>223.76548146089809</v>
      </c>
    </row>
    <row r="337" spans="10:13" x14ac:dyDescent="0.25">
      <c r="J337" s="12" t="str">
        <f t="shared" si="11"/>
        <v/>
      </c>
      <c r="L337" s="11">
        <f t="shared" si="12"/>
        <v>0</v>
      </c>
      <c r="M337" s="11">
        <f>Settings!$B$4+SUM(L$2:L337)</f>
        <v>223.76548146089809</v>
      </c>
    </row>
    <row r="338" spans="10:13" x14ac:dyDescent="0.25">
      <c r="J338" s="12" t="str">
        <f t="shared" si="11"/>
        <v/>
      </c>
      <c r="L338" s="11">
        <f t="shared" si="12"/>
        <v>0</v>
      </c>
      <c r="M338" s="11">
        <f>Settings!$B$4+SUM(L$2:L338)</f>
        <v>223.76548146089809</v>
      </c>
    </row>
    <row r="339" spans="10:13" x14ac:dyDescent="0.25">
      <c r="J339" s="12" t="str">
        <f t="shared" si="11"/>
        <v/>
      </c>
      <c r="L339" s="11">
        <f t="shared" si="12"/>
        <v>0</v>
      </c>
      <c r="M339" s="11">
        <f>Settings!$B$4+SUM(L$2:L339)</f>
        <v>223.76548146089809</v>
      </c>
    </row>
    <row r="340" spans="10:13" x14ac:dyDescent="0.25">
      <c r="J340" s="12" t="str">
        <f t="shared" si="11"/>
        <v/>
      </c>
      <c r="L340" s="11">
        <f t="shared" si="12"/>
        <v>0</v>
      </c>
      <c r="M340" s="11">
        <f>Settings!$B$4+SUM(L$2:L340)</f>
        <v>223.76548146089809</v>
      </c>
    </row>
    <row r="341" spans="10:13" x14ac:dyDescent="0.25">
      <c r="J341" s="12" t="str">
        <f t="shared" si="11"/>
        <v/>
      </c>
      <c r="L341" s="11">
        <f t="shared" si="12"/>
        <v>0</v>
      </c>
      <c r="M341" s="11">
        <f>Settings!$B$4+SUM(L$2:L341)</f>
        <v>223.76548146089809</v>
      </c>
    </row>
    <row r="342" spans="10:13" x14ac:dyDescent="0.25">
      <c r="J342" s="12" t="str">
        <f t="shared" si="11"/>
        <v/>
      </c>
      <c r="L342" s="11">
        <f t="shared" si="12"/>
        <v>0</v>
      </c>
      <c r="M342" s="11">
        <f>Settings!$B$4+SUM(L$2:L342)</f>
        <v>223.76548146089809</v>
      </c>
    </row>
    <row r="343" spans="10:13" x14ac:dyDescent="0.25">
      <c r="J343" s="12" t="str">
        <f t="shared" si="11"/>
        <v/>
      </c>
      <c r="L343" s="11">
        <f t="shared" si="12"/>
        <v>0</v>
      </c>
      <c r="M343" s="11">
        <f>Settings!$B$4+SUM(L$2:L343)</f>
        <v>223.76548146089809</v>
      </c>
    </row>
    <row r="344" spans="10:13" x14ac:dyDescent="0.25">
      <c r="J344" s="12" t="str">
        <f t="shared" si="11"/>
        <v/>
      </c>
      <c r="L344" s="11">
        <f t="shared" si="12"/>
        <v>0</v>
      </c>
      <c r="M344" s="11">
        <f>Settings!$B$4+SUM(L$2:L344)</f>
        <v>223.76548146089809</v>
      </c>
    </row>
    <row r="345" spans="10:13" x14ac:dyDescent="0.25">
      <c r="J345" s="12" t="str">
        <f t="shared" si="11"/>
        <v/>
      </c>
      <c r="L345" s="11">
        <f t="shared" si="12"/>
        <v>0</v>
      </c>
      <c r="M345" s="11">
        <f>Settings!$B$4+SUM(L$2:L345)</f>
        <v>223.76548146089809</v>
      </c>
    </row>
    <row r="346" spans="10:13" x14ac:dyDescent="0.25">
      <c r="J346" s="12" t="str">
        <f t="shared" si="11"/>
        <v/>
      </c>
      <c r="L346" s="11">
        <f t="shared" si="12"/>
        <v>0</v>
      </c>
      <c r="M346" s="11">
        <f>Settings!$B$4+SUM(L$2:L346)</f>
        <v>223.76548146089809</v>
      </c>
    </row>
    <row r="347" spans="10:13" x14ac:dyDescent="0.25">
      <c r="J347" s="12" t="str">
        <f t="shared" si="11"/>
        <v/>
      </c>
      <c r="L347" s="11">
        <f t="shared" si="12"/>
        <v>0</v>
      </c>
      <c r="M347" s="11">
        <f>Settings!$B$4+SUM(L$2:L347)</f>
        <v>223.76548146089809</v>
      </c>
    </row>
    <row r="348" spans="10:13" x14ac:dyDescent="0.25">
      <c r="J348" s="12" t="str">
        <f t="shared" si="11"/>
        <v/>
      </c>
      <c r="L348" s="11">
        <f t="shared" si="12"/>
        <v>0</v>
      </c>
      <c r="M348" s="11">
        <f>Settings!$B$4+SUM(L$2:L348)</f>
        <v>223.76548146089809</v>
      </c>
    </row>
    <row r="349" spans="10:13" x14ac:dyDescent="0.25">
      <c r="J349" s="12" t="str">
        <f t="shared" si="11"/>
        <v/>
      </c>
      <c r="L349" s="11">
        <f t="shared" si="12"/>
        <v>0</v>
      </c>
      <c r="M349" s="11">
        <f>Settings!$B$4+SUM(L$2:L349)</f>
        <v>223.76548146089809</v>
      </c>
    </row>
    <row r="350" spans="10:13" x14ac:dyDescent="0.25">
      <c r="J350" s="12" t="str">
        <f t="shared" si="11"/>
        <v/>
      </c>
      <c r="L350" s="11">
        <f t="shared" si="12"/>
        <v>0</v>
      </c>
      <c r="M350" s="11">
        <f>Settings!$B$4+SUM(L$2:L350)</f>
        <v>223.76548146089809</v>
      </c>
    </row>
    <row r="351" spans="10:13" x14ac:dyDescent="0.25">
      <c r="J351" s="12" t="str">
        <f t="shared" si="11"/>
        <v/>
      </c>
      <c r="L351" s="11">
        <f t="shared" si="12"/>
        <v>0</v>
      </c>
      <c r="M351" s="11">
        <f>Settings!$B$4+SUM(L$2:L351)</f>
        <v>223.76548146089809</v>
      </c>
    </row>
    <row r="352" spans="10:13" x14ac:dyDescent="0.25">
      <c r="J352" s="12" t="str">
        <f t="shared" si="11"/>
        <v/>
      </c>
      <c r="L352" s="11">
        <f t="shared" si="12"/>
        <v>0</v>
      </c>
      <c r="M352" s="11">
        <f>Settings!$B$4+SUM(L$2:L352)</f>
        <v>223.76548146089809</v>
      </c>
    </row>
    <row r="353" spans="10:13" x14ac:dyDescent="0.25">
      <c r="J353" s="12" t="str">
        <f t="shared" si="11"/>
        <v/>
      </c>
      <c r="L353" s="11">
        <f t="shared" si="12"/>
        <v>0</v>
      </c>
      <c r="M353" s="11">
        <f>Settings!$B$4+SUM(L$2:L353)</f>
        <v>223.76548146089809</v>
      </c>
    </row>
    <row r="354" spans="10:13" x14ac:dyDescent="0.25">
      <c r="J354" s="12" t="str">
        <f t="shared" si="11"/>
        <v/>
      </c>
      <c r="L354" s="11">
        <f t="shared" si="12"/>
        <v>0</v>
      </c>
      <c r="M354" s="11">
        <f>Settings!$B$4+SUM(L$2:L354)</f>
        <v>223.76548146089809</v>
      </c>
    </row>
    <row r="355" spans="10:13" x14ac:dyDescent="0.25">
      <c r="J355" s="12" t="str">
        <f t="shared" si="11"/>
        <v/>
      </c>
      <c r="L355" s="11">
        <f t="shared" si="12"/>
        <v>0</v>
      </c>
      <c r="M355" s="11">
        <f>Settings!$B$4+SUM(L$2:L355)</f>
        <v>223.76548146089809</v>
      </c>
    </row>
    <row r="356" spans="10:13" x14ac:dyDescent="0.25">
      <c r="J356" s="12" t="str">
        <f t="shared" si="11"/>
        <v/>
      </c>
      <c r="L356" s="11">
        <f t="shared" si="12"/>
        <v>0</v>
      </c>
      <c r="M356" s="11">
        <f>Settings!$B$4+SUM(L$2:L356)</f>
        <v>223.76548146089809</v>
      </c>
    </row>
    <row r="357" spans="10:13" x14ac:dyDescent="0.25">
      <c r="J357" s="12" t="str">
        <f t="shared" si="11"/>
        <v/>
      </c>
      <c r="L357" s="11">
        <f t="shared" si="12"/>
        <v>0</v>
      </c>
      <c r="M357" s="11">
        <f>Settings!$B$4+SUM(L$2:L357)</f>
        <v>223.76548146089809</v>
      </c>
    </row>
    <row r="358" spans="10:13" x14ac:dyDescent="0.25">
      <c r="J358" s="12" t="str">
        <f t="shared" si="11"/>
        <v/>
      </c>
      <c r="L358" s="11">
        <f t="shared" si="12"/>
        <v>0</v>
      </c>
      <c r="M358" s="11">
        <f>Settings!$B$4+SUM(L$2:L358)</f>
        <v>223.76548146089809</v>
      </c>
    </row>
    <row r="359" spans="10:13" x14ac:dyDescent="0.25">
      <c r="J359" s="12" t="str">
        <f t="shared" si="11"/>
        <v/>
      </c>
      <c r="L359" s="11">
        <f t="shared" si="12"/>
        <v>0</v>
      </c>
      <c r="M359" s="11">
        <f>Settings!$B$4+SUM(L$2:L359)</f>
        <v>223.76548146089809</v>
      </c>
    </row>
    <row r="360" spans="10:13" x14ac:dyDescent="0.25">
      <c r="J360" s="12" t="str">
        <f t="shared" si="11"/>
        <v/>
      </c>
      <c r="L360" s="11">
        <f t="shared" si="12"/>
        <v>0</v>
      </c>
      <c r="M360" s="11">
        <f>Settings!$B$4+SUM(L$2:L360)</f>
        <v>223.76548146089809</v>
      </c>
    </row>
    <row r="361" spans="10:13" x14ac:dyDescent="0.25">
      <c r="J361" s="12" t="str">
        <f t="shared" si="11"/>
        <v/>
      </c>
      <c r="L361" s="11">
        <f t="shared" si="12"/>
        <v>0</v>
      </c>
      <c r="M361" s="11">
        <f>Settings!$B$4+SUM(L$2:L361)</f>
        <v>223.76548146089809</v>
      </c>
    </row>
    <row r="362" spans="10:13" x14ac:dyDescent="0.25">
      <c r="J362" s="12" t="str">
        <f t="shared" si="11"/>
        <v/>
      </c>
      <c r="L362" s="11">
        <f t="shared" si="12"/>
        <v>0</v>
      </c>
      <c r="M362" s="11">
        <f>Settings!$B$4+SUM(L$2:L362)</f>
        <v>223.76548146089809</v>
      </c>
    </row>
    <row r="363" spans="10:13" x14ac:dyDescent="0.25">
      <c r="J363" s="12" t="str">
        <f t="shared" si="11"/>
        <v/>
      </c>
      <c r="L363" s="11">
        <f t="shared" si="12"/>
        <v>0</v>
      </c>
      <c r="M363" s="11">
        <f>Settings!$B$4+SUM(L$2:L363)</f>
        <v>223.76548146089809</v>
      </c>
    </row>
    <row r="364" spans="10:13" x14ac:dyDescent="0.25">
      <c r="J364" s="12" t="str">
        <f t="shared" si="11"/>
        <v/>
      </c>
      <c r="L364" s="11">
        <f t="shared" si="12"/>
        <v>0</v>
      </c>
      <c r="M364" s="11">
        <f>Settings!$B$4+SUM(L$2:L364)</f>
        <v>223.76548146089809</v>
      </c>
    </row>
    <row r="365" spans="10:13" x14ac:dyDescent="0.25">
      <c r="J365" s="12" t="str">
        <f t="shared" si="11"/>
        <v/>
      </c>
      <c r="L365" s="11">
        <f t="shared" si="12"/>
        <v>0</v>
      </c>
      <c r="M365" s="11">
        <f>Settings!$B$4+SUM(L$2:L365)</f>
        <v>223.76548146089809</v>
      </c>
    </row>
    <row r="366" spans="10:13" x14ac:dyDescent="0.25">
      <c r="J366" s="12" t="str">
        <f t="shared" si="11"/>
        <v/>
      </c>
      <c r="L366" s="11">
        <f t="shared" si="12"/>
        <v>0</v>
      </c>
      <c r="M366" s="11">
        <f>Settings!$B$4+SUM(L$2:L366)</f>
        <v>223.76548146089809</v>
      </c>
    </row>
    <row r="367" spans="10:13" x14ac:dyDescent="0.25">
      <c r="J367" s="12" t="str">
        <f t="shared" si="11"/>
        <v/>
      </c>
      <c r="L367" s="11">
        <f t="shared" si="12"/>
        <v>0</v>
      </c>
      <c r="M367" s="11">
        <f>Settings!$B$4+SUM(L$2:L367)</f>
        <v>223.76548146089809</v>
      </c>
    </row>
    <row r="368" spans="10:13" x14ac:dyDescent="0.25">
      <c r="J368" s="12" t="str">
        <f t="shared" si="11"/>
        <v/>
      </c>
      <c r="L368" s="11">
        <f t="shared" si="12"/>
        <v>0</v>
      </c>
      <c r="M368" s="11">
        <f>Settings!$B$4+SUM(L$2:L368)</f>
        <v>223.76548146089809</v>
      </c>
    </row>
    <row r="369" spans="10:13" x14ac:dyDescent="0.25">
      <c r="J369" s="12" t="str">
        <f t="shared" si="11"/>
        <v/>
      </c>
      <c r="L369" s="11">
        <f t="shared" si="12"/>
        <v>0</v>
      </c>
      <c r="M369" s="11">
        <f>Settings!$B$4+SUM(L$2:L369)</f>
        <v>223.76548146089809</v>
      </c>
    </row>
    <row r="370" spans="10:13" x14ac:dyDescent="0.25">
      <c r="J370" s="12" t="str">
        <f t="shared" si="11"/>
        <v/>
      </c>
      <c r="L370" s="11">
        <f t="shared" si="12"/>
        <v>0</v>
      </c>
      <c r="M370" s="11">
        <f>Settings!$B$4+SUM(L$2:L370)</f>
        <v>223.76548146089809</v>
      </c>
    </row>
    <row r="371" spans="10:13" x14ac:dyDescent="0.25">
      <c r="J371" s="12" t="str">
        <f t="shared" si="11"/>
        <v/>
      </c>
      <c r="L371" s="11">
        <f t="shared" si="12"/>
        <v>0</v>
      </c>
      <c r="M371" s="11">
        <f>Settings!$B$4+SUM(L$2:L371)</f>
        <v>223.76548146089809</v>
      </c>
    </row>
    <row r="372" spans="10:13" x14ac:dyDescent="0.25">
      <c r="J372" s="12" t="str">
        <f t="shared" si="11"/>
        <v/>
      </c>
      <c r="L372" s="11">
        <f t="shared" si="12"/>
        <v>0</v>
      </c>
      <c r="M372" s="11">
        <f>Settings!$B$4+SUM(L$2:L372)</f>
        <v>223.76548146089809</v>
      </c>
    </row>
    <row r="373" spans="10:13" x14ac:dyDescent="0.25">
      <c r="J373" s="12" t="str">
        <f t="shared" si="11"/>
        <v/>
      </c>
      <c r="L373" s="11">
        <f t="shared" si="12"/>
        <v>0</v>
      </c>
      <c r="M373" s="11">
        <f>Settings!$B$4+SUM(L$2:L373)</f>
        <v>223.76548146089809</v>
      </c>
    </row>
    <row r="374" spans="10:13" x14ac:dyDescent="0.25">
      <c r="J374" s="12" t="str">
        <f t="shared" si="11"/>
        <v/>
      </c>
      <c r="L374" s="11">
        <f t="shared" si="12"/>
        <v>0</v>
      </c>
      <c r="M374" s="11">
        <f>Settings!$B$4+SUM(L$2:L374)</f>
        <v>223.76548146089809</v>
      </c>
    </row>
    <row r="375" spans="10:13" x14ac:dyDescent="0.25">
      <c r="J375" s="12" t="str">
        <f t="shared" si="11"/>
        <v/>
      </c>
      <c r="L375" s="11">
        <f t="shared" si="12"/>
        <v>0</v>
      </c>
      <c r="M375" s="11">
        <f>Settings!$B$4+SUM(L$2:L375)</f>
        <v>223.76548146089809</v>
      </c>
    </row>
    <row r="376" spans="10:13" x14ac:dyDescent="0.25">
      <c r="J376" s="12" t="str">
        <f t="shared" si="11"/>
        <v/>
      </c>
      <c r="L376" s="11">
        <f t="shared" si="12"/>
        <v>0</v>
      </c>
      <c r="M376" s="11">
        <f>Settings!$B$4+SUM(L$2:L376)</f>
        <v>223.76548146089809</v>
      </c>
    </row>
    <row r="377" spans="10:13" x14ac:dyDescent="0.25">
      <c r="J377" s="12" t="str">
        <f t="shared" si="11"/>
        <v/>
      </c>
      <c r="L377" s="11">
        <f t="shared" si="12"/>
        <v>0</v>
      </c>
      <c r="M377" s="11">
        <f>Settings!$B$4+SUM(L$2:L377)</f>
        <v>223.76548146089809</v>
      </c>
    </row>
    <row r="378" spans="10:13" x14ac:dyDescent="0.25">
      <c r="J378" s="12" t="str">
        <f t="shared" si="11"/>
        <v/>
      </c>
      <c r="L378" s="11">
        <f t="shared" si="12"/>
        <v>0</v>
      </c>
      <c r="M378" s="11">
        <f>Settings!$B$4+SUM(L$2:L378)</f>
        <v>223.76548146089809</v>
      </c>
    </row>
    <row r="379" spans="10:13" x14ac:dyDescent="0.25">
      <c r="J379" s="12" t="str">
        <f t="shared" si="11"/>
        <v/>
      </c>
      <c r="L379" s="11">
        <f t="shared" si="12"/>
        <v>0</v>
      </c>
      <c r="M379" s="11">
        <f>Settings!$B$4+SUM(L$2:L379)</f>
        <v>223.76548146089809</v>
      </c>
    </row>
    <row r="380" spans="10:13" x14ac:dyDescent="0.25">
      <c r="J380" s="12" t="str">
        <f t="shared" si="11"/>
        <v/>
      </c>
      <c r="L380" s="11">
        <f t="shared" si="12"/>
        <v>0</v>
      </c>
      <c r="M380" s="11">
        <f>Settings!$B$4+SUM(L$2:L380)</f>
        <v>223.76548146089809</v>
      </c>
    </row>
    <row r="381" spans="10:13" x14ac:dyDescent="0.25">
      <c r="J381" s="12" t="str">
        <f t="shared" si="11"/>
        <v/>
      </c>
      <c r="L381" s="11">
        <f t="shared" si="12"/>
        <v>0</v>
      </c>
      <c r="M381" s="11">
        <f>Settings!$B$4+SUM(L$2:L381)</f>
        <v>223.76548146089809</v>
      </c>
    </row>
    <row r="382" spans="10:13" x14ac:dyDescent="0.25">
      <c r="J382" s="12" t="str">
        <f t="shared" si="11"/>
        <v/>
      </c>
      <c r="L382" s="11">
        <f t="shared" si="12"/>
        <v>0</v>
      </c>
      <c r="M382" s="11">
        <f>Settings!$B$4+SUM(L$2:L382)</f>
        <v>223.76548146089809</v>
      </c>
    </row>
    <row r="383" spans="10:13" x14ac:dyDescent="0.25">
      <c r="J383" s="12" t="str">
        <f t="shared" ref="J383:J446" si="13">IF(I383="","",I383-F383)</f>
        <v/>
      </c>
      <c r="L383" s="11">
        <f t="shared" si="12"/>
        <v>0</v>
      </c>
      <c r="M383" s="11">
        <f>Settings!$B$4+SUM(L$2:L383)</f>
        <v>223.76548146089809</v>
      </c>
    </row>
    <row r="384" spans="10:13" x14ac:dyDescent="0.25">
      <c r="J384" s="12" t="str">
        <f t="shared" si="13"/>
        <v/>
      </c>
      <c r="L384" s="11">
        <f t="shared" si="12"/>
        <v>0</v>
      </c>
      <c r="M384" s="11">
        <f>Settings!$B$4+SUM(L$2:L384)</f>
        <v>223.76548146089809</v>
      </c>
    </row>
    <row r="385" spans="10:13" x14ac:dyDescent="0.25">
      <c r="J385" s="12" t="str">
        <f t="shared" si="13"/>
        <v/>
      </c>
      <c r="L385" s="11">
        <f t="shared" si="12"/>
        <v>0</v>
      </c>
      <c r="M385" s="11">
        <f>Settings!$B$4+SUM(L$2:L385)</f>
        <v>223.76548146089809</v>
      </c>
    </row>
    <row r="386" spans="10:13" x14ac:dyDescent="0.25">
      <c r="J386" s="12" t="str">
        <f t="shared" si="13"/>
        <v/>
      </c>
      <c r="L386" s="11">
        <f t="shared" ref="L386:L449" si="14">IF(K386="W",IF(G386&lt;0,H386*100/ABS(G386),H386*G386/100),IF(K386="L",-H386,0))</f>
        <v>0</v>
      </c>
      <c r="M386" s="11">
        <f>Settings!$B$4+SUM(L$2:L386)</f>
        <v>223.76548146089809</v>
      </c>
    </row>
    <row r="387" spans="10:13" x14ac:dyDescent="0.25">
      <c r="J387" s="12" t="str">
        <f t="shared" si="13"/>
        <v/>
      </c>
      <c r="L387" s="11">
        <f t="shared" si="14"/>
        <v>0</v>
      </c>
      <c r="M387" s="11">
        <f>Settings!$B$4+SUM(L$2:L387)</f>
        <v>223.76548146089809</v>
      </c>
    </row>
    <row r="388" spans="10:13" x14ac:dyDescent="0.25">
      <c r="J388" s="12" t="str">
        <f t="shared" si="13"/>
        <v/>
      </c>
      <c r="L388" s="11">
        <f t="shared" si="14"/>
        <v>0</v>
      </c>
      <c r="M388" s="11">
        <f>Settings!$B$4+SUM(L$2:L388)</f>
        <v>223.76548146089809</v>
      </c>
    </row>
    <row r="389" spans="10:13" x14ac:dyDescent="0.25">
      <c r="J389" s="12" t="str">
        <f t="shared" si="13"/>
        <v/>
      </c>
      <c r="L389" s="11">
        <f t="shared" si="14"/>
        <v>0</v>
      </c>
      <c r="M389" s="11">
        <f>Settings!$B$4+SUM(L$2:L389)</f>
        <v>223.76548146089809</v>
      </c>
    </row>
    <row r="390" spans="10:13" x14ac:dyDescent="0.25">
      <c r="J390" s="12" t="str">
        <f t="shared" si="13"/>
        <v/>
      </c>
      <c r="L390" s="11">
        <f t="shared" si="14"/>
        <v>0</v>
      </c>
      <c r="M390" s="11">
        <f>Settings!$B$4+SUM(L$2:L390)</f>
        <v>223.76548146089809</v>
      </c>
    </row>
    <row r="391" spans="10:13" x14ac:dyDescent="0.25">
      <c r="J391" s="12" t="str">
        <f t="shared" si="13"/>
        <v/>
      </c>
      <c r="L391" s="11">
        <f t="shared" si="14"/>
        <v>0</v>
      </c>
      <c r="M391" s="11">
        <f>Settings!$B$4+SUM(L$2:L391)</f>
        <v>223.76548146089809</v>
      </c>
    </row>
    <row r="392" spans="10:13" x14ac:dyDescent="0.25">
      <c r="J392" s="12" t="str">
        <f t="shared" si="13"/>
        <v/>
      </c>
      <c r="L392" s="11">
        <f t="shared" si="14"/>
        <v>0</v>
      </c>
      <c r="M392" s="11">
        <f>Settings!$B$4+SUM(L$2:L392)</f>
        <v>223.76548146089809</v>
      </c>
    </row>
    <row r="393" spans="10:13" x14ac:dyDescent="0.25">
      <c r="J393" s="12" t="str">
        <f t="shared" si="13"/>
        <v/>
      </c>
      <c r="L393" s="11">
        <f t="shared" si="14"/>
        <v>0</v>
      </c>
      <c r="M393" s="11">
        <f>Settings!$B$4+SUM(L$2:L393)</f>
        <v>223.76548146089809</v>
      </c>
    </row>
    <row r="394" spans="10:13" x14ac:dyDescent="0.25">
      <c r="J394" s="12" t="str">
        <f t="shared" si="13"/>
        <v/>
      </c>
      <c r="L394" s="11">
        <f t="shared" si="14"/>
        <v>0</v>
      </c>
      <c r="M394" s="11">
        <f>Settings!$B$4+SUM(L$2:L394)</f>
        <v>223.76548146089809</v>
      </c>
    </row>
    <row r="395" spans="10:13" x14ac:dyDescent="0.25">
      <c r="J395" s="12" t="str">
        <f t="shared" si="13"/>
        <v/>
      </c>
      <c r="L395" s="11">
        <f t="shared" si="14"/>
        <v>0</v>
      </c>
      <c r="M395" s="11">
        <f>Settings!$B$4+SUM(L$2:L395)</f>
        <v>223.76548146089809</v>
      </c>
    </row>
    <row r="396" spans="10:13" x14ac:dyDescent="0.25">
      <c r="J396" s="12" t="str">
        <f t="shared" si="13"/>
        <v/>
      </c>
      <c r="L396" s="11">
        <f t="shared" si="14"/>
        <v>0</v>
      </c>
      <c r="M396" s="11">
        <f>Settings!$B$4+SUM(L$2:L396)</f>
        <v>223.76548146089809</v>
      </c>
    </row>
    <row r="397" spans="10:13" x14ac:dyDescent="0.25">
      <c r="J397" s="12" t="str">
        <f t="shared" si="13"/>
        <v/>
      </c>
      <c r="L397" s="11">
        <f t="shared" si="14"/>
        <v>0</v>
      </c>
      <c r="M397" s="11">
        <f>Settings!$B$4+SUM(L$2:L397)</f>
        <v>223.76548146089809</v>
      </c>
    </row>
    <row r="398" spans="10:13" x14ac:dyDescent="0.25">
      <c r="J398" s="12" t="str">
        <f t="shared" si="13"/>
        <v/>
      </c>
      <c r="L398" s="11">
        <f t="shared" si="14"/>
        <v>0</v>
      </c>
      <c r="M398" s="11">
        <f>Settings!$B$4+SUM(L$2:L398)</f>
        <v>223.76548146089809</v>
      </c>
    </row>
    <row r="399" spans="10:13" x14ac:dyDescent="0.25">
      <c r="J399" s="12" t="str">
        <f t="shared" si="13"/>
        <v/>
      </c>
      <c r="L399" s="11">
        <f t="shared" si="14"/>
        <v>0</v>
      </c>
      <c r="M399" s="11">
        <f>Settings!$B$4+SUM(L$2:L399)</f>
        <v>223.76548146089809</v>
      </c>
    </row>
    <row r="400" spans="10:13" x14ac:dyDescent="0.25">
      <c r="J400" s="12" t="str">
        <f t="shared" si="13"/>
        <v/>
      </c>
      <c r="L400" s="11">
        <f t="shared" si="14"/>
        <v>0</v>
      </c>
      <c r="M400" s="11">
        <f>Settings!$B$4+SUM(L$2:L400)</f>
        <v>223.76548146089809</v>
      </c>
    </row>
    <row r="401" spans="10:13" x14ac:dyDescent="0.25">
      <c r="J401" s="12" t="str">
        <f t="shared" si="13"/>
        <v/>
      </c>
      <c r="L401" s="11">
        <f t="shared" si="14"/>
        <v>0</v>
      </c>
      <c r="M401" s="11">
        <f>Settings!$B$4+SUM(L$2:L401)</f>
        <v>223.76548146089809</v>
      </c>
    </row>
    <row r="402" spans="10:13" x14ac:dyDescent="0.25">
      <c r="J402" s="12" t="str">
        <f t="shared" si="13"/>
        <v/>
      </c>
      <c r="L402" s="11">
        <f t="shared" si="14"/>
        <v>0</v>
      </c>
      <c r="M402" s="11">
        <f>Settings!$B$4+SUM(L$2:L402)</f>
        <v>223.76548146089809</v>
      </c>
    </row>
    <row r="403" spans="10:13" x14ac:dyDescent="0.25">
      <c r="J403" s="12" t="str">
        <f t="shared" si="13"/>
        <v/>
      </c>
      <c r="L403" s="11">
        <f t="shared" si="14"/>
        <v>0</v>
      </c>
      <c r="M403" s="11">
        <f>Settings!$B$4+SUM(L$2:L403)</f>
        <v>223.76548146089809</v>
      </c>
    </row>
    <row r="404" spans="10:13" x14ac:dyDescent="0.25">
      <c r="J404" s="12" t="str">
        <f t="shared" si="13"/>
        <v/>
      </c>
      <c r="L404" s="11">
        <f t="shared" si="14"/>
        <v>0</v>
      </c>
      <c r="M404" s="11">
        <f>Settings!$B$4+SUM(L$2:L404)</f>
        <v>223.76548146089809</v>
      </c>
    </row>
    <row r="405" spans="10:13" x14ac:dyDescent="0.25">
      <c r="J405" s="12" t="str">
        <f t="shared" si="13"/>
        <v/>
      </c>
      <c r="L405" s="11">
        <f t="shared" si="14"/>
        <v>0</v>
      </c>
      <c r="M405" s="11">
        <f>Settings!$B$4+SUM(L$2:L405)</f>
        <v>223.76548146089809</v>
      </c>
    </row>
    <row r="406" spans="10:13" x14ac:dyDescent="0.25">
      <c r="J406" s="12" t="str">
        <f t="shared" si="13"/>
        <v/>
      </c>
      <c r="L406" s="11">
        <f t="shared" si="14"/>
        <v>0</v>
      </c>
      <c r="M406" s="11">
        <f>Settings!$B$4+SUM(L$2:L406)</f>
        <v>223.76548146089809</v>
      </c>
    </row>
    <row r="407" spans="10:13" x14ac:dyDescent="0.25">
      <c r="J407" s="12" t="str">
        <f t="shared" si="13"/>
        <v/>
      </c>
      <c r="L407" s="11">
        <f t="shared" si="14"/>
        <v>0</v>
      </c>
      <c r="M407" s="11">
        <f>Settings!$B$4+SUM(L$2:L407)</f>
        <v>223.76548146089809</v>
      </c>
    </row>
    <row r="408" spans="10:13" x14ac:dyDescent="0.25">
      <c r="J408" s="12" t="str">
        <f t="shared" si="13"/>
        <v/>
      </c>
      <c r="L408" s="11">
        <f t="shared" si="14"/>
        <v>0</v>
      </c>
      <c r="M408" s="11">
        <f>Settings!$B$4+SUM(L$2:L408)</f>
        <v>223.76548146089809</v>
      </c>
    </row>
    <row r="409" spans="10:13" x14ac:dyDescent="0.25">
      <c r="J409" s="12" t="str">
        <f t="shared" si="13"/>
        <v/>
      </c>
      <c r="L409" s="11">
        <f t="shared" si="14"/>
        <v>0</v>
      </c>
      <c r="M409" s="11">
        <f>Settings!$B$4+SUM(L$2:L409)</f>
        <v>223.76548146089809</v>
      </c>
    </row>
    <row r="410" spans="10:13" x14ac:dyDescent="0.25">
      <c r="J410" s="12" t="str">
        <f t="shared" si="13"/>
        <v/>
      </c>
      <c r="L410" s="11">
        <f t="shared" si="14"/>
        <v>0</v>
      </c>
      <c r="M410" s="11">
        <f>Settings!$B$4+SUM(L$2:L410)</f>
        <v>223.76548146089809</v>
      </c>
    </row>
    <row r="411" spans="10:13" x14ac:dyDescent="0.25">
      <c r="J411" s="12" t="str">
        <f t="shared" si="13"/>
        <v/>
      </c>
      <c r="L411" s="11">
        <f t="shared" si="14"/>
        <v>0</v>
      </c>
      <c r="M411" s="11">
        <f>Settings!$B$4+SUM(L$2:L411)</f>
        <v>223.76548146089809</v>
      </c>
    </row>
    <row r="412" spans="10:13" x14ac:dyDescent="0.25">
      <c r="J412" s="12" t="str">
        <f t="shared" si="13"/>
        <v/>
      </c>
      <c r="L412" s="11">
        <f t="shared" si="14"/>
        <v>0</v>
      </c>
      <c r="M412" s="11">
        <f>Settings!$B$4+SUM(L$2:L412)</f>
        <v>223.76548146089809</v>
      </c>
    </row>
    <row r="413" spans="10:13" x14ac:dyDescent="0.25">
      <c r="J413" s="12" t="str">
        <f t="shared" si="13"/>
        <v/>
      </c>
      <c r="L413" s="11">
        <f t="shared" si="14"/>
        <v>0</v>
      </c>
      <c r="M413" s="11">
        <f>Settings!$B$4+SUM(L$2:L413)</f>
        <v>223.76548146089809</v>
      </c>
    </row>
    <row r="414" spans="10:13" x14ac:dyDescent="0.25">
      <c r="J414" s="12" t="str">
        <f t="shared" si="13"/>
        <v/>
      </c>
      <c r="L414" s="11">
        <f t="shared" si="14"/>
        <v>0</v>
      </c>
      <c r="M414" s="11">
        <f>Settings!$B$4+SUM(L$2:L414)</f>
        <v>223.76548146089809</v>
      </c>
    </row>
    <row r="415" spans="10:13" x14ac:dyDescent="0.25">
      <c r="J415" s="12" t="str">
        <f t="shared" si="13"/>
        <v/>
      </c>
      <c r="L415" s="11">
        <f t="shared" si="14"/>
        <v>0</v>
      </c>
      <c r="M415" s="11">
        <f>Settings!$B$4+SUM(L$2:L415)</f>
        <v>223.76548146089809</v>
      </c>
    </row>
    <row r="416" spans="10:13" x14ac:dyDescent="0.25">
      <c r="J416" s="12" t="str">
        <f t="shared" si="13"/>
        <v/>
      </c>
      <c r="L416" s="11">
        <f t="shared" si="14"/>
        <v>0</v>
      </c>
      <c r="M416" s="11">
        <f>Settings!$B$4+SUM(L$2:L416)</f>
        <v>223.76548146089809</v>
      </c>
    </row>
    <row r="417" spans="10:13" x14ac:dyDescent="0.25">
      <c r="J417" s="12" t="str">
        <f t="shared" si="13"/>
        <v/>
      </c>
      <c r="L417" s="11">
        <f t="shared" si="14"/>
        <v>0</v>
      </c>
      <c r="M417" s="11">
        <f>Settings!$B$4+SUM(L$2:L417)</f>
        <v>223.76548146089809</v>
      </c>
    </row>
    <row r="418" spans="10:13" x14ac:dyDescent="0.25">
      <c r="J418" s="12" t="str">
        <f t="shared" si="13"/>
        <v/>
      </c>
      <c r="L418" s="11">
        <f t="shared" si="14"/>
        <v>0</v>
      </c>
      <c r="M418" s="11">
        <f>Settings!$B$4+SUM(L$2:L418)</f>
        <v>223.76548146089809</v>
      </c>
    </row>
    <row r="419" spans="10:13" x14ac:dyDescent="0.25">
      <c r="J419" s="12" t="str">
        <f t="shared" si="13"/>
        <v/>
      </c>
      <c r="L419" s="11">
        <f t="shared" si="14"/>
        <v>0</v>
      </c>
      <c r="M419" s="11">
        <f>Settings!$B$4+SUM(L$2:L419)</f>
        <v>223.76548146089809</v>
      </c>
    </row>
    <row r="420" spans="10:13" x14ac:dyDescent="0.25">
      <c r="J420" s="12" t="str">
        <f t="shared" si="13"/>
        <v/>
      </c>
      <c r="L420" s="11">
        <f t="shared" si="14"/>
        <v>0</v>
      </c>
      <c r="M420" s="11">
        <f>Settings!$B$4+SUM(L$2:L420)</f>
        <v>223.76548146089809</v>
      </c>
    </row>
    <row r="421" spans="10:13" x14ac:dyDescent="0.25">
      <c r="J421" s="12" t="str">
        <f t="shared" si="13"/>
        <v/>
      </c>
      <c r="L421" s="11">
        <f t="shared" si="14"/>
        <v>0</v>
      </c>
      <c r="M421" s="11">
        <f>Settings!$B$4+SUM(L$2:L421)</f>
        <v>223.76548146089809</v>
      </c>
    </row>
    <row r="422" spans="10:13" x14ac:dyDescent="0.25">
      <c r="J422" s="12" t="str">
        <f t="shared" si="13"/>
        <v/>
      </c>
      <c r="L422" s="11">
        <f t="shared" si="14"/>
        <v>0</v>
      </c>
      <c r="M422" s="11">
        <f>Settings!$B$4+SUM(L$2:L422)</f>
        <v>223.76548146089809</v>
      </c>
    </row>
    <row r="423" spans="10:13" x14ac:dyDescent="0.25">
      <c r="J423" s="12" t="str">
        <f t="shared" si="13"/>
        <v/>
      </c>
      <c r="L423" s="11">
        <f t="shared" si="14"/>
        <v>0</v>
      </c>
      <c r="M423" s="11">
        <f>Settings!$B$4+SUM(L$2:L423)</f>
        <v>223.76548146089809</v>
      </c>
    </row>
    <row r="424" spans="10:13" x14ac:dyDescent="0.25">
      <c r="J424" s="12" t="str">
        <f t="shared" si="13"/>
        <v/>
      </c>
      <c r="L424" s="11">
        <f t="shared" si="14"/>
        <v>0</v>
      </c>
      <c r="M424" s="11">
        <f>Settings!$B$4+SUM(L$2:L424)</f>
        <v>223.76548146089809</v>
      </c>
    </row>
    <row r="425" spans="10:13" x14ac:dyDescent="0.25">
      <c r="J425" s="12" t="str">
        <f t="shared" si="13"/>
        <v/>
      </c>
      <c r="L425" s="11">
        <f t="shared" si="14"/>
        <v>0</v>
      </c>
      <c r="M425" s="11">
        <f>Settings!$B$4+SUM(L$2:L425)</f>
        <v>223.76548146089809</v>
      </c>
    </row>
    <row r="426" spans="10:13" x14ac:dyDescent="0.25">
      <c r="J426" s="12" t="str">
        <f t="shared" si="13"/>
        <v/>
      </c>
      <c r="L426" s="11">
        <f t="shared" si="14"/>
        <v>0</v>
      </c>
      <c r="M426" s="11">
        <f>Settings!$B$4+SUM(L$2:L426)</f>
        <v>223.76548146089809</v>
      </c>
    </row>
    <row r="427" spans="10:13" x14ac:dyDescent="0.25">
      <c r="J427" s="12" t="str">
        <f t="shared" si="13"/>
        <v/>
      </c>
      <c r="L427" s="11">
        <f t="shared" si="14"/>
        <v>0</v>
      </c>
      <c r="M427" s="11">
        <f>Settings!$B$4+SUM(L$2:L427)</f>
        <v>223.76548146089809</v>
      </c>
    </row>
    <row r="428" spans="10:13" x14ac:dyDescent="0.25">
      <c r="J428" s="12" t="str">
        <f t="shared" si="13"/>
        <v/>
      </c>
      <c r="L428" s="11">
        <f t="shared" si="14"/>
        <v>0</v>
      </c>
      <c r="M428" s="11">
        <f>Settings!$B$4+SUM(L$2:L428)</f>
        <v>223.76548146089809</v>
      </c>
    </row>
    <row r="429" spans="10:13" x14ac:dyDescent="0.25">
      <c r="J429" s="12" t="str">
        <f t="shared" si="13"/>
        <v/>
      </c>
      <c r="L429" s="11">
        <f t="shared" si="14"/>
        <v>0</v>
      </c>
      <c r="M429" s="11">
        <f>Settings!$B$4+SUM(L$2:L429)</f>
        <v>223.76548146089809</v>
      </c>
    </row>
    <row r="430" spans="10:13" x14ac:dyDescent="0.25">
      <c r="J430" s="12" t="str">
        <f t="shared" si="13"/>
        <v/>
      </c>
      <c r="L430" s="11">
        <f t="shared" si="14"/>
        <v>0</v>
      </c>
      <c r="M430" s="11">
        <f>Settings!$B$4+SUM(L$2:L430)</f>
        <v>223.76548146089809</v>
      </c>
    </row>
    <row r="431" spans="10:13" x14ac:dyDescent="0.25">
      <c r="J431" s="12" t="str">
        <f t="shared" si="13"/>
        <v/>
      </c>
      <c r="L431" s="11">
        <f t="shared" si="14"/>
        <v>0</v>
      </c>
      <c r="M431" s="11">
        <f>Settings!$B$4+SUM(L$2:L431)</f>
        <v>223.76548146089809</v>
      </c>
    </row>
    <row r="432" spans="10:13" x14ac:dyDescent="0.25">
      <c r="J432" s="12" t="str">
        <f t="shared" si="13"/>
        <v/>
      </c>
      <c r="L432" s="11">
        <f t="shared" si="14"/>
        <v>0</v>
      </c>
      <c r="M432" s="11">
        <f>Settings!$B$4+SUM(L$2:L432)</f>
        <v>223.76548146089809</v>
      </c>
    </row>
    <row r="433" spans="10:13" x14ac:dyDescent="0.25">
      <c r="J433" s="12" t="str">
        <f t="shared" si="13"/>
        <v/>
      </c>
      <c r="L433" s="11">
        <f t="shared" si="14"/>
        <v>0</v>
      </c>
      <c r="M433" s="11">
        <f>Settings!$B$4+SUM(L$2:L433)</f>
        <v>223.76548146089809</v>
      </c>
    </row>
    <row r="434" spans="10:13" x14ac:dyDescent="0.25">
      <c r="J434" s="12" t="str">
        <f t="shared" si="13"/>
        <v/>
      </c>
      <c r="L434" s="11">
        <f t="shared" si="14"/>
        <v>0</v>
      </c>
      <c r="M434" s="11">
        <f>Settings!$B$4+SUM(L$2:L434)</f>
        <v>223.76548146089809</v>
      </c>
    </row>
    <row r="435" spans="10:13" x14ac:dyDescent="0.25">
      <c r="J435" s="12" t="str">
        <f t="shared" si="13"/>
        <v/>
      </c>
      <c r="L435" s="11">
        <f t="shared" si="14"/>
        <v>0</v>
      </c>
      <c r="M435" s="11">
        <f>Settings!$B$4+SUM(L$2:L435)</f>
        <v>223.76548146089809</v>
      </c>
    </row>
    <row r="436" spans="10:13" x14ac:dyDescent="0.25">
      <c r="J436" s="12" t="str">
        <f t="shared" si="13"/>
        <v/>
      </c>
      <c r="L436" s="11">
        <f t="shared" si="14"/>
        <v>0</v>
      </c>
      <c r="M436" s="11">
        <f>Settings!$B$4+SUM(L$2:L436)</f>
        <v>223.76548146089809</v>
      </c>
    </row>
    <row r="437" spans="10:13" x14ac:dyDescent="0.25">
      <c r="J437" s="12" t="str">
        <f t="shared" si="13"/>
        <v/>
      </c>
      <c r="L437" s="11">
        <f t="shared" si="14"/>
        <v>0</v>
      </c>
      <c r="M437" s="11">
        <f>Settings!$B$4+SUM(L$2:L437)</f>
        <v>223.76548146089809</v>
      </c>
    </row>
    <row r="438" spans="10:13" x14ac:dyDescent="0.25">
      <c r="J438" s="12" t="str">
        <f t="shared" si="13"/>
        <v/>
      </c>
      <c r="L438" s="11">
        <f t="shared" si="14"/>
        <v>0</v>
      </c>
      <c r="M438" s="11">
        <f>Settings!$B$4+SUM(L$2:L438)</f>
        <v>223.76548146089809</v>
      </c>
    </row>
    <row r="439" spans="10:13" x14ac:dyDescent="0.25">
      <c r="J439" s="12" t="str">
        <f t="shared" si="13"/>
        <v/>
      </c>
      <c r="L439" s="11">
        <f t="shared" si="14"/>
        <v>0</v>
      </c>
      <c r="M439" s="11">
        <f>Settings!$B$4+SUM(L$2:L439)</f>
        <v>223.76548146089809</v>
      </c>
    </row>
    <row r="440" spans="10:13" x14ac:dyDescent="0.25">
      <c r="J440" s="12" t="str">
        <f t="shared" si="13"/>
        <v/>
      </c>
      <c r="L440" s="11">
        <f t="shared" si="14"/>
        <v>0</v>
      </c>
      <c r="M440" s="11">
        <f>Settings!$B$4+SUM(L$2:L440)</f>
        <v>223.76548146089809</v>
      </c>
    </row>
    <row r="441" spans="10:13" x14ac:dyDescent="0.25">
      <c r="J441" s="12" t="str">
        <f t="shared" si="13"/>
        <v/>
      </c>
      <c r="L441" s="11">
        <f t="shared" si="14"/>
        <v>0</v>
      </c>
      <c r="M441" s="11">
        <f>Settings!$B$4+SUM(L$2:L441)</f>
        <v>223.76548146089809</v>
      </c>
    </row>
    <row r="442" spans="10:13" x14ac:dyDescent="0.25">
      <c r="J442" s="12" t="str">
        <f t="shared" si="13"/>
        <v/>
      </c>
      <c r="L442" s="11">
        <f t="shared" si="14"/>
        <v>0</v>
      </c>
      <c r="M442" s="11">
        <f>Settings!$B$4+SUM(L$2:L442)</f>
        <v>223.76548146089809</v>
      </c>
    </row>
    <row r="443" spans="10:13" x14ac:dyDescent="0.25">
      <c r="J443" s="12" t="str">
        <f t="shared" si="13"/>
        <v/>
      </c>
      <c r="L443" s="11">
        <f t="shared" si="14"/>
        <v>0</v>
      </c>
      <c r="M443" s="11">
        <f>Settings!$B$4+SUM(L$2:L443)</f>
        <v>223.76548146089809</v>
      </c>
    </row>
    <row r="444" spans="10:13" x14ac:dyDescent="0.25">
      <c r="J444" s="12" t="str">
        <f t="shared" si="13"/>
        <v/>
      </c>
      <c r="L444" s="11">
        <f t="shared" si="14"/>
        <v>0</v>
      </c>
      <c r="M444" s="11">
        <f>Settings!$B$4+SUM(L$2:L444)</f>
        <v>223.76548146089809</v>
      </c>
    </row>
    <row r="445" spans="10:13" x14ac:dyDescent="0.25">
      <c r="J445" s="12" t="str">
        <f t="shared" si="13"/>
        <v/>
      </c>
      <c r="L445" s="11">
        <f t="shared" si="14"/>
        <v>0</v>
      </c>
      <c r="M445" s="11">
        <f>Settings!$B$4+SUM(L$2:L445)</f>
        <v>223.76548146089809</v>
      </c>
    </row>
    <row r="446" spans="10:13" x14ac:dyDescent="0.25">
      <c r="J446" s="12" t="str">
        <f t="shared" si="13"/>
        <v/>
      </c>
      <c r="L446" s="11">
        <f t="shared" si="14"/>
        <v>0</v>
      </c>
      <c r="M446" s="11">
        <f>Settings!$B$4+SUM(L$2:L446)</f>
        <v>223.76548146089809</v>
      </c>
    </row>
    <row r="447" spans="10:13" x14ac:dyDescent="0.25">
      <c r="J447" s="12" t="str">
        <f t="shared" ref="J447:J500" si="15">IF(I447="","",I447-F447)</f>
        <v/>
      </c>
      <c r="L447" s="11">
        <f t="shared" si="14"/>
        <v>0</v>
      </c>
      <c r="M447" s="11">
        <f>Settings!$B$4+SUM(L$2:L447)</f>
        <v>223.76548146089809</v>
      </c>
    </row>
    <row r="448" spans="10:13" x14ac:dyDescent="0.25">
      <c r="J448" s="12" t="str">
        <f t="shared" si="15"/>
        <v/>
      </c>
      <c r="L448" s="11">
        <f t="shared" si="14"/>
        <v>0</v>
      </c>
      <c r="M448" s="11">
        <f>Settings!$B$4+SUM(L$2:L448)</f>
        <v>223.76548146089809</v>
      </c>
    </row>
    <row r="449" spans="10:13" x14ac:dyDescent="0.25">
      <c r="J449" s="12" t="str">
        <f t="shared" si="15"/>
        <v/>
      </c>
      <c r="L449" s="11">
        <f t="shared" si="14"/>
        <v>0</v>
      </c>
      <c r="M449" s="11">
        <f>Settings!$B$4+SUM(L$2:L449)</f>
        <v>223.76548146089809</v>
      </c>
    </row>
    <row r="450" spans="10:13" x14ac:dyDescent="0.25">
      <c r="J450" s="12" t="str">
        <f t="shared" si="15"/>
        <v/>
      </c>
      <c r="L450" s="11">
        <f t="shared" ref="L450:L500" si="16">IF(K450="W",IF(G450&lt;0,H450*100/ABS(G450),H450*G450/100),IF(K450="L",-H450,0))</f>
        <v>0</v>
      </c>
      <c r="M450" s="11">
        <f>Settings!$B$4+SUM(L$2:L450)</f>
        <v>223.76548146089809</v>
      </c>
    </row>
    <row r="451" spans="10:13" x14ac:dyDescent="0.25">
      <c r="J451" s="12" t="str">
        <f t="shared" si="15"/>
        <v/>
      </c>
      <c r="L451" s="11">
        <f t="shared" si="16"/>
        <v>0</v>
      </c>
      <c r="M451" s="11">
        <f>Settings!$B$4+SUM(L$2:L451)</f>
        <v>223.76548146089809</v>
      </c>
    </row>
    <row r="452" spans="10:13" x14ac:dyDescent="0.25">
      <c r="J452" s="12" t="str">
        <f t="shared" si="15"/>
        <v/>
      </c>
      <c r="L452" s="11">
        <f t="shared" si="16"/>
        <v>0</v>
      </c>
      <c r="M452" s="11">
        <f>Settings!$B$4+SUM(L$2:L452)</f>
        <v>223.76548146089809</v>
      </c>
    </row>
    <row r="453" spans="10:13" x14ac:dyDescent="0.25">
      <c r="J453" s="12" t="str">
        <f t="shared" si="15"/>
        <v/>
      </c>
      <c r="L453" s="11">
        <f t="shared" si="16"/>
        <v>0</v>
      </c>
      <c r="M453" s="11">
        <f>Settings!$B$4+SUM(L$2:L453)</f>
        <v>223.76548146089809</v>
      </c>
    </row>
    <row r="454" spans="10:13" x14ac:dyDescent="0.25">
      <c r="J454" s="12" t="str">
        <f t="shared" si="15"/>
        <v/>
      </c>
      <c r="L454" s="11">
        <f t="shared" si="16"/>
        <v>0</v>
      </c>
      <c r="M454" s="11">
        <f>Settings!$B$4+SUM(L$2:L454)</f>
        <v>223.76548146089809</v>
      </c>
    </row>
    <row r="455" spans="10:13" x14ac:dyDescent="0.25">
      <c r="J455" s="12" t="str">
        <f t="shared" si="15"/>
        <v/>
      </c>
      <c r="L455" s="11">
        <f t="shared" si="16"/>
        <v>0</v>
      </c>
      <c r="M455" s="11">
        <f>Settings!$B$4+SUM(L$2:L455)</f>
        <v>223.76548146089809</v>
      </c>
    </row>
    <row r="456" spans="10:13" x14ac:dyDescent="0.25">
      <c r="J456" s="12" t="str">
        <f t="shared" si="15"/>
        <v/>
      </c>
      <c r="L456" s="11">
        <f t="shared" si="16"/>
        <v>0</v>
      </c>
      <c r="M456" s="11">
        <f>Settings!$B$4+SUM(L$2:L456)</f>
        <v>223.76548146089809</v>
      </c>
    </row>
    <row r="457" spans="10:13" x14ac:dyDescent="0.25">
      <c r="J457" s="12" t="str">
        <f t="shared" si="15"/>
        <v/>
      </c>
      <c r="L457" s="11">
        <f t="shared" si="16"/>
        <v>0</v>
      </c>
      <c r="M457" s="11">
        <f>Settings!$B$4+SUM(L$2:L457)</f>
        <v>223.76548146089809</v>
      </c>
    </row>
    <row r="458" spans="10:13" x14ac:dyDescent="0.25">
      <c r="J458" s="12" t="str">
        <f t="shared" si="15"/>
        <v/>
      </c>
      <c r="L458" s="11">
        <f t="shared" si="16"/>
        <v>0</v>
      </c>
      <c r="M458" s="11">
        <f>Settings!$B$4+SUM(L$2:L458)</f>
        <v>223.76548146089809</v>
      </c>
    </row>
    <row r="459" spans="10:13" x14ac:dyDescent="0.25">
      <c r="J459" s="12" t="str">
        <f t="shared" si="15"/>
        <v/>
      </c>
      <c r="L459" s="11">
        <f t="shared" si="16"/>
        <v>0</v>
      </c>
      <c r="M459" s="11">
        <f>Settings!$B$4+SUM(L$2:L459)</f>
        <v>223.76548146089809</v>
      </c>
    </row>
    <row r="460" spans="10:13" x14ac:dyDescent="0.25">
      <c r="J460" s="12" t="str">
        <f t="shared" si="15"/>
        <v/>
      </c>
      <c r="L460" s="11">
        <f t="shared" si="16"/>
        <v>0</v>
      </c>
      <c r="M460" s="11">
        <f>Settings!$B$4+SUM(L$2:L460)</f>
        <v>223.76548146089809</v>
      </c>
    </row>
    <row r="461" spans="10:13" x14ac:dyDescent="0.25">
      <c r="J461" s="12" t="str">
        <f t="shared" si="15"/>
        <v/>
      </c>
      <c r="L461" s="11">
        <f t="shared" si="16"/>
        <v>0</v>
      </c>
      <c r="M461" s="11">
        <f>Settings!$B$4+SUM(L$2:L461)</f>
        <v>223.76548146089809</v>
      </c>
    </row>
    <row r="462" spans="10:13" x14ac:dyDescent="0.25">
      <c r="J462" s="12" t="str">
        <f t="shared" si="15"/>
        <v/>
      </c>
      <c r="L462" s="11">
        <f t="shared" si="16"/>
        <v>0</v>
      </c>
      <c r="M462" s="11">
        <f>Settings!$B$4+SUM(L$2:L462)</f>
        <v>223.76548146089809</v>
      </c>
    </row>
    <row r="463" spans="10:13" x14ac:dyDescent="0.25">
      <c r="J463" s="12" t="str">
        <f t="shared" si="15"/>
        <v/>
      </c>
      <c r="L463" s="11">
        <f t="shared" si="16"/>
        <v>0</v>
      </c>
      <c r="M463" s="11">
        <f>Settings!$B$4+SUM(L$2:L463)</f>
        <v>223.76548146089809</v>
      </c>
    </row>
    <row r="464" spans="10:13" x14ac:dyDescent="0.25">
      <c r="J464" s="12" t="str">
        <f t="shared" si="15"/>
        <v/>
      </c>
      <c r="L464" s="11">
        <f t="shared" si="16"/>
        <v>0</v>
      </c>
      <c r="M464" s="11">
        <f>Settings!$B$4+SUM(L$2:L464)</f>
        <v>223.76548146089809</v>
      </c>
    </row>
    <row r="465" spans="10:13" x14ac:dyDescent="0.25">
      <c r="J465" s="12" t="str">
        <f t="shared" si="15"/>
        <v/>
      </c>
      <c r="L465" s="11">
        <f t="shared" si="16"/>
        <v>0</v>
      </c>
      <c r="M465" s="11">
        <f>Settings!$B$4+SUM(L$2:L465)</f>
        <v>223.76548146089809</v>
      </c>
    </row>
    <row r="466" spans="10:13" x14ac:dyDescent="0.25">
      <c r="J466" s="12" t="str">
        <f t="shared" si="15"/>
        <v/>
      </c>
      <c r="L466" s="11">
        <f t="shared" si="16"/>
        <v>0</v>
      </c>
      <c r="M466" s="11">
        <f>Settings!$B$4+SUM(L$2:L466)</f>
        <v>223.76548146089809</v>
      </c>
    </row>
    <row r="467" spans="10:13" x14ac:dyDescent="0.25">
      <c r="J467" s="12" t="str">
        <f t="shared" si="15"/>
        <v/>
      </c>
      <c r="L467" s="11">
        <f t="shared" si="16"/>
        <v>0</v>
      </c>
      <c r="M467" s="11">
        <f>Settings!$B$4+SUM(L$2:L467)</f>
        <v>223.76548146089809</v>
      </c>
    </row>
    <row r="468" spans="10:13" x14ac:dyDescent="0.25">
      <c r="J468" s="12" t="str">
        <f t="shared" si="15"/>
        <v/>
      </c>
      <c r="L468" s="11">
        <f t="shared" si="16"/>
        <v>0</v>
      </c>
      <c r="M468" s="11">
        <f>Settings!$B$4+SUM(L$2:L468)</f>
        <v>223.76548146089809</v>
      </c>
    </row>
    <row r="469" spans="10:13" x14ac:dyDescent="0.25">
      <c r="J469" s="12" t="str">
        <f t="shared" si="15"/>
        <v/>
      </c>
      <c r="L469" s="11">
        <f t="shared" si="16"/>
        <v>0</v>
      </c>
      <c r="M469" s="11">
        <f>Settings!$B$4+SUM(L$2:L469)</f>
        <v>223.76548146089809</v>
      </c>
    </row>
    <row r="470" spans="10:13" x14ac:dyDescent="0.25">
      <c r="J470" s="12" t="str">
        <f t="shared" si="15"/>
        <v/>
      </c>
      <c r="L470" s="11">
        <f t="shared" si="16"/>
        <v>0</v>
      </c>
      <c r="M470" s="11">
        <f>Settings!$B$4+SUM(L$2:L470)</f>
        <v>223.76548146089809</v>
      </c>
    </row>
    <row r="471" spans="10:13" x14ac:dyDescent="0.25">
      <c r="J471" s="12" t="str">
        <f t="shared" si="15"/>
        <v/>
      </c>
      <c r="L471" s="11">
        <f t="shared" si="16"/>
        <v>0</v>
      </c>
      <c r="M471" s="11">
        <f>Settings!$B$4+SUM(L$2:L471)</f>
        <v>223.76548146089809</v>
      </c>
    </row>
    <row r="472" spans="10:13" x14ac:dyDescent="0.25">
      <c r="J472" s="12" t="str">
        <f t="shared" si="15"/>
        <v/>
      </c>
      <c r="L472" s="11">
        <f t="shared" si="16"/>
        <v>0</v>
      </c>
      <c r="M472" s="11">
        <f>Settings!$B$4+SUM(L$2:L472)</f>
        <v>223.76548146089809</v>
      </c>
    </row>
    <row r="473" spans="10:13" x14ac:dyDescent="0.25">
      <c r="J473" s="12" t="str">
        <f t="shared" si="15"/>
        <v/>
      </c>
      <c r="L473" s="11">
        <f t="shared" si="16"/>
        <v>0</v>
      </c>
      <c r="M473" s="11">
        <f>Settings!$B$4+SUM(L$2:L473)</f>
        <v>223.76548146089809</v>
      </c>
    </row>
    <row r="474" spans="10:13" x14ac:dyDescent="0.25">
      <c r="J474" s="12" t="str">
        <f t="shared" si="15"/>
        <v/>
      </c>
      <c r="L474" s="11">
        <f t="shared" si="16"/>
        <v>0</v>
      </c>
      <c r="M474" s="11">
        <f>Settings!$B$4+SUM(L$2:L474)</f>
        <v>223.76548146089809</v>
      </c>
    </row>
    <row r="475" spans="10:13" x14ac:dyDescent="0.25">
      <c r="J475" s="12" t="str">
        <f t="shared" si="15"/>
        <v/>
      </c>
      <c r="L475" s="11">
        <f t="shared" si="16"/>
        <v>0</v>
      </c>
      <c r="M475" s="11">
        <f>Settings!$B$4+SUM(L$2:L475)</f>
        <v>223.76548146089809</v>
      </c>
    </row>
    <row r="476" spans="10:13" x14ac:dyDescent="0.25">
      <c r="J476" s="12" t="str">
        <f t="shared" si="15"/>
        <v/>
      </c>
      <c r="L476" s="11">
        <f t="shared" si="16"/>
        <v>0</v>
      </c>
      <c r="M476" s="11">
        <f>Settings!$B$4+SUM(L$2:L476)</f>
        <v>223.76548146089809</v>
      </c>
    </row>
    <row r="477" spans="10:13" x14ac:dyDescent="0.25">
      <c r="J477" s="12" t="str">
        <f t="shared" si="15"/>
        <v/>
      </c>
      <c r="L477" s="11">
        <f t="shared" si="16"/>
        <v>0</v>
      </c>
      <c r="M477" s="11">
        <f>Settings!$B$4+SUM(L$2:L477)</f>
        <v>223.76548146089809</v>
      </c>
    </row>
    <row r="478" spans="10:13" x14ac:dyDescent="0.25">
      <c r="J478" s="12" t="str">
        <f t="shared" si="15"/>
        <v/>
      </c>
      <c r="L478" s="11">
        <f t="shared" si="16"/>
        <v>0</v>
      </c>
      <c r="M478" s="11">
        <f>Settings!$B$4+SUM(L$2:L478)</f>
        <v>223.76548146089809</v>
      </c>
    </row>
    <row r="479" spans="10:13" x14ac:dyDescent="0.25">
      <c r="J479" s="12" t="str">
        <f t="shared" si="15"/>
        <v/>
      </c>
      <c r="L479" s="11">
        <f t="shared" si="16"/>
        <v>0</v>
      </c>
      <c r="M479" s="11">
        <f>Settings!$B$4+SUM(L$2:L479)</f>
        <v>223.76548146089809</v>
      </c>
    </row>
    <row r="480" spans="10:13" x14ac:dyDescent="0.25">
      <c r="J480" s="12" t="str">
        <f t="shared" si="15"/>
        <v/>
      </c>
      <c r="L480" s="11">
        <f t="shared" si="16"/>
        <v>0</v>
      </c>
      <c r="M480" s="11">
        <f>Settings!$B$4+SUM(L$2:L480)</f>
        <v>223.76548146089809</v>
      </c>
    </row>
    <row r="481" spans="10:13" x14ac:dyDescent="0.25">
      <c r="J481" s="12" t="str">
        <f t="shared" si="15"/>
        <v/>
      </c>
      <c r="L481" s="11">
        <f t="shared" si="16"/>
        <v>0</v>
      </c>
      <c r="M481" s="11">
        <f>Settings!$B$4+SUM(L$2:L481)</f>
        <v>223.76548146089809</v>
      </c>
    </row>
    <row r="482" spans="10:13" x14ac:dyDescent="0.25">
      <c r="J482" s="12" t="str">
        <f t="shared" si="15"/>
        <v/>
      </c>
      <c r="L482" s="11">
        <f t="shared" si="16"/>
        <v>0</v>
      </c>
      <c r="M482" s="11">
        <f>Settings!$B$4+SUM(L$2:L482)</f>
        <v>223.76548146089809</v>
      </c>
    </row>
    <row r="483" spans="10:13" x14ac:dyDescent="0.25">
      <c r="J483" s="12" t="str">
        <f t="shared" si="15"/>
        <v/>
      </c>
      <c r="L483" s="11">
        <f t="shared" si="16"/>
        <v>0</v>
      </c>
      <c r="M483" s="11">
        <f>Settings!$B$4+SUM(L$2:L483)</f>
        <v>223.76548146089809</v>
      </c>
    </row>
    <row r="484" spans="10:13" x14ac:dyDescent="0.25">
      <c r="J484" s="12" t="str">
        <f t="shared" si="15"/>
        <v/>
      </c>
      <c r="L484" s="11">
        <f t="shared" si="16"/>
        <v>0</v>
      </c>
      <c r="M484" s="11">
        <f>Settings!$B$4+SUM(L$2:L484)</f>
        <v>223.76548146089809</v>
      </c>
    </row>
    <row r="485" spans="10:13" x14ac:dyDescent="0.25">
      <c r="J485" s="12" t="str">
        <f t="shared" si="15"/>
        <v/>
      </c>
      <c r="L485" s="11">
        <f t="shared" si="16"/>
        <v>0</v>
      </c>
      <c r="M485" s="11">
        <f>Settings!$B$4+SUM(L$2:L485)</f>
        <v>223.76548146089809</v>
      </c>
    </row>
    <row r="486" spans="10:13" x14ac:dyDescent="0.25">
      <c r="J486" s="12" t="str">
        <f t="shared" si="15"/>
        <v/>
      </c>
      <c r="L486" s="11">
        <f t="shared" si="16"/>
        <v>0</v>
      </c>
      <c r="M486" s="11">
        <f>Settings!$B$4+SUM(L$2:L486)</f>
        <v>223.76548146089809</v>
      </c>
    </row>
    <row r="487" spans="10:13" x14ac:dyDescent="0.25">
      <c r="J487" s="12" t="str">
        <f t="shared" si="15"/>
        <v/>
      </c>
      <c r="L487" s="11">
        <f t="shared" si="16"/>
        <v>0</v>
      </c>
      <c r="M487" s="11">
        <f>Settings!$B$4+SUM(L$2:L487)</f>
        <v>223.76548146089809</v>
      </c>
    </row>
    <row r="488" spans="10:13" x14ac:dyDescent="0.25">
      <c r="J488" s="12" t="str">
        <f t="shared" si="15"/>
        <v/>
      </c>
      <c r="L488" s="11">
        <f t="shared" si="16"/>
        <v>0</v>
      </c>
      <c r="M488" s="11">
        <f>Settings!$B$4+SUM(L$2:L488)</f>
        <v>223.76548146089809</v>
      </c>
    </row>
    <row r="489" spans="10:13" x14ac:dyDescent="0.25">
      <c r="J489" s="12" t="str">
        <f t="shared" si="15"/>
        <v/>
      </c>
      <c r="L489" s="11">
        <f t="shared" si="16"/>
        <v>0</v>
      </c>
      <c r="M489" s="11">
        <f>Settings!$B$4+SUM(L$2:L489)</f>
        <v>223.76548146089809</v>
      </c>
    </row>
    <row r="490" spans="10:13" x14ac:dyDescent="0.25">
      <c r="J490" s="12" t="str">
        <f t="shared" si="15"/>
        <v/>
      </c>
      <c r="L490" s="11">
        <f t="shared" si="16"/>
        <v>0</v>
      </c>
      <c r="M490" s="11">
        <f>Settings!$B$4+SUM(L$2:L490)</f>
        <v>223.76548146089809</v>
      </c>
    </row>
    <row r="491" spans="10:13" x14ac:dyDescent="0.25">
      <c r="J491" s="12" t="str">
        <f t="shared" si="15"/>
        <v/>
      </c>
      <c r="L491" s="11">
        <f t="shared" si="16"/>
        <v>0</v>
      </c>
      <c r="M491" s="11">
        <f>Settings!$B$4+SUM(L$2:L491)</f>
        <v>223.76548146089809</v>
      </c>
    </row>
    <row r="492" spans="10:13" x14ac:dyDescent="0.25">
      <c r="J492" s="12" t="str">
        <f t="shared" si="15"/>
        <v/>
      </c>
      <c r="L492" s="11">
        <f t="shared" si="16"/>
        <v>0</v>
      </c>
      <c r="M492" s="11">
        <f>Settings!$B$4+SUM(L$2:L492)</f>
        <v>223.76548146089809</v>
      </c>
    </row>
    <row r="493" spans="10:13" x14ac:dyDescent="0.25">
      <c r="J493" s="12" t="str">
        <f t="shared" si="15"/>
        <v/>
      </c>
      <c r="L493" s="11">
        <f t="shared" si="16"/>
        <v>0</v>
      </c>
      <c r="M493" s="11">
        <f>Settings!$B$4+SUM(L$2:L493)</f>
        <v>223.76548146089809</v>
      </c>
    </row>
    <row r="494" spans="10:13" x14ac:dyDescent="0.25">
      <c r="J494" s="12" t="str">
        <f t="shared" si="15"/>
        <v/>
      </c>
      <c r="L494" s="11">
        <f t="shared" si="16"/>
        <v>0</v>
      </c>
      <c r="M494" s="11">
        <f>Settings!$B$4+SUM(L$2:L494)</f>
        <v>223.76548146089809</v>
      </c>
    </row>
    <row r="495" spans="10:13" x14ac:dyDescent="0.25">
      <c r="J495" s="12" t="str">
        <f t="shared" si="15"/>
        <v/>
      </c>
      <c r="L495" s="11">
        <f t="shared" si="16"/>
        <v>0</v>
      </c>
      <c r="M495" s="11">
        <f>Settings!$B$4+SUM(L$2:L495)</f>
        <v>223.76548146089809</v>
      </c>
    </row>
    <row r="496" spans="10:13" x14ac:dyDescent="0.25">
      <c r="J496" s="12" t="str">
        <f t="shared" si="15"/>
        <v/>
      </c>
      <c r="L496" s="11">
        <f t="shared" si="16"/>
        <v>0</v>
      </c>
      <c r="M496" s="11">
        <f>Settings!$B$4+SUM(L$2:L496)</f>
        <v>223.76548146089809</v>
      </c>
    </row>
    <row r="497" spans="1:13" x14ac:dyDescent="0.25">
      <c r="J497" s="12" t="str">
        <f t="shared" si="15"/>
        <v/>
      </c>
      <c r="L497" s="11">
        <f t="shared" si="16"/>
        <v>0</v>
      </c>
      <c r="M497" s="11">
        <f>Settings!$B$4+SUM(L$2:L497)</f>
        <v>223.76548146089809</v>
      </c>
    </row>
    <row r="498" spans="1:13" x14ac:dyDescent="0.25">
      <c r="J498" s="12" t="str">
        <f t="shared" si="15"/>
        <v/>
      </c>
      <c r="L498" s="11">
        <f t="shared" si="16"/>
        <v>0</v>
      </c>
      <c r="M498" s="11">
        <f>Settings!$B$4+SUM(L$2:L498)</f>
        <v>223.76548146089809</v>
      </c>
    </row>
    <row r="499" spans="1:13" x14ac:dyDescent="0.25">
      <c r="J499" s="12" t="str">
        <f t="shared" si="15"/>
        <v/>
      </c>
      <c r="L499" s="11">
        <f t="shared" si="16"/>
        <v>0</v>
      </c>
      <c r="M499" s="11">
        <f>Settings!$B$4+SUM(L$2:L499)</f>
        <v>223.76548146089809</v>
      </c>
    </row>
    <row r="500" spans="1:13" x14ac:dyDescent="0.25">
      <c r="J500" s="12" t="str">
        <f t="shared" si="15"/>
        <v/>
      </c>
      <c r="L500" s="11">
        <f t="shared" si="16"/>
        <v>0</v>
      </c>
      <c r="M500" s="11">
        <f>Settings!$B$4+SUM(L$2:L500)</f>
        <v>223.76548146089809</v>
      </c>
    </row>
    <row r="503" spans="1:13" x14ac:dyDescent="0.25">
      <c r="A503" s="2" t="s">
        <v>312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/>
  </sheetViews>
  <sheetFormatPr defaultColWidth="8.7109375" defaultRowHeight="15" x14ac:dyDescent="0.25"/>
  <cols>
    <col min="1" max="1" width="16" customWidth="1"/>
    <col min="2" max="2" width="37" customWidth="1"/>
    <col min="3" max="3" width="7.14062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25">
      <c r="A1" s="5" t="s">
        <v>313</v>
      </c>
      <c r="B1" s="5" t="s">
        <v>314</v>
      </c>
      <c r="C1" s="5" t="s">
        <v>315</v>
      </c>
      <c r="D1" s="5" t="s">
        <v>316</v>
      </c>
      <c r="E1" s="5" t="s">
        <v>317</v>
      </c>
      <c r="F1" s="5" t="s">
        <v>318</v>
      </c>
      <c r="G1" s="5" t="s">
        <v>319</v>
      </c>
      <c r="H1" s="5" t="s">
        <v>320</v>
      </c>
      <c r="I1" s="5" t="s">
        <v>213</v>
      </c>
    </row>
    <row r="2" spans="1:9" ht="14.25" customHeight="1" x14ac:dyDescent="0.25">
      <c r="A2" s="6" t="s">
        <v>119</v>
      </c>
      <c r="B2" s="6" t="s">
        <v>321</v>
      </c>
      <c r="C2" s="6" t="s">
        <v>322</v>
      </c>
      <c r="D2" s="9">
        <v>1766</v>
      </c>
      <c r="E2" s="9">
        <v>7.8</v>
      </c>
      <c r="F2" s="9">
        <v>0.16783493464288171</v>
      </c>
      <c r="G2" s="9">
        <v>-0.1817881574001311</v>
      </c>
      <c r="H2" s="9">
        <v>117</v>
      </c>
      <c r="I2" s="2" t="s">
        <v>323</v>
      </c>
    </row>
    <row r="3" spans="1:9" ht="14.25" customHeight="1" x14ac:dyDescent="0.25">
      <c r="A3" s="6" t="s">
        <v>120</v>
      </c>
      <c r="B3" s="6" t="s">
        <v>68</v>
      </c>
      <c r="C3" s="6" t="s">
        <v>324</v>
      </c>
      <c r="D3" s="9">
        <v>1616.4</v>
      </c>
      <c r="E3" s="9">
        <v>-2.4</v>
      </c>
      <c r="F3" s="9">
        <v>7.2525734192892974E-2</v>
      </c>
      <c r="G3" s="9">
        <v>4.4980095966903492E-2</v>
      </c>
      <c r="H3" s="9">
        <v>63</v>
      </c>
      <c r="I3" s="2" t="s">
        <v>325</v>
      </c>
    </row>
    <row r="4" spans="1:9" ht="14.25" customHeight="1" x14ac:dyDescent="0.25">
      <c r="A4" s="6" t="s">
        <v>183</v>
      </c>
      <c r="B4" s="6" t="s">
        <v>68</v>
      </c>
      <c r="C4" s="6" t="s">
        <v>324</v>
      </c>
      <c r="D4" s="9">
        <v>1607</v>
      </c>
      <c r="E4" s="9">
        <v>7.7</v>
      </c>
      <c r="F4" s="9">
        <v>0.1909541977557308</v>
      </c>
      <c r="G4" s="9">
        <v>-0.17724573329870949</v>
      </c>
      <c r="H4" s="9">
        <v>87</v>
      </c>
      <c r="I4" s="2" t="s">
        <v>326</v>
      </c>
    </row>
    <row r="5" spans="1:9" ht="14.25" customHeight="1" x14ac:dyDescent="0.25">
      <c r="A5" s="6" t="s">
        <v>69</v>
      </c>
      <c r="B5" s="6" t="s">
        <v>68</v>
      </c>
      <c r="C5" s="6" t="s">
        <v>324</v>
      </c>
      <c r="D5" s="9">
        <v>1454.3</v>
      </c>
      <c r="E5" s="9">
        <v>-12.2</v>
      </c>
      <c r="F5" s="9">
        <v>3.6567942625004062E-2</v>
      </c>
      <c r="G5" s="9">
        <v>0.2025238701710734</v>
      </c>
      <c r="H5" s="9">
        <v>124</v>
      </c>
      <c r="I5" s="2" t="s">
        <v>327</v>
      </c>
    </row>
    <row r="6" spans="1:9" ht="14.25" customHeight="1" x14ac:dyDescent="0.25">
      <c r="A6" s="6" t="s">
        <v>115</v>
      </c>
      <c r="B6" s="6" t="s">
        <v>68</v>
      </c>
      <c r="C6" s="6" t="s">
        <v>324</v>
      </c>
      <c r="D6" s="9">
        <v>1521.6</v>
      </c>
      <c r="E6" s="9">
        <v>-3.4</v>
      </c>
      <c r="F6" s="9">
        <v>0.1897182411253068</v>
      </c>
      <c r="G6" s="9">
        <v>6.0294157127541723E-4</v>
      </c>
      <c r="H6" s="9">
        <v>141</v>
      </c>
      <c r="I6" s="2" t="s">
        <v>328</v>
      </c>
    </row>
    <row r="7" spans="1:9" ht="14.25" customHeight="1" x14ac:dyDescent="0.25">
      <c r="A7" s="6" t="s">
        <v>117</v>
      </c>
      <c r="B7" s="6" t="s">
        <v>68</v>
      </c>
      <c r="C7" s="6" t="s">
        <v>324</v>
      </c>
      <c r="D7" s="9">
        <v>1425.6</v>
      </c>
      <c r="E7" s="9">
        <v>-12.7</v>
      </c>
      <c r="F7" s="9">
        <v>7.6054741240863047E-2</v>
      </c>
      <c r="G7" s="9">
        <v>0.14137171610820301</v>
      </c>
      <c r="H7" s="9">
        <v>114</v>
      </c>
      <c r="I7" s="2" t="s">
        <v>329</v>
      </c>
    </row>
    <row r="8" spans="1:9" ht="14.25" customHeight="1" x14ac:dyDescent="0.25">
      <c r="A8" s="6" t="s">
        <v>116</v>
      </c>
      <c r="B8" s="6" t="s">
        <v>330</v>
      </c>
      <c r="C8" s="6" t="s">
        <v>322</v>
      </c>
      <c r="D8" s="9">
        <v>1363.9</v>
      </c>
      <c r="E8" s="9">
        <v>-23.9</v>
      </c>
      <c r="F8" s="9">
        <v>-0.1206541817533527</v>
      </c>
      <c r="G8" s="9">
        <v>0.15856388977800071</v>
      </c>
      <c r="H8" s="9">
        <v>82</v>
      </c>
      <c r="I8" s="2" t="s">
        <v>331</v>
      </c>
    </row>
    <row r="9" spans="1:9" ht="14.25" customHeight="1" x14ac:dyDescent="0.25">
      <c r="A9" s="6" t="s">
        <v>118</v>
      </c>
      <c r="B9" s="6" t="s">
        <v>68</v>
      </c>
      <c r="C9" s="6" t="s">
        <v>324</v>
      </c>
      <c r="D9" s="9">
        <v>1448.8</v>
      </c>
      <c r="E9" s="9">
        <v>-15.1</v>
      </c>
      <c r="F9" s="9">
        <v>9.6236835261985718E-2</v>
      </c>
      <c r="G9" s="9">
        <v>5.6377149373081567E-2</v>
      </c>
      <c r="H9" s="9">
        <v>129</v>
      </c>
      <c r="I9" s="2" t="s">
        <v>326</v>
      </c>
    </row>
    <row r="10" spans="1:9" ht="14.25" customHeight="1" x14ac:dyDescent="0.25">
      <c r="A10" s="6" t="s">
        <v>121</v>
      </c>
      <c r="B10" s="6" t="s">
        <v>68</v>
      </c>
      <c r="C10" s="6" t="s">
        <v>324</v>
      </c>
      <c r="D10" s="9">
        <v>1381.4</v>
      </c>
      <c r="E10" s="9">
        <v>-6.5</v>
      </c>
      <c r="F10" s="9">
        <v>9.3463394582137038E-2</v>
      </c>
      <c r="G10" s="9">
        <v>0.1491230792017593</v>
      </c>
      <c r="H10" s="9">
        <v>98</v>
      </c>
      <c r="I10" s="2" t="s">
        <v>332</v>
      </c>
    </row>
    <row r="11" spans="1:9" ht="14.25" customHeight="1" x14ac:dyDescent="0.25">
      <c r="A11" s="6" t="s">
        <v>122</v>
      </c>
      <c r="B11" s="6" t="s">
        <v>92</v>
      </c>
      <c r="C11" s="6" t="s">
        <v>322</v>
      </c>
      <c r="D11" s="9">
        <v>1331.5</v>
      </c>
      <c r="E11" s="9">
        <v>-24</v>
      </c>
      <c r="F11" s="9">
        <v>-0.2052251766663899</v>
      </c>
      <c r="G11" s="9">
        <v>0.26261092886382392</v>
      </c>
      <c r="H11" s="9">
        <v>92</v>
      </c>
      <c r="I11" s="2" t="s">
        <v>333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39"/>
  <sheetViews>
    <sheetView showGridLines="0" workbookViewId="0">
      <selection activeCell="A25" sqref="A25"/>
    </sheetView>
  </sheetViews>
  <sheetFormatPr defaultRowHeight="15" x14ac:dyDescent="0.25"/>
  <cols>
    <col min="1" max="1" width="22" customWidth="1"/>
    <col min="2" max="6" width="10" customWidth="1"/>
    <col min="22" max="22" width="24" customWidth="1"/>
    <col min="23" max="23" width="16" customWidth="1"/>
  </cols>
  <sheetData>
    <row r="1" spans="1:23" ht="15.6" customHeight="1" x14ac:dyDescent="0.25">
      <c r="A1" s="22" t="s">
        <v>313</v>
      </c>
      <c r="B1" s="23" t="s">
        <v>334</v>
      </c>
      <c r="C1" s="23" t="s">
        <v>335</v>
      </c>
      <c r="D1" s="23" t="s">
        <v>336</v>
      </c>
      <c r="E1" s="23" t="s">
        <v>337</v>
      </c>
      <c r="F1" s="23" t="s">
        <v>158</v>
      </c>
      <c r="V1" s="24" t="s">
        <v>338</v>
      </c>
    </row>
    <row r="2" spans="1:23" x14ac:dyDescent="0.25">
      <c r="A2" s="25" t="s">
        <v>82</v>
      </c>
      <c r="B2" s="25">
        <v>93.4</v>
      </c>
      <c r="C2" s="25">
        <v>92.4</v>
      </c>
      <c r="D2" s="25">
        <v>94</v>
      </c>
      <c r="E2" s="25">
        <v>94.2</v>
      </c>
      <c r="F2" s="25">
        <v>94.6</v>
      </c>
    </row>
    <row r="3" spans="1:23" x14ac:dyDescent="0.25">
      <c r="A3" s="25" t="s">
        <v>76</v>
      </c>
      <c r="B3" s="25">
        <v>97</v>
      </c>
      <c r="C3" s="25">
        <v>97.3</v>
      </c>
      <c r="D3" s="25">
        <v>96.8</v>
      </c>
      <c r="E3" s="25">
        <v>95.3</v>
      </c>
      <c r="F3" s="25">
        <v>94.2</v>
      </c>
      <c r="V3" s="25" t="s">
        <v>14</v>
      </c>
      <c r="W3" s="14" t="s">
        <v>182</v>
      </c>
    </row>
    <row r="4" spans="1:23" x14ac:dyDescent="0.25">
      <c r="A4" s="25" t="s">
        <v>162</v>
      </c>
      <c r="B4" s="25">
        <v>89.9</v>
      </c>
      <c r="C4" s="25">
        <v>91.7</v>
      </c>
      <c r="D4" s="25">
        <v>88.4</v>
      </c>
      <c r="E4" s="25">
        <v>89.8</v>
      </c>
      <c r="F4" s="25">
        <v>90.4</v>
      </c>
      <c r="V4" s="25" t="s">
        <v>13</v>
      </c>
      <c r="W4" s="14" t="s">
        <v>98</v>
      </c>
    </row>
    <row r="5" spans="1:23" x14ac:dyDescent="0.25">
      <c r="A5" s="25" t="s">
        <v>131</v>
      </c>
      <c r="B5" s="25">
        <v>83.5</v>
      </c>
      <c r="C5" s="25">
        <v>85.8</v>
      </c>
      <c r="D5" s="25">
        <v>86.9</v>
      </c>
      <c r="E5" s="25">
        <v>89</v>
      </c>
      <c r="F5" s="25">
        <v>89.2</v>
      </c>
      <c r="V5" s="25" t="s">
        <v>339</v>
      </c>
      <c r="W5" s="14" t="s">
        <v>324</v>
      </c>
    </row>
    <row r="6" spans="1:23" x14ac:dyDescent="0.25">
      <c r="A6" s="25" t="s">
        <v>84</v>
      </c>
      <c r="B6" s="25">
        <v>86.9</v>
      </c>
      <c r="C6" s="25">
        <v>83.2</v>
      </c>
      <c r="D6" s="25">
        <v>87.8</v>
      </c>
      <c r="E6" s="25">
        <v>88</v>
      </c>
      <c r="F6" s="25">
        <v>88</v>
      </c>
    </row>
    <row r="7" spans="1:23" x14ac:dyDescent="0.25">
      <c r="A7" s="25" t="s">
        <v>102</v>
      </c>
      <c r="B7" s="25">
        <v>88.5</v>
      </c>
      <c r="C7" s="25">
        <v>89.5</v>
      </c>
      <c r="D7" s="25">
        <v>89</v>
      </c>
      <c r="E7" s="25">
        <v>89.4</v>
      </c>
      <c r="F7" s="25">
        <v>87.8</v>
      </c>
      <c r="V7" s="25" t="s">
        <v>340</v>
      </c>
      <c r="W7" s="25">
        <v>4</v>
      </c>
    </row>
    <row r="8" spans="1:23" x14ac:dyDescent="0.25">
      <c r="A8" s="25" t="s">
        <v>132</v>
      </c>
      <c r="B8" s="25">
        <v>80.900000000000006</v>
      </c>
      <c r="C8" s="25">
        <v>82.5</v>
      </c>
      <c r="D8" s="25">
        <v>82.5</v>
      </c>
      <c r="E8" s="25">
        <v>83.7</v>
      </c>
      <c r="F8" s="25">
        <v>85.8</v>
      </c>
    </row>
    <row r="9" spans="1:23" x14ac:dyDescent="0.25">
      <c r="A9" s="25" t="s">
        <v>141</v>
      </c>
      <c r="B9" s="25">
        <v>85.1</v>
      </c>
      <c r="C9" s="25">
        <v>86</v>
      </c>
      <c r="D9" s="25">
        <v>86.3</v>
      </c>
      <c r="E9" s="25">
        <v>85.7</v>
      </c>
      <c r="F9" s="25">
        <v>85.7</v>
      </c>
      <c r="V9" s="26" t="s">
        <v>341</v>
      </c>
      <c r="W9" s="26">
        <f>IF(OR(W3="",W4=""),"",INDEX($F$2:$F$139,MATCH(W4,$A$2:$A$139,0))-INDEX($F$2:$F$139,MATCH(W3,$A$2:$A$139,0))-IF(UPPER(W5)="Y",0,W7))</f>
        <v>0</v>
      </c>
    </row>
    <row r="10" spans="1:23" x14ac:dyDescent="0.25">
      <c r="A10" s="25" t="s">
        <v>72</v>
      </c>
      <c r="B10" s="25">
        <v>81.599999999999994</v>
      </c>
      <c r="C10" s="25">
        <v>83.5</v>
      </c>
      <c r="D10" s="25">
        <v>84.5</v>
      </c>
      <c r="E10" s="25">
        <v>84.5</v>
      </c>
      <c r="F10" s="25">
        <v>84.5</v>
      </c>
      <c r="V10" s="27" t="s">
        <v>342</v>
      </c>
    </row>
    <row r="11" spans="1:23" x14ac:dyDescent="0.25">
      <c r="A11" s="25" t="s">
        <v>172</v>
      </c>
      <c r="B11" s="25">
        <v>87.3</v>
      </c>
      <c r="C11" s="25">
        <v>85.1</v>
      </c>
      <c r="D11" s="25">
        <v>84.6</v>
      </c>
      <c r="E11" s="25">
        <v>84.2</v>
      </c>
      <c r="F11" s="25">
        <v>83.8</v>
      </c>
    </row>
    <row r="12" spans="1:23" x14ac:dyDescent="0.25">
      <c r="A12" s="25" t="s">
        <v>137</v>
      </c>
      <c r="B12" s="25">
        <v>79.099999999999994</v>
      </c>
      <c r="C12" s="25">
        <v>80.099999999999994</v>
      </c>
      <c r="D12" s="25">
        <v>79.7</v>
      </c>
      <c r="E12" s="25">
        <v>82.5</v>
      </c>
      <c r="F12" s="25">
        <v>82.6</v>
      </c>
    </row>
    <row r="13" spans="1:23" x14ac:dyDescent="0.25">
      <c r="A13" s="25" t="s">
        <v>87</v>
      </c>
      <c r="B13" s="25">
        <v>81.2</v>
      </c>
      <c r="C13" s="25">
        <v>80.2</v>
      </c>
      <c r="D13" s="25">
        <v>82.1</v>
      </c>
      <c r="E13" s="25">
        <v>81.7</v>
      </c>
      <c r="F13" s="25">
        <v>81.2</v>
      </c>
    </row>
    <row r="14" spans="1:23" x14ac:dyDescent="0.25">
      <c r="A14" s="25" t="s">
        <v>143</v>
      </c>
      <c r="B14" s="25">
        <v>84.9</v>
      </c>
      <c r="C14" s="25">
        <v>84</v>
      </c>
      <c r="D14" s="25">
        <v>84.5</v>
      </c>
      <c r="E14" s="25">
        <v>81.099999999999994</v>
      </c>
      <c r="F14" s="25">
        <v>81.099999999999994</v>
      </c>
    </row>
    <row r="15" spans="1:23" x14ac:dyDescent="0.25">
      <c r="A15" s="25" t="s">
        <v>139</v>
      </c>
      <c r="B15" s="25">
        <v>82.8</v>
      </c>
      <c r="C15" s="25">
        <v>84.3</v>
      </c>
      <c r="D15" s="25">
        <v>81.7</v>
      </c>
      <c r="E15" s="25">
        <v>78.900000000000006</v>
      </c>
      <c r="F15" s="25">
        <v>80.7</v>
      </c>
    </row>
    <row r="16" spans="1:23" x14ac:dyDescent="0.25">
      <c r="A16" s="25" t="s">
        <v>135</v>
      </c>
      <c r="B16" s="25">
        <v>75.099999999999994</v>
      </c>
      <c r="C16" s="25">
        <v>81.2</v>
      </c>
      <c r="D16" s="25">
        <v>81.7</v>
      </c>
      <c r="E16" s="25">
        <v>80.400000000000006</v>
      </c>
      <c r="F16" s="25">
        <v>80.400000000000006</v>
      </c>
    </row>
    <row r="17" spans="1:6" x14ac:dyDescent="0.25">
      <c r="A17" s="25" t="s">
        <v>133</v>
      </c>
      <c r="B17" s="25">
        <v>76.8</v>
      </c>
      <c r="C17" s="25">
        <v>77.8</v>
      </c>
      <c r="D17" s="25">
        <v>78.900000000000006</v>
      </c>
      <c r="E17" s="25">
        <v>79.5</v>
      </c>
      <c r="F17" s="25">
        <v>79.8</v>
      </c>
    </row>
    <row r="18" spans="1:6" x14ac:dyDescent="0.25">
      <c r="A18" s="25" t="s">
        <v>33</v>
      </c>
      <c r="B18" s="25">
        <v>75</v>
      </c>
      <c r="C18" s="25">
        <v>74.8</v>
      </c>
      <c r="D18" s="25">
        <v>76.3</v>
      </c>
      <c r="E18" s="25">
        <v>78.2</v>
      </c>
      <c r="F18" s="25">
        <v>78.2</v>
      </c>
    </row>
    <row r="19" spans="1:6" x14ac:dyDescent="0.25">
      <c r="A19" s="25" t="s">
        <v>60</v>
      </c>
      <c r="B19" s="25">
        <v>78.3</v>
      </c>
      <c r="C19" s="25">
        <v>79</v>
      </c>
      <c r="D19" s="25">
        <v>78.2</v>
      </c>
      <c r="E19" s="25">
        <v>78.2</v>
      </c>
      <c r="F19" s="25">
        <v>78.099999999999994</v>
      </c>
    </row>
    <row r="20" spans="1:6" x14ac:dyDescent="0.25">
      <c r="A20" s="25" t="s">
        <v>35</v>
      </c>
      <c r="B20" s="25">
        <v>71</v>
      </c>
      <c r="C20" s="25">
        <v>69.8</v>
      </c>
      <c r="D20" s="25">
        <v>73</v>
      </c>
      <c r="E20" s="25">
        <v>73.8</v>
      </c>
      <c r="F20" s="25">
        <v>78</v>
      </c>
    </row>
    <row r="21" spans="1:6" x14ac:dyDescent="0.25">
      <c r="A21" s="25" t="s">
        <v>85</v>
      </c>
      <c r="B21" s="25">
        <v>78</v>
      </c>
      <c r="C21" s="25">
        <v>77.099999999999994</v>
      </c>
      <c r="D21" s="25">
        <v>77</v>
      </c>
      <c r="E21" s="25">
        <v>76.7</v>
      </c>
      <c r="F21" s="25">
        <v>77.8</v>
      </c>
    </row>
    <row r="22" spans="1:6" x14ac:dyDescent="0.25">
      <c r="A22" s="25" t="s">
        <v>29</v>
      </c>
      <c r="B22" s="25">
        <v>74.7</v>
      </c>
      <c r="C22" s="25">
        <v>77.2</v>
      </c>
      <c r="D22" s="25">
        <v>77.900000000000006</v>
      </c>
      <c r="E22" s="25">
        <v>77.099999999999994</v>
      </c>
      <c r="F22" s="25">
        <v>77.599999999999994</v>
      </c>
    </row>
    <row r="23" spans="1:6" x14ac:dyDescent="0.25">
      <c r="A23" s="25" t="s">
        <v>142</v>
      </c>
      <c r="B23" s="25">
        <v>81.2</v>
      </c>
      <c r="C23" s="25">
        <v>79.400000000000006</v>
      </c>
      <c r="D23" s="25">
        <v>79.7</v>
      </c>
      <c r="E23" s="25">
        <v>77.599999999999994</v>
      </c>
      <c r="F23" s="25">
        <v>77.599999999999994</v>
      </c>
    </row>
    <row r="24" spans="1:6" x14ac:dyDescent="0.25">
      <c r="A24" s="25" t="s">
        <v>86</v>
      </c>
      <c r="B24" s="25">
        <v>80.900000000000006</v>
      </c>
      <c r="C24" s="25">
        <v>80.3</v>
      </c>
      <c r="D24" s="25">
        <v>81.2</v>
      </c>
      <c r="E24" s="25">
        <v>80.099999999999994</v>
      </c>
      <c r="F24" s="25">
        <v>77.5</v>
      </c>
    </row>
    <row r="25" spans="1:6" x14ac:dyDescent="0.25">
      <c r="A25" s="25" t="s">
        <v>144</v>
      </c>
      <c r="B25" s="25">
        <v>80.400000000000006</v>
      </c>
      <c r="C25" s="25">
        <v>79.099999999999994</v>
      </c>
      <c r="D25" s="25">
        <v>78.900000000000006</v>
      </c>
      <c r="E25" s="25">
        <v>77.599999999999994</v>
      </c>
      <c r="F25" s="25">
        <v>77.400000000000006</v>
      </c>
    </row>
    <row r="26" spans="1:6" x14ac:dyDescent="0.25">
      <c r="A26" s="25" t="s">
        <v>38</v>
      </c>
      <c r="B26" s="25">
        <v>75.3</v>
      </c>
      <c r="C26" s="25">
        <v>74.7</v>
      </c>
      <c r="D26" s="25">
        <v>74</v>
      </c>
      <c r="E26" s="25">
        <v>76.5</v>
      </c>
      <c r="F26" s="25">
        <v>76.900000000000006</v>
      </c>
    </row>
    <row r="27" spans="1:6" x14ac:dyDescent="0.25">
      <c r="A27" s="25" t="s">
        <v>77</v>
      </c>
      <c r="B27" s="25">
        <v>72.099999999999994</v>
      </c>
      <c r="C27" s="25">
        <v>74.7</v>
      </c>
      <c r="D27" s="25">
        <v>74.3</v>
      </c>
      <c r="E27" s="25">
        <v>75.2</v>
      </c>
      <c r="F27" s="25">
        <v>76.599999999999994</v>
      </c>
    </row>
    <row r="28" spans="1:6" x14ac:dyDescent="0.25">
      <c r="A28" s="25" t="s">
        <v>65</v>
      </c>
      <c r="B28" s="25">
        <v>73.400000000000006</v>
      </c>
      <c r="C28" s="25">
        <v>72.7</v>
      </c>
      <c r="D28" s="25">
        <v>72.5</v>
      </c>
      <c r="E28" s="25">
        <v>73</v>
      </c>
      <c r="F28" s="25">
        <v>76.5</v>
      </c>
    </row>
    <row r="29" spans="1:6" x14ac:dyDescent="0.25">
      <c r="A29" s="25" t="s">
        <v>152</v>
      </c>
      <c r="B29" s="25">
        <v>67.8</v>
      </c>
      <c r="C29" s="25">
        <v>73.5</v>
      </c>
      <c r="D29" s="25">
        <v>74.2</v>
      </c>
      <c r="E29" s="25">
        <v>76.099999999999994</v>
      </c>
      <c r="F29" s="25">
        <v>76.5</v>
      </c>
    </row>
    <row r="30" spans="1:6" x14ac:dyDescent="0.25">
      <c r="A30" s="25" t="s">
        <v>119</v>
      </c>
      <c r="B30" s="25">
        <v>79.5</v>
      </c>
      <c r="C30" s="25">
        <v>77.900000000000006</v>
      </c>
      <c r="D30" s="25">
        <v>76</v>
      </c>
      <c r="E30" s="25">
        <v>76</v>
      </c>
      <c r="F30" s="25">
        <v>76.400000000000006</v>
      </c>
    </row>
    <row r="31" spans="1:6" x14ac:dyDescent="0.25">
      <c r="A31" s="25" t="s">
        <v>136</v>
      </c>
      <c r="B31" s="25">
        <v>75.2</v>
      </c>
      <c r="C31" s="25">
        <v>76.599999999999994</v>
      </c>
      <c r="D31" s="25">
        <v>76.3</v>
      </c>
      <c r="E31" s="25">
        <v>79.599999999999994</v>
      </c>
      <c r="F31" s="25">
        <v>76.2</v>
      </c>
    </row>
    <row r="32" spans="1:6" x14ac:dyDescent="0.25">
      <c r="A32" s="25" t="s">
        <v>140</v>
      </c>
      <c r="B32" s="25">
        <v>74.599999999999994</v>
      </c>
      <c r="C32" s="25">
        <v>74.900000000000006</v>
      </c>
      <c r="D32" s="25">
        <v>73.7</v>
      </c>
      <c r="E32" s="25">
        <v>72.599999999999994</v>
      </c>
      <c r="F32" s="25">
        <v>76.099999999999994</v>
      </c>
    </row>
    <row r="33" spans="1:6" x14ac:dyDescent="0.25">
      <c r="A33" s="25" t="s">
        <v>80</v>
      </c>
      <c r="B33" s="25">
        <v>68.099999999999994</v>
      </c>
      <c r="C33" s="25">
        <v>68.099999999999994</v>
      </c>
      <c r="D33" s="25">
        <v>71.2</v>
      </c>
      <c r="E33" s="25">
        <v>72.7</v>
      </c>
      <c r="F33" s="25">
        <v>75.2</v>
      </c>
    </row>
    <row r="34" spans="1:6" x14ac:dyDescent="0.25">
      <c r="A34" s="25" t="s">
        <v>88</v>
      </c>
      <c r="B34" s="25">
        <v>79.099999999999994</v>
      </c>
      <c r="C34" s="25">
        <v>78.099999999999994</v>
      </c>
      <c r="D34" s="25">
        <v>77.400000000000006</v>
      </c>
      <c r="E34" s="25">
        <v>76.3</v>
      </c>
      <c r="F34" s="25">
        <v>75.2</v>
      </c>
    </row>
    <row r="35" spans="1:6" x14ac:dyDescent="0.25">
      <c r="A35" s="25" t="s">
        <v>40</v>
      </c>
      <c r="B35" s="25">
        <v>79.2</v>
      </c>
      <c r="C35" s="25">
        <v>81.099999999999994</v>
      </c>
      <c r="D35" s="25">
        <v>77.599999999999994</v>
      </c>
      <c r="E35" s="25">
        <v>79.400000000000006</v>
      </c>
      <c r="F35" s="25">
        <v>75.099999999999994</v>
      </c>
    </row>
    <row r="36" spans="1:6" x14ac:dyDescent="0.25">
      <c r="A36" s="25" t="s">
        <v>178</v>
      </c>
      <c r="B36" s="25">
        <v>66.8</v>
      </c>
      <c r="C36" s="25">
        <v>70.3</v>
      </c>
      <c r="D36" s="25">
        <v>71.8</v>
      </c>
      <c r="E36" s="25">
        <v>71.8</v>
      </c>
      <c r="F36" s="25">
        <v>74.8</v>
      </c>
    </row>
    <row r="37" spans="1:6" x14ac:dyDescent="0.25">
      <c r="A37" s="25" t="s">
        <v>166</v>
      </c>
      <c r="B37" s="25">
        <v>75.400000000000006</v>
      </c>
      <c r="C37" s="25">
        <v>77</v>
      </c>
      <c r="D37" s="25">
        <v>75.8</v>
      </c>
      <c r="E37" s="25">
        <v>74.400000000000006</v>
      </c>
      <c r="F37" s="25">
        <v>73.7</v>
      </c>
    </row>
    <row r="38" spans="1:6" x14ac:dyDescent="0.25">
      <c r="A38" s="25" t="s">
        <v>61</v>
      </c>
      <c r="B38" s="25">
        <v>68.900000000000006</v>
      </c>
      <c r="C38" s="25">
        <v>73.5</v>
      </c>
      <c r="D38" s="25">
        <v>73.8</v>
      </c>
      <c r="E38" s="25">
        <v>73.400000000000006</v>
      </c>
      <c r="F38" s="25">
        <v>73.5</v>
      </c>
    </row>
    <row r="39" spans="1:6" x14ac:dyDescent="0.25">
      <c r="A39" s="25" t="s">
        <v>179</v>
      </c>
      <c r="B39" s="25">
        <v>71.2</v>
      </c>
      <c r="C39" s="25">
        <v>73</v>
      </c>
      <c r="D39" s="25">
        <v>73.599999999999994</v>
      </c>
      <c r="E39" s="25">
        <v>74.2</v>
      </c>
      <c r="F39" s="25">
        <v>73.099999999999994</v>
      </c>
    </row>
    <row r="40" spans="1:6" x14ac:dyDescent="0.25">
      <c r="A40" s="25" t="s">
        <v>183</v>
      </c>
      <c r="B40" s="25">
        <v>66.599999999999994</v>
      </c>
      <c r="C40" s="25">
        <v>71.099999999999994</v>
      </c>
      <c r="D40" s="25">
        <v>70.2</v>
      </c>
      <c r="E40" s="25">
        <v>70.599999999999994</v>
      </c>
      <c r="F40" s="25">
        <v>73.099999999999994</v>
      </c>
    </row>
    <row r="41" spans="1:6" x14ac:dyDescent="0.25">
      <c r="A41" s="25" t="s">
        <v>62</v>
      </c>
      <c r="B41" s="25">
        <v>70.7</v>
      </c>
      <c r="C41" s="25">
        <v>73.2</v>
      </c>
      <c r="D41" s="25">
        <v>73.400000000000006</v>
      </c>
      <c r="E41" s="25">
        <v>72.900000000000006</v>
      </c>
      <c r="F41" s="25">
        <v>72.900000000000006</v>
      </c>
    </row>
    <row r="42" spans="1:6" x14ac:dyDescent="0.25">
      <c r="A42" s="25" t="s">
        <v>128</v>
      </c>
      <c r="B42" s="25">
        <v>70.2</v>
      </c>
      <c r="C42" s="25">
        <v>71.8</v>
      </c>
      <c r="D42" s="25">
        <v>70.2</v>
      </c>
      <c r="E42" s="25">
        <v>72.2</v>
      </c>
      <c r="F42" s="25">
        <v>72.8</v>
      </c>
    </row>
    <row r="43" spans="1:6" x14ac:dyDescent="0.25">
      <c r="A43" s="25" t="s">
        <v>189</v>
      </c>
      <c r="B43" s="25">
        <v>69.400000000000006</v>
      </c>
      <c r="C43" s="25">
        <v>71</v>
      </c>
      <c r="D43" s="25">
        <v>71.099999999999994</v>
      </c>
      <c r="E43" s="25">
        <v>72.400000000000006</v>
      </c>
      <c r="F43" s="25">
        <v>72.099999999999994</v>
      </c>
    </row>
    <row r="44" spans="1:6" x14ac:dyDescent="0.25">
      <c r="A44" s="25" t="s">
        <v>175</v>
      </c>
      <c r="B44" s="25">
        <v>69.099999999999994</v>
      </c>
      <c r="C44" s="25">
        <v>72.599999999999994</v>
      </c>
      <c r="D44" s="25">
        <v>73.599999999999994</v>
      </c>
      <c r="E44" s="25">
        <v>71.8</v>
      </c>
      <c r="F44" s="25">
        <v>71.900000000000006</v>
      </c>
    </row>
    <row r="45" spans="1:6" x14ac:dyDescent="0.25">
      <c r="A45" s="25" t="s">
        <v>28</v>
      </c>
      <c r="B45" s="25">
        <v>67.2</v>
      </c>
      <c r="C45" s="25">
        <v>67.2</v>
      </c>
      <c r="D45" s="25">
        <v>67.2</v>
      </c>
      <c r="E45" s="25">
        <v>67.3</v>
      </c>
      <c r="F45" s="25">
        <v>71.5</v>
      </c>
    </row>
    <row r="46" spans="1:6" x14ac:dyDescent="0.25">
      <c r="A46" s="25" t="s">
        <v>83</v>
      </c>
      <c r="B46" s="25">
        <v>63.8</v>
      </c>
      <c r="C46" s="25">
        <v>65.8</v>
      </c>
      <c r="D46" s="25">
        <v>66.7</v>
      </c>
      <c r="E46" s="25">
        <v>71.400000000000006</v>
      </c>
      <c r="F46" s="25">
        <v>71.400000000000006</v>
      </c>
    </row>
    <row r="47" spans="1:6" x14ac:dyDescent="0.25">
      <c r="A47" s="25" t="s">
        <v>89</v>
      </c>
      <c r="B47" s="25">
        <v>69.8</v>
      </c>
      <c r="C47" s="25">
        <v>67.2</v>
      </c>
      <c r="D47" s="25">
        <v>68.900000000000006</v>
      </c>
      <c r="E47" s="25">
        <v>70</v>
      </c>
      <c r="F47" s="25">
        <v>71.099999999999994</v>
      </c>
    </row>
    <row r="48" spans="1:6" x14ac:dyDescent="0.25">
      <c r="A48" s="25" t="s">
        <v>59</v>
      </c>
      <c r="B48" s="25">
        <v>68.3</v>
      </c>
      <c r="C48" s="25">
        <v>69.3</v>
      </c>
      <c r="D48" s="25">
        <v>71.8</v>
      </c>
      <c r="E48" s="25">
        <v>71.7</v>
      </c>
      <c r="F48" s="25">
        <v>71</v>
      </c>
    </row>
    <row r="49" spans="1:6" x14ac:dyDescent="0.25">
      <c r="A49" s="25" t="s">
        <v>36</v>
      </c>
      <c r="B49" s="25">
        <v>67.2</v>
      </c>
      <c r="C49" s="25">
        <v>72</v>
      </c>
      <c r="D49" s="25">
        <v>71.8</v>
      </c>
      <c r="E49" s="25">
        <v>70.7</v>
      </c>
      <c r="F49" s="25">
        <v>70.2</v>
      </c>
    </row>
    <row r="50" spans="1:6" x14ac:dyDescent="0.25">
      <c r="A50" s="25" t="s">
        <v>71</v>
      </c>
      <c r="B50" s="25">
        <v>65.7</v>
      </c>
      <c r="C50" s="25">
        <v>65.400000000000006</v>
      </c>
      <c r="D50" s="25">
        <v>65.8</v>
      </c>
      <c r="E50" s="25">
        <v>65.8</v>
      </c>
      <c r="F50" s="25">
        <v>70.099999999999994</v>
      </c>
    </row>
    <row r="51" spans="1:6" x14ac:dyDescent="0.25">
      <c r="A51" s="25" t="s">
        <v>74</v>
      </c>
      <c r="B51" s="25">
        <v>71</v>
      </c>
      <c r="C51" s="25">
        <v>71.2</v>
      </c>
      <c r="D51" s="25">
        <v>71.900000000000006</v>
      </c>
      <c r="E51" s="25">
        <v>71.7</v>
      </c>
      <c r="F51" s="25">
        <v>69.7</v>
      </c>
    </row>
    <row r="52" spans="1:6" x14ac:dyDescent="0.25">
      <c r="A52" s="25" t="s">
        <v>180</v>
      </c>
      <c r="B52" s="25">
        <v>64.599999999999994</v>
      </c>
      <c r="C52" s="25">
        <v>64.3</v>
      </c>
      <c r="D52" s="25">
        <v>65.8</v>
      </c>
      <c r="E52" s="25">
        <v>66.8</v>
      </c>
      <c r="F52" s="25">
        <v>69.5</v>
      </c>
    </row>
    <row r="53" spans="1:6" x14ac:dyDescent="0.25">
      <c r="A53" s="25" t="s">
        <v>188</v>
      </c>
      <c r="B53" s="25">
        <v>68.8</v>
      </c>
      <c r="C53" s="25">
        <v>71.3</v>
      </c>
      <c r="D53" s="25">
        <v>70.3</v>
      </c>
      <c r="E53" s="25">
        <v>71.3</v>
      </c>
      <c r="F53" s="25">
        <v>69.3</v>
      </c>
    </row>
    <row r="54" spans="1:6" x14ac:dyDescent="0.25">
      <c r="A54" s="25" t="s">
        <v>138</v>
      </c>
      <c r="B54" s="25">
        <v>66.5</v>
      </c>
      <c r="C54" s="25">
        <v>65</v>
      </c>
      <c r="D54" s="25">
        <v>67.599999999999994</v>
      </c>
      <c r="E54" s="25">
        <v>68.599999999999994</v>
      </c>
      <c r="F54" s="25">
        <v>68.5</v>
      </c>
    </row>
    <row r="55" spans="1:6" x14ac:dyDescent="0.25">
      <c r="A55" s="25" t="s">
        <v>50</v>
      </c>
      <c r="B55" s="25">
        <v>68.2</v>
      </c>
      <c r="C55" s="25">
        <v>66.599999999999994</v>
      </c>
      <c r="D55" s="25">
        <v>65.599999999999994</v>
      </c>
      <c r="E55" s="25">
        <v>65.400000000000006</v>
      </c>
      <c r="F55" s="25">
        <v>68.3</v>
      </c>
    </row>
    <row r="56" spans="1:6" x14ac:dyDescent="0.25">
      <c r="A56" s="25" t="s">
        <v>163</v>
      </c>
      <c r="B56" s="25">
        <v>67.8</v>
      </c>
      <c r="C56" s="25">
        <v>68.2</v>
      </c>
      <c r="D56" s="25">
        <v>68.099999999999994</v>
      </c>
      <c r="E56" s="25">
        <v>68.8</v>
      </c>
      <c r="F56" s="25">
        <v>68.2</v>
      </c>
    </row>
    <row r="57" spans="1:6" x14ac:dyDescent="0.25">
      <c r="A57" s="25" t="s">
        <v>177</v>
      </c>
      <c r="B57" s="25">
        <v>69.3</v>
      </c>
      <c r="C57" s="25">
        <v>71.8</v>
      </c>
      <c r="D57" s="25">
        <v>70.5</v>
      </c>
      <c r="E57" s="25">
        <v>70.900000000000006</v>
      </c>
      <c r="F57" s="25">
        <v>67.3</v>
      </c>
    </row>
    <row r="58" spans="1:6" x14ac:dyDescent="0.25">
      <c r="A58" s="25" t="s">
        <v>185</v>
      </c>
      <c r="B58" s="25">
        <v>60.5</v>
      </c>
      <c r="C58" s="25">
        <v>62.2</v>
      </c>
      <c r="D58" s="25">
        <v>64.7</v>
      </c>
      <c r="E58" s="25">
        <v>68.099999999999994</v>
      </c>
      <c r="F58" s="25">
        <v>67</v>
      </c>
    </row>
    <row r="59" spans="1:6" x14ac:dyDescent="0.25">
      <c r="A59" s="25" t="s">
        <v>31</v>
      </c>
      <c r="B59" s="25">
        <v>64.400000000000006</v>
      </c>
      <c r="C59" s="25">
        <v>67.5</v>
      </c>
      <c r="D59" s="25">
        <v>67.5</v>
      </c>
      <c r="E59" s="25">
        <v>67.3</v>
      </c>
      <c r="F59" s="25">
        <v>66.900000000000006</v>
      </c>
    </row>
    <row r="60" spans="1:6" x14ac:dyDescent="0.25">
      <c r="A60" s="25" t="s">
        <v>43</v>
      </c>
      <c r="B60" s="25">
        <v>68.2</v>
      </c>
      <c r="C60" s="25">
        <v>68.3</v>
      </c>
      <c r="D60" s="25">
        <v>69.2</v>
      </c>
      <c r="E60" s="25">
        <v>67.7</v>
      </c>
      <c r="F60" s="25">
        <v>66.400000000000006</v>
      </c>
    </row>
    <row r="61" spans="1:6" x14ac:dyDescent="0.25">
      <c r="A61" s="25" t="s">
        <v>52</v>
      </c>
      <c r="B61" s="25">
        <v>72.2</v>
      </c>
      <c r="C61" s="25">
        <v>69.400000000000006</v>
      </c>
      <c r="D61" s="25">
        <v>69.400000000000006</v>
      </c>
      <c r="E61" s="25">
        <v>67.8</v>
      </c>
      <c r="F61" s="25">
        <v>66.400000000000006</v>
      </c>
    </row>
    <row r="62" spans="1:6" x14ac:dyDescent="0.25">
      <c r="A62" s="25" t="s">
        <v>34</v>
      </c>
      <c r="B62" s="25">
        <v>67.7</v>
      </c>
      <c r="C62" s="25">
        <v>66.7</v>
      </c>
      <c r="D62" s="25">
        <v>67.3</v>
      </c>
      <c r="E62" s="25">
        <v>65.8</v>
      </c>
      <c r="F62" s="25">
        <v>65.8</v>
      </c>
    </row>
    <row r="63" spans="1:6" x14ac:dyDescent="0.25">
      <c r="A63" s="25" t="s">
        <v>54</v>
      </c>
      <c r="B63" s="25">
        <v>63.9</v>
      </c>
      <c r="C63" s="25">
        <v>67.2</v>
      </c>
      <c r="D63" s="25">
        <v>64.7</v>
      </c>
      <c r="E63" s="25">
        <v>66.7</v>
      </c>
      <c r="F63" s="25">
        <v>65.599999999999994</v>
      </c>
    </row>
    <row r="64" spans="1:6" x14ac:dyDescent="0.25">
      <c r="A64" s="25" t="s">
        <v>48</v>
      </c>
      <c r="B64" s="25">
        <v>64.8</v>
      </c>
      <c r="C64" s="25">
        <v>63.1</v>
      </c>
      <c r="D64" s="25">
        <v>64.099999999999994</v>
      </c>
      <c r="E64" s="25">
        <v>65.099999999999994</v>
      </c>
      <c r="F64" s="25">
        <v>65.099999999999994</v>
      </c>
    </row>
    <row r="65" spans="1:6" x14ac:dyDescent="0.25">
      <c r="A65" s="25" t="s">
        <v>112</v>
      </c>
      <c r="B65" s="25">
        <v>62.1</v>
      </c>
      <c r="C65" s="25">
        <v>65</v>
      </c>
      <c r="D65" s="25">
        <v>64.099999999999994</v>
      </c>
      <c r="E65" s="25">
        <v>66.3</v>
      </c>
      <c r="F65" s="25">
        <v>65</v>
      </c>
    </row>
    <row r="66" spans="1:6" x14ac:dyDescent="0.25">
      <c r="A66" s="25" t="s">
        <v>181</v>
      </c>
      <c r="B66" s="25">
        <v>61.1</v>
      </c>
      <c r="C66" s="25">
        <v>61.7</v>
      </c>
      <c r="D66" s="25">
        <v>61.8</v>
      </c>
      <c r="E66" s="25">
        <v>64.400000000000006</v>
      </c>
      <c r="F66" s="25">
        <v>64.7</v>
      </c>
    </row>
    <row r="67" spans="1:6" x14ac:dyDescent="0.25">
      <c r="A67" s="25" t="s">
        <v>70</v>
      </c>
      <c r="B67" s="25">
        <v>69.599999999999994</v>
      </c>
      <c r="C67" s="25">
        <v>68.099999999999994</v>
      </c>
      <c r="D67" s="25">
        <v>67.7</v>
      </c>
      <c r="E67" s="25">
        <v>67.7</v>
      </c>
      <c r="F67" s="25">
        <v>64.7</v>
      </c>
    </row>
    <row r="68" spans="1:6" x14ac:dyDescent="0.25">
      <c r="A68" s="25" t="s">
        <v>63</v>
      </c>
      <c r="B68" s="25">
        <v>62.3</v>
      </c>
      <c r="C68" s="25">
        <v>63</v>
      </c>
      <c r="D68" s="25">
        <v>63</v>
      </c>
      <c r="E68" s="25">
        <v>64.8</v>
      </c>
      <c r="F68" s="25">
        <v>64.599999999999994</v>
      </c>
    </row>
    <row r="69" spans="1:6" x14ac:dyDescent="0.25">
      <c r="A69" s="25" t="s">
        <v>134</v>
      </c>
      <c r="B69" s="25">
        <v>66.900000000000006</v>
      </c>
      <c r="C69" s="25">
        <v>65.099999999999994</v>
      </c>
      <c r="D69" s="25">
        <v>64</v>
      </c>
      <c r="E69" s="25">
        <v>65.900000000000006</v>
      </c>
      <c r="F69" s="25">
        <v>64.099999999999994</v>
      </c>
    </row>
    <row r="70" spans="1:6" x14ac:dyDescent="0.25">
      <c r="A70" s="25" t="s">
        <v>37</v>
      </c>
      <c r="B70" s="25">
        <v>61.3</v>
      </c>
      <c r="C70" s="25">
        <v>62.7</v>
      </c>
      <c r="D70" s="25">
        <v>62.4</v>
      </c>
      <c r="E70" s="25">
        <v>62.3</v>
      </c>
      <c r="F70" s="25">
        <v>63.9</v>
      </c>
    </row>
    <row r="71" spans="1:6" x14ac:dyDescent="0.25">
      <c r="A71" s="25" t="s">
        <v>114</v>
      </c>
      <c r="B71" s="25">
        <v>68.099999999999994</v>
      </c>
      <c r="C71" s="25">
        <v>69.2</v>
      </c>
      <c r="D71" s="25">
        <v>67.2</v>
      </c>
      <c r="E71" s="25">
        <v>65.2</v>
      </c>
      <c r="F71" s="25">
        <v>63.6</v>
      </c>
    </row>
    <row r="72" spans="1:6" x14ac:dyDescent="0.25">
      <c r="A72" s="25" t="s">
        <v>75</v>
      </c>
      <c r="B72" s="25">
        <v>66</v>
      </c>
      <c r="C72" s="25">
        <v>66.8</v>
      </c>
      <c r="D72" s="25">
        <v>67.400000000000006</v>
      </c>
      <c r="E72" s="25">
        <v>66.3</v>
      </c>
      <c r="F72" s="25">
        <v>63.6</v>
      </c>
    </row>
    <row r="73" spans="1:6" x14ac:dyDescent="0.25">
      <c r="A73" s="25" t="s">
        <v>173</v>
      </c>
      <c r="B73" s="25">
        <v>64.900000000000006</v>
      </c>
      <c r="C73" s="25">
        <v>66.099999999999994</v>
      </c>
      <c r="D73" s="25">
        <v>62.5</v>
      </c>
      <c r="E73" s="25">
        <v>62.4</v>
      </c>
      <c r="F73" s="25">
        <v>62.9</v>
      </c>
    </row>
    <row r="74" spans="1:6" x14ac:dyDescent="0.25">
      <c r="A74" s="25" t="s">
        <v>46</v>
      </c>
      <c r="B74" s="25">
        <v>64.5</v>
      </c>
      <c r="C74" s="25">
        <v>64.5</v>
      </c>
      <c r="D74" s="25">
        <v>64.5</v>
      </c>
      <c r="E74" s="25">
        <v>64.2</v>
      </c>
      <c r="F74" s="25">
        <v>62.8</v>
      </c>
    </row>
    <row r="75" spans="1:6" x14ac:dyDescent="0.25">
      <c r="A75" s="25" t="s">
        <v>44</v>
      </c>
      <c r="B75" s="25">
        <v>66.599999999999994</v>
      </c>
      <c r="C75" s="25">
        <v>65</v>
      </c>
      <c r="D75" s="25">
        <v>64.599999999999994</v>
      </c>
      <c r="E75" s="25">
        <v>64.099999999999994</v>
      </c>
      <c r="F75" s="25">
        <v>62.6</v>
      </c>
    </row>
    <row r="76" spans="1:6" x14ac:dyDescent="0.25">
      <c r="A76" s="25" t="s">
        <v>129</v>
      </c>
      <c r="B76" s="25">
        <v>56</v>
      </c>
      <c r="C76" s="25">
        <v>59.2</v>
      </c>
      <c r="D76" s="25">
        <v>60</v>
      </c>
      <c r="E76" s="25">
        <v>60.1</v>
      </c>
      <c r="F76" s="25">
        <v>62.4</v>
      </c>
    </row>
    <row r="77" spans="1:6" x14ac:dyDescent="0.25">
      <c r="A77" s="25" t="s">
        <v>120</v>
      </c>
      <c r="B77" s="25">
        <v>62.6</v>
      </c>
      <c r="C77" s="25">
        <v>59.2</v>
      </c>
      <c r="D77" s="25">
        <v>59.2</v>
      </c>
      <c r="E77" s="25">
        <v>61.2</v>
      </c>
      <c r="F77" s="25">
        <v>62</v>
      </c>
    </row>
    <row r="78" spans="1:6" x14ac:dyDescent="0.25">
      <c r="A78" s="25" t="s">
        <v>125</v>
      </c>
      <c r="B78" s="25">
        <v>54.3</v>
      </c>
      <c r="C78" s="25">
        <v>56.5</v>
      </c>
      <c r="D78" s="25">
        <v>59.6</v>
      </c>
      <c r="E78" s="25">
        <v>59.9</v>
      </c>
      <c r="F78" s="25">
        <v>61.7</v>
      </c>
    </row>
    <row r="79" spans="1:6" x14ac:dyDescent="0.25">
      <c r="A79" s="25" t="s">
        <v>45</v>
      </c>
      <c r="B79" s="25">
        <v>63.9</v>
      </c>
      <c r="C79" s="25">
        <v>63.1</v>
      </c>
      <c r="D79" s="25">
        <v>62.9</v>
      </c>
      <c r="E79" s="25">
        <v>61.7</v>
      </c>
      <c r="F79" s="25">
        <v>61.7</v>
      </c>
    </row>
    <row r="80" spans="1:6" x14ac:dyDescent="0.25">
      <c r="A80" s="25" t="s">
        <v>66</v>
      </c>
      <c r="B80" s="25">
        <v>58.2</v>
      </c>
      <c r="C80" s="25">
        <v>60.6</v>
      </c>
      <c r="D80" s="25">
        <v>63.4</v>
      </c>
      <c r="E80" s="25">
        <v>60.9</v>
      </c>
      <c r="F80" s="25">
        <v>61.6</v>
      </c>
    </row>
    <row r="81" spans="1:6" x14ac:dyDescent="0.25">
      <c r="A81" s="25" t="s">
        <v>150</v>
      </c>
      <c r="B81" s="25">
        <v>72.599999999999994</v>
      </c>
      <c r="C81" s="25">
        <v>69.5</v>
      </c>
      <c r="D81" s="25">
        <v>68.5</v>
      </c>
      <c r="E81" s="25">
        <v>66.3</v>
      </c>
      <c r="F81" s="25">
        <v>61.6</v>
      </c>
    </row>
    <row r="82" spans="1:6" x14ac:dyDescent="0.25">
      <c r="A82" s="25" t="s">
        <v>107</v>
      </c>
      <c r="B82" s="25">
        <v>55.2</v>
      </c>
      <c r="C82" s="25">
        <v>58.2</v>
      </c>
      <c r="D82" s="25">
        <v>58.7</v>
      </c>
      <c r="E82" s="25">
        <v>61.4</v>
      </c>
      <c r="F82" s="25">
        <v>61.4</v>
      </c>
    </row>
    <row r="83" spans="1:6" x14ac:dyDescent="0.25">
      <c r="A83" s="25" t="s">
        <v>126</v>
      </c>
      <c r="B83" s="25">
        <v>66.099999999999994</v>
      </c>
      <c r="C83" s="25">
        <v>63.7</v>
      </c>
      <c r="D83" s="25">
        <v>64.5</v>
      </c>
      <c r="E83" s="25">
        <v>63.8</v>
      </c>
      <c r="F83" s="25">
        <v>61.4</v>
      </c>
    </row>
    <row r="84" spans="1:6" x14ac:dyDescent="0.25">
      <c r="A84" s="25" t="s">
        <v>124</v>
      </c>
      <c r="B84" s="25">
        <v>64.599999999999994</v>
      </c>
      <c r="C84" s="25">
        <v>62.6</v>
      </c>
      <c r="D84" s="25">
        <v>62</v>
      </c>
      <c r="E84" s="25">
        <v>59.6</v>
      </c>
      <c r="F84" s="25">
        <v>60.7</v>
      </c>
    </row>
    <row r="85" spans="1:6" x14ac:dyDescent="0.25">
      <c r="A85" s="25" t="s">
        <v>127</v>
      </c>
      <c r="B85" s="25">
        <v>60.9</v>
      </c>
      <c r="C85" s="25">
        <v>61.9</v>
      </c>
      <c r="D85" s="25">
        <v>60.9</v>
      </c>
      <c r="E85" s="25">
        <v>61.2</v>
      </c>
      <c r="F85" s="25">
        <v>60.6</v>
      </c>
    </row>
    <row r="86" spans="1:6" x14ac:dyDescent="0.25">
      <c r="A86" s="25" t="s">
        <v>115</v>
      </c>
      <c r="B86" s="25">
        <v>57.5</v>
      </c>
      <c r="C86" s="25">
        <v>59.1</v>
      </c>
      <c r="D86" s="25">
        <v>59.1</v>
      </c>
      <c r="E86" s="25">
        <v>58.8</v>
      </c>
      <c r="F86" s="25">
        <v>60.1</v>
      </c>
    </row>
    <row r="87" spans="1:6" x14ac:dyDescent="0.25">
      <c r="A87" s="25" t="s">
        <v>57</v>
      </c>
      <c r="B87" s="25">
        <v>56.9</v>
      </c>
      <c r="C87" s="25">
        <v>57.5</v>
      </c>
      <c r="D87" s="25">
        <v>58.3</v>
      </c>
      <c r="E87" s="25">
        <v>58.5</v>
      </c>
      <c r="F87" s="25">
        <v>59.7</v>
      </c>
    </row>
    <row r="88" spans="1:6" x14ac:dyDescent="0.25">
      <c r="A88" s="25" t="s">
        <v>64</v>
      </c>
      <c r="B88" s="25">
        <v>50.2</v>
      </c>
      <c r="C88" s="25">
        <v>54</v>
      </c>
      <c r="D88" s="25">
        <v>57.8</v>
      </c>
      <c r="E88" s="25">
        <v>59.6</v>
      </c>
      <c r="F88" s="25">
        <v>59.6</v>
      </c>
    </row>
    <row r="89" spans="1:6" x14ac:dyDescent="0.25">
      <c r="A89" s="25" t="s">
        <v>98</v>
      </c>
      <c r="B89" s="25">
        <v>57.2</v>
      </c>
      <c r="C89" s="25">
        <v>55.5</v>
      </c>
      <c r="D89" s="25">
        <v>58</v>
      </c>
      <c r="E89" s="25">
        <v>59.2</v>
      </c>
      <c r="F89" s="25">
        <v>59.5</v>
      </c>
    </row>
    <row r="90" spans="1:6" x14ac:dyDescent="0.25">
      <c r="A90" s="25" t="s">
        <v>81</v>
      </c>
      <c r="B90" s="25">
        <v>62.3</v>
      </c>
      <c r="C90" s="25">
        <v>65.3</v>
      </c>
      <c r="D90" s="25">
        <v>65.3</v>
      </c>
      <c r="E90" s="25">
        <v>60.6</v>
      </c>
      <c r="F90" s="25">
        <v>59.3</v>
      </c>
    </row>
    <row r="91" spans="1:6" x14ac:dyDescent="0.25">
      <c r="A91" s="25" t="s">
        <v>169</v>
      </c>
      <c r="B91" s="25">
        <v>50.4</v>
      </c>
      <c r="C91" s="25">
        <v>53.3</v>
      </c>
      <c r="D91" s="25">
        <v>54.2</v>
      </c>
      <c r="E91" s="25">
        <v>55.8</v>
      </c>
      <c r="F91" s="25">
        <v>58.6</v>
      </c>
    </row>
    <row r="92" spans="1:6" x14ac:dyDescent="0.25">
      <c r="A92" s="25" t="s">
        <v>90</v>
      </c>
      <c r="B92" s="25">
        <v>56.7</v>
      </c>
      <c r="C92" s="25">
        <v>57.9</v>
      </c>
      <c r="D92" s="25">
        <v>57</v>
      </c>
      <c r="E92" s="25">
        <v>56.5</v>
      </c>
      <c r="F92" s="25">
        <v>58.6</v>
      </c>
    </row>
    <row r="93" spans="1:6" x14ac:dyDescent="0.25">
      <c r="A93" s="25" t="s">
        <v>110</v>
      </c>
      <c r="B93" s="25">
        <v>58.8</v>
      </c>
      <c r="C93" s="25">
        <v>59</v>
      </c>
      <c r="D93" s="25">
        <v>58.2</v>
      </c>
      <c r="E93" s="25">
        <v>59.6</v>
      </c>
      <c r="F93" s="25">
        <v>58.4</v>
      </c>
    </row>
    <row r="94" spans="1:6" x14ac:dyDescent="0.25">
      <c r="A94" s="25" t="s">
        <v>32</v>
      </c>
      <c r="B94" s="25">
        <v>60.4</v>
      </c>
      <c r="C94" s="25">
        <v>59.4</v>
      </c>
      <c r="D94" s="25">
        <v>60.2</v>
      </c>
      <c r="E94" s="25">
        <v>59.2</v>
      </c>
      <c r="F94" s="25">
        <v>58.4</v>
      </c>
    </row>
    <row r="95" spans="1:6" x14ac:dyDescent="0.25">
      <c r="A95" s="25" t="s">
        <v>95</v>
      </c>
      <c r="B95" s="25">
        <v>58</v>
      </c>
      <c r="C95" s="25">
        <v>57.7</v>
      </c>
      <c r="D95" s="25">
        <v>57.9</v>
      </c>
      <c r="E95" s="25">
        <v>58</v>
      </c>
      <c r="F95" s="25">
        <v>58</v>
      </c>
    </row>
    <row r="96" spans="1:6" x14ac:dyDescent="0.25">
      <c r="A96" s="25" t="s">
        <v>154</v>
      </c>
      <c r="B96" s="25">
        <v>54.3</v>
      </c>
      <c r="C96" s="25">
        <v>55.2</v>
      </c>
      <c r="D96" s="25">
        <v>55.7</v>
      </c>
      <c r="E96" s="25">
        <v>57.3</v>
      </c>
      <c r="F96" s="25">
        <v>57.4</v>
      </c>
    </row>
    <row r="97" spans="1:6" x14ac:dyDescent="0.25">
      <c r="A97" s="25" t="s">
        <v>101</v>
      </c>
      <c r="B97" s="25">
        <v>61.4</v>
      </c>
      <c r="C97" s="25">
        <v>61.4</v>
      </c>
      <c r="D97" s="25">
        <v>59.9</v>
      </c>
      <c r="E97" s="25">
        <v>61.4</v>
      </c>
      <c r="F97" s="25">
        <v>57.2</v>
      </c>
    </row>
    <row r="98" spans="1:6" x14ac:dyDescent="0.25">
      <c r="A98" s="25" t="s">
        <v>39</v>
      </c>
      <c r="B98" s="25">
        <v>55.7</v>
      </c>
      <c r="C98" s="25">
        <v>56.6</v>
      </c>
      <c r="D98" s="25">
        <v>57.4</v>
      </c>
      <c r="E98" s="25">
        <v>57.4</v>
      </c>
      <c r="F98" s="25">
        <v>57</v>
      </c>
    </row>
    <row r="99" spans="1:6" x14ac:dyDescent="0.25">
      <c r="A99" s="25" t="s">
        <v>155</v>
      </c>
      <c r="B99" s="25">
        <v>58.3</v>
      </c>
      <c r="C99" s="25">
        <v>57.3</v>
      </c>
      <c r="D99" s="25">
        <v>55.4</v>
      </c>
      <c r="E99" s="25">
        <v>55.4</v>
      </c>
      <c r="F99" s="25">
        <v>56.8</v>
      </c>
    </row>
    <row r="100" spans="1:6" x14ac:dyDescent="0.25">
      <c r="A100" s="25" t="s">
        <v>51</v>
      </c>
      <c r="B100" s="25">
        <v>55.3</v>
      </c>
      <c r="C100" s="25">
        <v>55.4</v>
      </c>
      <c r="D100" s="25">
        <v>58.2</v>
      </c>
      <c r="E100" s="25">
        <v>55.9</v>
      </c>
      <c r="F100" s="25">
        <v>56.8</v>
      </c>
    </row>
    <row r="101" spans="1:6" x14ac:dyDescent="0.25">
      <c r="A101" s="25" t="s">
        <v>149</v>
      </c>
      <c r="B101" s="25">
        <v>54.6</v>
      </c>
      <c r="C101" s="25">
        <v>58.5</v>
      </c>
      <c r="D101" s="25">
        <v>56.6</v>
      </c>
      <c r="E101" s="25">
        <v>56.6</v>
      </c>
      <c r="F101" s="25">
        <v>56.5</v>
      </c>
    </row>
    <row r="102" spans="1:6" x14ac:dyDescent="0.25">
      <c r="A102" s="25" t="s">
        <v>153</v>
      </c>
      <c r="B102" s="25">
        <v>56.1</v>
      </c>
      <c r="C102" s="25">
        <v>55.8</v>
      </c>
      <c r="D102" s="25">
        <v>55.6</v>
      </c>
      <c r="E102" s="25">
        <v>56</v>
      </c>
      <c r="F102" s="25">
        <v>56.1</v>
      </c>
    </row>
    <row r="103" spans="1:6" x14ac:dyDescent="0.25">
      <c r="A103" s="25" t="s">
        <v>165</v>
      </c>
      <c r="B103" s="25">
        <v>57.5</v>
      </c>
      <c r="C103" s="25">
        <v>56.9</v>
      </c>
      <c r="D103" s="25">
        <v>55.4</v>
      </c>
      <c r="E103" s="25">
        <v>55.4</v>
      </c>
      <c r="F103" s="25">
        <v>56</v>
      </c>
    </row>
    <row r="104" spans="1:6" x14ac:dyDescent="0.25">
      <c r="A104" s="25" t="s">
        <v>190</v>
      </c>
      <c r="B104" s="25">
        <v>47.4</v>
      </c>
      <c r="C104" s="25">
        <v>49.7</v>
      </c>
      <c r="D104" s="25">
        <v>49.6</v>
      </c>
      <c r="E104" s="25">
        <v>51.2</v>
      </c>
      <c r="F104" s="25">
        <v>55.9</v>
      </c>
    </row>
    <row r="105" spans="1:6" x14ac:dyDescent="0.25">
      <c r="A105" s="25" t="s">
        <v>182</v>
      </c>
      <c r="B105" s="25">
        <v>56.1</v>
      </c>
      <c r="C105" s="25">
        <v>57.4</v>
      </c>
      <c r="D105" s="25">
        <v>57.8</v>
      </c>
      <c r="E105" s="25">
        <v>55.9</v>
      </c>
      <c r="F105" s="25">
        <v>55.5</v>
      </c>
    </row>
    <row r="106" spans="1:6" x14ac:dyDescent="0.25">
      <c r="A106" s="25" t="s">
        <v>94</v>
      </c>
      <c r="B106" s="25">
        <v>55.5</v>
      </c>
      <c r="C106" s="25">
        <v>56.4</v>
      </c>
      <c r="D106" s="25">
        <v>55.5</v>
      </c>
      <c r="E106" s="25">
        <v>55.6</v>
      </c>
      <c r="F106" s="25">
        <v>55.3</v>
      </c>
    </row>
    <row r="107" spans="1:6" x14ac:dyDescent="0.25">
      <c r="A107" s="25" t="s">
        <v>56</v>
      </c>
      <c r="B107" s="25">
        <v>57.3</v>
      </c>
      <c r="C107" s="25">
        <v>54.4</v>
      </c>
      <c r="D107" s="25">
        <v>57</v>
      </c>
      <c r="E107" s="25">
        <v>54.2</v>
      </c>
      <c r="F107" s="25">
        <v>54.5</v>
      </c>
    </row>
    <row r="108" spans="1:6" x14ac:dyDescent="0.25">
      <c r="A108" s="25" t="s">
        <v>109</v>
      </c>
      <c r="B108" s="25">
        <v>55</v>
      </c>
      <c r="C108" s="25">
        <v>53.8</v>
      </c>
      <c r="D108" s="25">
        <v>54.6</v>
      </c>
      <c r="E108" s="25">
        <v>53</v>
      </c>
      <c r="F108" s="25">
        <v>54.5</v>
      </c>
    </row>
    <row r="109" spans="1:6" x14ac:dyDescent="0.25">
      <c r="A109" s="25" t="s">
        <v>147</v>
      </c>
      <c r="B109" s="25">
        <v>53.1</v>
      </c>
      <c r="C109" s="25">
        <v>53.7</v>
      </c>
      <c r="D109" s="25">
        <v>54.6</v>
      </c>
      <c r="E109" s="25">
        <v>54.2</v>
      </c>
      <c r="F109" s="25">
        <v>54.2</v>
      </c>
    </row>
    <row r="110" spans="1:6" x14ac:dyDescent="0.25">
      <c r="A110" s="25" t="s">
        <v>100</v>
      </c>
      <c r="B110" s="25">
        <v>56.1</v>
      </c>
      <c r="C110" s="25">
        <v>53.9</v>
      </c>
      <c r="D110" s="25">
        <v>54.4</v>
      </c>
      <c r="E110" s="25">
        <v>57.1</v>
      </c>
      <c r="F110" s="25">
        <v>53.9</v>
      </c>
    </row>
    <row r="111" spans="1:6" x14ac:dyDescent="0.25">
      <c r="A111" s="25" t="s">
        <v>49</v>
      </c>
      <c r="B111" s="25">
        <v>52.6</v>
      </c>
      <c r="C111" s="25">
        <v>52.2</v>
      </c>
      <c r="D111" s="25">
        <v>51.7</v>
      </c>
      <c r="E111" s="25">
        <v>53.3</v>
      </c>
      <c r="F111" s="25">
        <v>53.8</v>
      </c>
    </row>
    <row r="112" spans="1:6" x14ac:dyDescent="0.25">
      <c r="A112" s="25" t="s">
        <v>99</v>
      </c>
      <c r="B112" s="25">
        <v>50.7</v>
      </c>
      <c r="C112" s="25">
        <v>53.9</v>
      </c>
      <c r="D112" s="25">
        <v>52.6</v>
      </c>
      <c r="E112" s="25">
        <v>53.9</v>
      </c>
      <c r="F112" s="25">
        <v>53.5</v>
      </c>
    </row>
    <row r="113" spans="1:6" x14ac:dyDescent="0.25">
      <c r="A113" s="25" t="s">
        <v>69</v>
      </c>
      <c r="B113" s="25">
        <v>54.2</v>
      </c>
      <c r="C113" s="25">
        <v>55.4</v>
      </c>
      <c r="D113" s="25">
        <v>55.4</v>
      </c>
      <c r="E113" s="25">
        <v>53.3</v>
      </c>
      <c r="F113" s="25">
        <v>52.9</v>
      </c>
    </row>
    <row r="114" spans="1:6" x14ac:dyDescent="0.25">
      <c r="A114" s="25" t="s">
        <v>148</v>
      </c>
      <c r="B114" s="25">
        <v>51.6</v>
      </c>
      <c r="C114" s="25">
        <v>52.5</v>
      </c>
      <c r="D114" s="25">
        <v>53.3</v>
      </c>
      <c r="E114" s="25">
        <v>52.3</v>
      </c>
      <c r="F114" s="25">
        <v>52.9</v>
      </c>
    </row>
    <row r="115" spans="1:6" x14ac:dyDescent="0.25">
      <c r="A115" s="25" t="s">
        <v>96</v>
      </c>
      <c r="B115" s="25">
        <v>56</v>
      </c>
      <c r="C115" s="25">
        <v>53.7</v>
      </c>
      <c r="D115" s="25">
        <v>52.6</v>
      </c>
      <c r="E115" s="25">
        <v>52.5</v>
      </c>
      <c r="F115" s="25">
        <v>52.5</v>
      </c>
    </row>
    <row r="116" spans="1:6" x14ac:dyDescent="0.25">
      <c r="A116" s="25" t="s">
        <v>184</v>
      </c>
      <c r="B116" s="25">
        <v>51</v>
      </c>
      <c r="C116" s="25">
        <v>53.6</v>
      </c>
      <c r="D116" s="25">
        <v>53.8</v>
      </c>
      <c r="E116" s="25">
        <v>54.2</v>
      </c>
      <c r="F116" s="25">
        <v>52.4</v>
      </c>
    </row>
    <row r="117" spans="1:6" x14ac:dyDescent="0.25">
      <c r="A117" s="25" t="s">
        <v>121</v>
      </c>
      <c r="B117" s="25">
        <v>54.6</v>
      </c>
      <c r="C117" s="25">
        <v>52.7</v>
      </c>
      <c r="D117" s="25">
        <v>51.8</v>
      </c>
      <c r="E117" s="25">
        <v>52</v>
      </c>
      <c r="F117" s="25">
        <v>52</v>
      </c>
    </row>
    <row r="118" spans="1:6" x14ac:dyDescent="0.25">
      <c r="A118" s="25" t="s">
        <v>151</v>
      </c>
      <c r="B118" s="25">
        <v>49.2</v>
      </c>
      <c r="C118" s="25">
        <v>51</v>
      </c>
      <c r="D118" s="25">
        <v>50.9</v>
      </c>
      <c r="E118" s="25">
        <v>51.9</v>
      </c>
      <c r="F118" s="25">
        <v>51.9</v>
      </c>
    </row>
    <row r="119" spans="1:6" x14ac:dyDescent="0.25">
      <c r="A119" s="25" t="s">
        <v>93</v>
      </c>
      <c r="B119" s="25">
        <v>50.6</v>
      </c>
      <c r="C119" s="25">
        <v>49.4</v>
      </c>
      <c r="D119" s="25">
        <v>49.4</v>
      </c>
      <c r="E119" s="25">
        <v>49</v>
      </c>
      <c r="F119" s="25">
        <v>51.8</v>
      </c>
    </row>
    <row r="120" spans="1:6" x14ac:dyDescent="0.25">
      <c r="A120" s="25" t="s">
        <v>156</v>
      </c>
      <c r="B120" s="25">
        <v>51</v>
      </c>
      <c r="C120" s="25">
        <v>54.1</v>
      </c>
      <c r="D120" s="25">
        <v>53</v>
      </c>
      <c r="E120" s="25">
        <v>51.7</v>
      </c>
      <c r="F120" s="25">
        <v>51.6</v>
      </c>
    </row>
    <row r="121" spans="1:6" x14ac:dyDescent="0.25">
      <c r="A121" s="25" t="s">
        <v>146</v>
      </c>
      <c r="B121" s="25">
        <v>54.4</v>
      </c>
      <c r="C121" s="25">
        <v>52.7</v>
      </c>
      <c r="D121" s="25">
        <v>50.1</v>
      </c>
      <c r="E121" s="25">
        <v>51.2</v>
      </c>
      <c r="F121" s="25">
        <v>51.2</v>
      </c>
    </row>
    <row r="122" spans="1:6" x14ac:dyDescent="0.25">
      <c r="A122" s="25" t="s">
        <v>157</v>
      </c>
      <c r="B122" s="25">
        <v>52.1</v>
      </c>
      <c r="C122" s="25">
        <v>51.8</v>
      </c>
      <c r="D122" s="25">
        <v>52.5</v>
      </c>
      <c r="E122" s="25">
        <v>51.5</v>
      </c>
      <c r="F122" s="25">
        <v>51</v>
      </c>
    </row>
    <row r="123" spans="1:6" x14ac:dyDescent="0.25">
      <c r="A123" s="25" t="s">
        <v>118</v>
      </c>
      <c r="B123" s="25">
        <v>51.7</v>
      </c>
      <c r="C123" s="25">
        <v>51.6</v>
      </c>
      <c r="D123" s="25">
        <v>50.5</v>
      </c>
      <c r="E123" s="25">
        <v>50.4</v>
      </c>
      <c r="F123" s="25">
        <v>50.8</v>
      </c>
    </row>
    <row r="124" spans="1:6" x14ac:dyDescent="0.25">
      <c r="A124" s="25" t="s">
        <v>111</v>
      </c>
      <c r="B124" s="25">
        <v>51.5</v>
      </c>
      <c r="C124" s="25">
        <v>50.6</v>
      </c>
      <c r="D124" s="25">
        <v>49.7</v>
      </c>
      <c r="E124" s="25">
        <v>48.8</v>
      </c>
      <c r="F124" s="25">
        <v>50.2</v>
      </c>
    </row>
    <row r="125" spans="1:6" x14ac:dyDescent="0.25">
      <c r="A125" s="25" t="s">
        <v>103</v>
      </c>
      <c r="B125" s="25">
        <v>47.2</v>
      </c>
      <c r="C125" s="25">
        <v>46.4</v>
      </c>
      <c r="D125" s="25">
        <v>44.8</v>
      </c>
      <c r="E125" s="25">
        <v>47.4</v>
      </c>
      <c r="F125" s="25">
        <v>49.4</v>
      </c>
    </row>
    <row r="126" spans="1:6" x14ac:dyDescent="0.25">
      <c r="A126" s="25" t="s">
        <v>117</v>
      </c>
      <c r="B126" s="25">
        <v>48.6</v>
      </c>
      <c r="C126" s="25">
        <v>48.8</v>
      </c>
      <c r="D126" s="25">
        <v>47.5</v>
      </c>
      <c r="E126" s="25">
        <v>49.6</v>
      </c>
      <c r="F126" s="25">
        <v>49.1</v>
      </c>
    </row>
    <row r="127" spans="1:6" x14ac:dyDescent="0.25">
      <c r="A127" s="25" t="s">
        <v>47</v>
      </c>
      <c r="B127" s="25">
        <v>46.8</v>
      </c>
      <c r="C127" s="25">
        <v>45.8</v>
      </c>
      <c r="D127" s="25">
        <v>47.4</v>
      </c>
      <c r="E127" s="25">
        <v>47.3</v>
      </c>
      <c r="F127" s="25">
        <v>48.8</v>
      </c>
    </row>
    <row r="128" spans="1:6" x14ac:dyDescent="0.25">
      <c r="A128" s="25" t="s">
        <v>113</v>
      </c>
      <c r="B128" s="25">
        <v>45.6</v>
      </c>
      <c r="C128" s="25">
        <v>47.5</v>
      </c>
      <c r="D128" s="25">
        <v>45.4</v>
      </c>
      <c r="E128" s="25">
        <v>46</v>
      </c>
      <c r="F128" s="25">
        <v>47</v>
      </c>
    </row>
    <row r="129" spans="1:6" x14ac:dyDescent="0.25">
      <c r="A129" s="25" t="s">
        <v>97</v>
      </c>
      <c r="B129" s="25">
        <v>41.1</v>
      </c>
      <c r="C129" s="25">
        <v>41.1</v>
      </c>
      <c r="D129" s="25">
        <v>46.5</v>
      </c>
      <c r="E129" s="25">
        <v>46.2</v>
      </c>
      <c r="F129" s="25">
        <v>46.2</v>
      </c>
    </row>
    <row r="130" spans="1:6" x14ac:dyDescent="0.25">
      <c r="A130" s="25" t="s">
        <v>104</v>
      </c>
      <c r="B130" s="25">
        <v>48.5</v>
      </c>
      <c r="C130" s="25">
        <v>51.5</v>
      </c>
      <c r="D130" s="25">
        <v>49.3</v>
      </c>
      <c r="E130" s="25">
        <v>47.3</v>
      </c>
      <c r="F130" s="25">
        <v>45.8</v>
      </c>
    </row>
    <row r="131" spans="1:6" x14ac:dyDescent="0.25">
      <c r="A131" s="25" t="s">
        <v>106</v>
      </c>
      <c r="B131" s="25">
        <v>48.8</v>
      </c>
      <c r="C131" s="25">
        <v>46.2</v>
      </c>
      <c r="D131" s="25">
        <v>43.7</v>
      </c>
      <c r="E131" s="25">
        <v>45.4</v>
      </c>
      <c r="F131" s="25">
        <v>45.3</v>
      </c>
    </row>
    <row r="132" spans="1:6" x14ac:dyDescent="0.25">
      <c r="A132" s="25" t="s">
        <v>174</v>
      </c>
      <c r="B132" s="25">
        <v>47</v>
      </c>
      <c r="C132" s="25">
        <v>47.4</v>
      </c>
      <c r="D132" s="25">
        <v>48.6</v>
      </c>
      <c r="E132" s="25">
        <v>48.5</v>
      </c>
      <c r="F132" s="25">
        <v>44.2</v>
      </c>
    </row>
    <row r="133" spans="1:6" x14ac:dyDescent="0.25">
      <c r="A133" s="25" t="s">
        <v>108</v>
      </c>
      <c r="B133" s="25">
        <v>37.6</v>
      </c>
      <c r="C133" s="25">
        <v>41.2</v>
      </c>
      <c r="D133" s="25">
        <v>41.1</v>
      </c>
      <c r="E133" s="25">
        <v>45.6</v>
      </c>
      <c r="F133" s="25">
        <v>42.9</v>
      </c>
    </row>
    <row r="134" spans="1:6" x14ac:dyDescent="0.25">
      <c r="A134" s="25" t="s">
        <v>79</v>
      </c>
      <c r="B134" s="25">
        <v>43</v>
      </c>
      <c r="C134" s="25">
        <v>45</v>
      </c>
      <c r="D134" s="25">
        <v>42.1</v>
      </c>
      <c r="E134" s="25">
        <v>41.3</v>
      </c>
      <c r="F134" s="25">
        <v>42.6</v>
      </c>
    </row>
    <row r="135" spans="1:6" x14ac:dyDescent="0.25">
      <c r="A135" s="25" t="s">
        <v>116</v>
      </c>
      <c r="B135" s="25">
        <v>44.3</v>
      </c>
      <c r="C135" s="25">
        <v>43.6</v>
      </c>
      <c r="D135" s="25">
        <v>44.1</v>
      </c>
      <c r="E135" s="25">
        <v>42.5</v>
      </c>
      <c r="F135" s="25">
        <v>42.5</v>
      </c>
    </row>
    <row r="136" spans="1:6" x14ac:dyDescent="0.25">
      <c r="A136" s="25" t="s">
        <v>53</v>
      </c>
      <c r="B136" s="25">
        <v>44</v>
      </c>
      <c r="C136" s="25">
        <v>44.9</v>
      </c>
      <c r="D136" s="25">
        <v>45</v>
      </c>
      <c r="E136" s="25">
        <v>43.4</v>
      </c>
      <c r="F136" s="25">
        <v>40.5</v>
      </c>
    </row>
    <row r="137" spans="1:6" x14ac:dyDescent="0.25">
      <c r="A137" s="25" t="s">
        <v>191</v>
      </c>
      <c r="B137" s="25">
        <v>42.9</v>
      </c>
      <c r="C137" s="25">
        <v>43.3</v>
      </c>
      <c r="D137" s="25">
        <v>42.1</v>
      </c>
      <c r="E137" s="25">
        <v>40.700000000000003</v>
      </c>
      <c r="F137" s="25">
        <v>40.1</v>
      </c>
    </row>
    <row r="138" spans="1:6" x14ac:dyDescent="0.25">
      <c r="A138" s="25" t="s">
        <v>122</v>
      </c>
      <c r="B138" s="25">
        <v>40.799999999999997</v>
      </c>
      <c r="C138" s="25">
        <v>44.5</v>
      </c>
      <c r="D138" s="25">
        <v>43.4</v>
      </c>
      <c r="E138" s="25">
        <v>42.3</v>
      </c>
      <c r="F138" s="25">
        <v>39.5</v>
      </c>
    </row>
    <row r="139" spans="1:6" x14ac:dyDescent="0.25">
      <c r="A139" s="25" t="s">
        <v>105</v>
      </c>
      <c r="B139" s="25">
        <v>41</v>
      </c>
      <c r="C139" s="25">
        <v>37.9</v>
      </c>
      <c r="D139" s="25">
        <v>39.799999999999997</v>
      </c>
      <c r="E139" s="25">
        <v>37.299999999999997</v>
      </c>
      <c r="F139" s="25">
        <v>37.200000000000003</v>
      </c>
    </row>
  </sheetData>
  <dataValidations count="1">
    <dataValidation type="list" allowBlank="1" sqref="W3:W4" xr:uid="{00000000-0002-0000-0500-000000000000}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63"/>
  <sheetViews>
    <sheetView showGridLines="0" zoomScale="67" workbookViewId="0">
      <selection activeCell="A20" sqref="A20"/>
    </sheetView>
  </sheetViews>
  <sheetFormatPr defaultRowHeight="15" x14ac:dyDescent="0.25"/>
  <cols>
    <col min="1" max="1" width="16" bestFit="1" customWidth="1"/>
    <col min="2" max="2" width="6" bestFit="1" customWidth="1"/>
    <col min="3" max="3" width="12" customWidth="1"/>
    <col min="4" max="4" width="16" customWidth="1"/>
    <col min="5" max="5" width="7" customWidth="1"/>
    <col min="6" max="6" width="13" customWidth="1"/>
    <col min="7" max="7" width="15" customWidth="1"/>
    <col min="8" max="8" width="11" customWidth="1"/>
    <col min="9" max="9" width="13" customWidth="1"/>
  </cols>
  <sheetData>
    <row r="1" spans="1:9" ht="15.6" customHeight="1" x14ac:dyDescent="0.25">
      <c r="A1" s="24" t="s">
        <v>343</v>
      </c>
    </row>
    <row r="3" spans="1:9" x14ac:dyDescent="0.25">
      <c r="A3" s="23" t="s">
        <v>313</v>
      </c>
      <c r="B3" s="23" t="s">
        <v>344</v>
      </c>
      <c r="C3" s="23" t="s">
        <v>345</v>
      </c>
    </row>
    <row r="4" spans="1:9" x14ac:dyDescent="0.25">
      <c r="A4" s="25" t="s">
        <v>115</v>
      </c>
      <c r="B4" s="25" t="s">
        <v>346</v>
      </c>
      <c r="C4" s="28">
        <v>0.5</v>
      </c>
    </row>
    <row r="5" spans="1:9" x14ac:dyDescent="0.25">
      <c r="A5" s="25" t="s">
        <v>69</v>
      </c>
      <c r="B5" s="25" t="s">
        <v>347</v>
      </c>
      <c r="C5" s="28">
        <v>0.2</v>
      </c>
    </row>
    <row r="6" spans="1:9" x14ac:dyDescent="0.25">
      <c r="A6" s="25" t="s">
        <v>121</v>
      </c>
      <c r="B6" s="25" t="s">
        <v>346</v>
      </c>
      <c r="C6" s="28">
        <v>0.5</v>
      </c>
    </row>
    <row r="7" spans="1:9" x14ac:dyDescent="0.25">
      <c r="A7" s="25" t="s">
        <v>183</v>
      </c>
      <c r="B7" s="25" t="s">
        <v>348</v>
      </c>
      <c r="C7" s="28">
        <v>1</v>
      </c>
    </row>
    <row r="8" spans="1:9" x14ac:dyDescent="0.25">
      <c r="A8" s="25" t="s">
        <v>119</v>
      </c>
      <c r="B8" s="25" t="s">
        <v>349</v>
      </c>
      <c r="C8" s="28">
        <v>0.6</v>
      </c>
    </row>
    <row r="9" spans="1:9" x14ac:dyDescent="0.25">
      <c r="A9" s="25" t="s">
        <v>116</v>
      </c>
      <c r="B9" s="25" t="s">
        <v>350</v>
      </c>
      <c r="C9" s="28">
        <v>0.25</v>
      </c>
    </row>
    <row r="10" spans="1:9" x14ac:dyDescent="0.25">
      <c r="A10" s="25" t="s">
        <v>118</v>
      </c>
      <c r="B10" s="25" t="s">
        <v>349</v>
      </c>
      <c r="C10" s="28">
        <v>0.6</v>
      </c>
    </row>
    <row r="11" spans="1:9" x14ac:dyDescent="0.25">
      <c r="A11" s="25" t="s">
        <v>120</v>
      </c>
      <c r="B11" s="25" t="s">
        <v>349</v>
      </c>
      <c r="C11" s="28">
        <v>0.6</v>
      </c>
    </row>
    <row r="12" spans="1:9" x14ac:dyDescent="0.25">
      <c r="A12" s="25" t="s">
        <v>122</v>
      </c>
      <c r="B12" s="25" t="s">
        <v>347</v>
      </c>
      <c r="C12" s="28">
        <v>0.2</v>
      </c>
    </row>
    <row r="13" spans="1:9" x14ac:dyDescent="0.25">
      <c r="A13" s="25" t="s">
        <v>117</v>
      </c>
      <c r="B13" s="25" t="s">
        <v>347</v>
      </c>
      <c r="C13" s="28">
        <v>0.2</v>
      </c>
    </row>
    <row r="16" spans="1:9" ht="26.45" customHeight="1" x14ac:dyDescent="0.25">
      <c r="A16" s="29" t="s">
        <v>313</v>
      </c>
      <c r="B16" s="29" t="s">
        <v>9</v>
      </c>
      <c r="C16" s="29" t="s">
        <v>10</v>
      </c>
      <c r="D16" s="29" t="s">
        <v>351</v>
      </c>
      <c r="E16" s="29" t="s">
        <v>352</v>
      </c>
      <c r="F16" s="29" t="s">
        <v>353</v>
      </c>
      <c r="G16" s="29" t="s">
        <v>354</v>
      </c>
      <c r="H16" s="29" t="s">
        <v>355</v>
      </c>
      <c r="I16" s="29" t="s">
        <v>356</v>
      </c>
    </row>
    <row r="17" spans="1:9" x14ac:dyDescent="0.25">
      <c r="A17" s="25" t="s">
        <v>115</v>
      </c>
      <c r="B17" s="25">
        <v>1</v>
      </c>
      <c r="C17" s="25" t="s">
        <v>252</v>
      </c>
      <c r="D17" s="25" t="s">
        <v>357</v>
      </c>
      <c r="E17" s="25" t="s">
        <v>358</v>
      </c>
      <c r="F17" s="25">
        <v>-30</v>
      </c>
      <c r="G17" s="25">
        <v>34</v>
      </c>
      <c r="H17" s="30" t="s">
        <v>359</v>
      </c>
      <c r="I17" s="25">
        <v>4</v>
      </c>
    </row>
    <row r="18" spans="1:9" x14ac:dyDescent="0.25">
      <c r="A18" s="25" t="s">
        <v>115</v>
      </c>
      <c r="B18" s="25">
        <v>2</v>
      </c>
      <c r="C18" s="25" t="s">
        <v>275</v>
      </c>
      <c r="D18" s="25" t="s">
        <v>119</v>
      </c>
      <c r="E18" s="25" t="s">
        <v>358</v>
      </c>
      <c r="F18" s="25">
        <v>1.8</v>
      </c>
      <c r="G18" s="25">
        <v>-6</v>
      </c>
      <c r="H18" s="31" t="s">
        <v>360</v>
      </c>
      <c r="I18" s="25">
        <v>-4.2</v>
      </c>
    </row>
    <row r="19" spans="1:9" x14ac:dyDescent="0.25">
      <c r="A19" s="25" t="s">
        <v>115</v>
      </c>
      <c r="B19" s="25">
        <v>4</v>
      </c>
      <c r="C19" s="25" t="s">
        <v>361</v>
      </c>
      <c r="D19" s="25" t="s">
        <v>121</v>
      </c>
      <c r="E19" s="25" t="s">
        <v>362</v>
      </c>
      <c r="F19" s="25">
        <v>-5.2</v>
      </c>
      <c r="G19" s="25">
        <v>3</v>
      </c>
      <c r="H19" s="31" t="s">
        <v>360</v>
      </c>
      <c r="I19" s="25">
        <v>-2.2000000000000002</v>
      </c>
    </row>
    <row r="20" spans="1:9" x14ac:dyDescent="0.25">
      <c r="A20" s="25" t="s">
        <v>115</v>
      </c>
      <c r="B20" s="25">
        <v>5</v>
      </c>
      <c r="C20" s="25" t="s">
        <v>161</v>
      </c>
      <c r="D20" s="25" t="s">
        <v>52</v>
      </c>
      <c r="E20" s="25" t="s">
        <v>358</v>
      </c>
      <c r="F20" s="25">
        <v>-2.8</v>
      </c>
      <c r="G20" s="25">
        <v>5</v>
      </c>
      <c r="H20" s="30" t="s">
        <v>359</v>
      </c>
      <c r="I20" s="25">
        <v>2.2000000000000002</v>
      </c>
    </row>
    <row r="21" spans="1:9" x14ac:dyDescent="0.25">
      <c r="A21" s="25" t="s">
        <v>69</v>
      </c>
      <c r="B21" s="25">
        <v>1</v>
      </c>
      <c r="C21" s="25" t="s">
        <v>240</v>
      </c>
      <c r="D21" s="25" t="s">
        <v>101</v>
      </c>
      <c r="E21" s="25" t="s">
        <v>362</v>
      </c>
      <c r="F21" s="25">
        <v>4.8</v>
      </c>
      <c r="G21" s="25">
        <v>-10</v>
      </c>
      <c r="H21" s="31" t="s">
        <v>360</v>
      </c>
      <c r="I21" s="25">
        <v>-5.2</v>
      </c>
    </row>
    <row r="22" spans="1:9" x14ac:dyDescent="0.25">
      <c r="A22" s="25" t="s">
        <v>69</v>
      </c>
      <c r="B22" s="25">
        <v>1</v>
      </c>
      <c r="C22" s="25" t="s">
        <v>259</v>
      </c>
      <c r="D22" s="25" t="s">
        <v>120</v>
      </c>
      <c r="E22" s="25" t="s">
        <v>358</v>
      </c>
      <c r="F22" s="25">
        <v>2.8</v>
      </c>
      <c r="G22" s="25">
        <v>-15</v>
      </c>
      <c r="H22" s="31" t="s">
        <v>360</v>
      </c>
      <c r="I22" s="25">
        <v>-12.2</v>
      </c>
    </row>
    <row r="23" spans="1:9" x14ac:dyDescent="0.25">
      <c r="A23" s="25" t="s">
        <v>69</v>
      </c>
      <c r="B23" s="25">
        <v>2</v>
      </c>
      <c r="C23" s="25" t="s">
        <v>275</v>
      </c>
      <c r="D23" s="25" t="s">
        <v>93</v>
      </c>
      <c r="E23" s="25" t="s">
        <v>358</v>
      </c>
      <c r="F23" s="25">
        <v>-7.5</v>
      </c>
      <c r="G23" s="25">
        <v>10</v>
      </c>
      <c r="H23" s="30" t="s">
        <v>359</v>
      </c>
      <c r="I23" s="25">
        <v>2.5</v>
      </c>
    </row>
    <row r="24" spans="1:9" x14ac:dyDescent="0.25">
      <c r="A24" s="25" t="s">
        <v>69</v>
      </c>
      <c r="B24" s="25">
        <v>4</v>
      </c>
      <c r="C24" s="25" t="s">
        <v>290</v>
      </c>
      <c r="D24" s="25" t="s">
        <v>117</v>
      </c>
      <c r="E24" s="25" t="s">
        <v>362</v>
      </c>
      <c r="F24" s="25">
        <v>-2.2000000000000002</v>
      </c>
      <c r="G24" s="25">
        <v>-17</v>
      </c>
      <c r="H24" s="31" t="s">
        <v>360</v>
      </c>
      <c r="I24" s="25">
        <v>-19.2</v>
      </c>
    </row>
    <row r="25" spans="1:9" x14ac:dyDescent="0.25">
      <c r="A25" s="25" t="s">
        <v>69</v>
      </c>
      <c r="B25" s="25">
        <v>5</v>
      </c>
      <c r="C25" s="25" t="s">
        <v>176</v>
      </c>
      <c r="D25" s="25" t="s">
        <v>118</v>
      </c>
      <c r="E25" s="25" t="s">
        <v>358</v>
      </c>
      <c r="F25" s="25">
        <v>-2.8</v>
      </c>
      <c r="G25" s="25">
        <v>-4</v>
      </c>
      <c r="H25" s="31" t="s">
        <v>360</v>
      </c>
      <c r="I25" s="25">
        <v>-6.8</v>
      </c>
    </row>
    <row r="26" spans="1:9" x14ac:dyDescent="0.25">
      <c r="A26" s="25" t="s">
        <v>121</v>
      </c>
      <c r="B26" s="25">
        <v>1</v>
      </c>
      <c r="C26" s="25" t="s">
        <v>259</v>
      </c>
      <c r="D26" s="25" t="s">
        <v>100</v>
      </c>
      <c r="E26" s="25" t="s">
        <v>358</v>
      </c>
      <c r="F26" s="25">
        <v>0.2</v>
      </c>
      <c r="G26" s="25">
        <v>35</v>
      </c>
      <c r="H26" s="30" t="s">
        <v>359</v>
      </c>
      <c r="I26" s="25">
        <v>35.200000000000003</v>
      </c>
    </row>
    <row r="27" spans="1:9" x14ac:dyDescent="0.25">
      <c r="A27" s="25" t="s">
        <v>121</v>
      </c>
      <c r="B27" s="25">
        <v>2</v>
      </c>
      <c r="C27" s="25" t="s">
        <v>275</v>
      </c>
      <c r="D27" s="25" t="s">
        <v>363</v>
      </c>
      <c r="E27" s="25" t="s">
        <v>358</v>
      </c>
      <c r="F27" s="25">
        <v>5</v>
      </c>
      <c r="G27" s="25">
        <v>-13</v>
      </c>
      <c r="H27" s="31" t="s">
        <v>360</v>
      </c>
      <c r="I27" s="25">
        <v>-8</v>
      </c>
    </row>
    <row r="28" spans="1:9" x14ac:dyDescent="0.25">
      <c r="A28" s="25" t="s">
        <v>121</v>
      </c>
      <c r="B28" s="25">
        <v>3</v>
      </c>
      <c r="C28" s="25" t="s">
        <v>282</v>
      </c>
      <c r="D28" s="25" t="s">
        <v>174</v>
      </c>
      <c r="E28" s="25" t="s">
        <v>362</v>
      </c>
      <c r="F28" s="25">
        <v>-3.8</v>
      </c>
      <c r="G28" s="25">
        <v>-7</v>
      </c>
      <c r="H28" s="31" t="s">
        <v>360</v>
      </c>
      <c r="I28" s="25">
        <v>-10.8</v>
      </c>
    </row>
    <row r="29" spans="1:9" x14ac:dyDescent="0.25">
      <c r="A29" s="25" t="s">
        <v>121</v>
      </c>
      <c r="B29" s="25">
        <v>4</v>
      </c>
      <c r="C29" s="25" t="s">
        <v>361</v>
      </c>
      <c r="D29" s="25" t="s">
        <v>115</v>
      </c>
      <c r="E29" s="25" t="s">
        <v>358</v>
      </c>
      <c r="F29" s="25">
        <v>5.2</v>
      </c>
      <c r="G29" s="25">
        <v>-3</v>
      </c>
      <c r="H29" s="30" t="s">
        <v>359</v>
      </c>
      <c r="I29" s="25">
        <v>2.2000000000000002</v>
      </c>
    </row>
    <row r="30" spans="1:9" x14ac:dyDescent="0.25">
      <c r="A30" s="25" t="s">
        <v>183</v>
      </c>
      <c r="B30" s="25">
        <v>1</v>
      </c>
      <c r="C30" s="25" t="s">
        <v>259</v>
      </c>
      <c r="D30" s="25" t="s">
        <v>109</v>
      </c>
      <c r="E30" s="25" t="s">
        <v>358</v>
      </c>
      <c r="F30" s="25">
        <v>-11.2</v>
      </c>
      <c r="G30" s="25">
        <v>31</v>
      </c>
      <c r="H30" s="30" t="s">
        <v>359</v>
      </c>
      <c r="I30" s="25">
        <v>19.8</v>
      </c>
    </row>
    <row r="31" spans="1:9" x14ac:dyDescent="0.25">
      <c r="A31" s="25" t="s">
        <v>183</v>
      </c>
      <c r="B31" s="25">
        <v>2</v>
      </c>
      <c r="C31" s="25" t="s">
        <v>273</v>
      </c>
      <c r="D31" s="25" t="s">
        <v>364</v>
      </c>
      <c r="E31" s="25" t="s">
        <v>358</v>
      </c>
      <c r="F31" s="25">
        <v>-42.2</v>
      </c>
      <c r="G31" s="25">
        <v>63</v>
      </c>
      <c r="H31" s="30" t="s">
        <v>359</v>
      </c>
      <c r="I31" s="25">
        <v>20.8</v>
      </c>
    </row>
    <row r="32" spans="1:9" x14ac:dyDescent="0.25">
      <c r="A32" s="25" t="s">
        <v>183</v>
      </c>
      <c r="B32" s="25">
        <v>3</v>
      </c>
      <c r="C32" s="25" t="s">
        <v>282</v>
      </c>
      <c r="D32" s="25" t="s">
        <v>142</v>
      </c>
      <c r="E32" s="25" t="s">
        <v>362</v>
      </c>
      <c r="F32" s="25">
        <v>21.2</v>
      </c>
      <c r="G32" s="25">
        <v>-8</v>
      </c>
      <c r="H32" s="30" t="s">
        <v>359</v>
      </c>
      <c r="I32" s="25">
        <v>13.2</v>
      </c>
    </row>
    <row r="33" spans="1:9" x14ac:dyDescent="0.25">
      <c r="A33" s="25" t="s">
        <v>183</v>
      </c>
      <c r="B33" s="25">
        <v>4</v>
      </c>
      <c r="C33" s="25" t="s">
        <v>290</v>
      </c>
      <c r="D33" s="25" t="s">
        <v>93</v>
      </c>
      <c r="E33" s="25" t="s">
        <v>362</v>
      </c>
      <c r="F33" s="25">
        <v>-11.5</v>
      </c>
      <c r="G33" s="25">
        <v>24</v>
      </c>
      <c r="H33" s="30" t="s">
        <v>359</v>
      </c>
      <c r="I33" s="25">
        <v>12.5</v>
      </c>
    </row>
    <row r="34" spans="1:9" x14ac:dyDescent="0.25">
      <c r="A34" s="25" t="s">
        <v>183</v>
      </c>
      <c r="B34" s="25">
        <v>5</v>
      </c>
      <c r="C34" s="25" t="s">
        <v>161</v>
      </c>
      <c r="D34" s="25" t="s">
        <v>122</v>
      </c>
      <c r="E34" s="25" t="s">
        <v>358</v>
      </c>
      <c r="F34" s="25">
        <v>-23.2</v>
      </c>
      <c r="G34" s="25">
        <v>54</v>
      </c>
      <c r="H34" s="30" t="s">
        <v>359</v>
      </c>
      <c r="I34" s="25">
        <v>30.8</v>
      </c>
    </row>
    <row r="35" spans="1:9" x14ac:dyDescent="0.25">
      <c r="A35" s="25" t="s">
        <v>119</v>
      </c>
      <c r="B35" s="25">
        <v>1</v>
      </c>
      <c r="C35" s="25" t="s">
        <v>240</v>
      </c>
      <c r="D35" s="25" t="s">
        <v>95</v>
      </c>
      <c r="E35" s="25" t="s">
        <v>358</v>
      </c>
      <c r="F35" s="25">
        <v>-6.8</v>
      </c>
      <c r="G35" s="25">
        <v>26</v>
      </c>
      <c r="H35" s="30" t="s">
        <v>359</v>
      </c>
      <c r="I35" s="25">
        <v>19.2</v>
      </c>
    </row>
    <row r="36" spans="1:9" x14ac:dyDescent="0.25">
      <c r="A36" s="25" t="s">
        <v>119</v>
      </c>
      <c r="B36" s="25">
        <v>1</v>
      </c>
      <c r="C36" s="25" t="s">
        <v>252</v>
      </c>
      <c r="D36" s="25" t="s">
        <v>365</v>
      </c>
      <c r="E36" s="25" t="s">
        <v>358</v>
      </c>
      <c r="F36" s="25">
        <v>-41.5</v>
      </c>
      <c r="G36" s="25">
        <v>38</v>
      </c>
      <c r="H36" s="31" t="s">
        <v>360</v>
      </c>
      <c r="I36" s="25">
        <v>-3.5</v>
      </c>
    </row>
    <row r="37" spans="1:9" x14ac:dyDescent="0.25">
      <c r="A37" s="25" t="s">
        <v>119</v>
      </c>
      <c r="B37" s="25">
        <v>2</v>
      </c>
      <c r="C37" s="25" t="s">
        <v>275</v>
      </c>
      <c r="D37" s="25" t="s">
        <v>115</v>
      </c>
      <c r="E37" s="25" t="s">
        <v>362</v>
      </c>
      <c r="F37" s="25">
        <v>-1.8</v>
      </c>
      <c r="G37" s="25">
        <v>6</v>
      </c>
      <c r="H37" s="30" t="s">
        <v>359</v>
      </c>
      <c r="I37" s="25">
        <v>4.2</v>
      </c>
    </row>
    <row r="38" spans="1:9" x14ac:dyDescent="0.25">
      <c r="A38" s="25" t="s">
        <v>119</v>
      </c>
      <c r="B38" s="25">
        <v>3</v>
      </c>
      <c r="C38" s="25" t="s">
        <v>366</v>
      </c>
      <c r="D38" s="25" t="s">
        <v>105</v>
      </c>
      <c r="E38" s="25" t="s">
        <v>362</v>
      </c>
      <c r="F38" s="25">
        <v>-25.5</v>
      </c>
      <c r="G38" s="25">
        <v>21</v>
      </c>
      <c r="H38" s="31" t="s">
        <v>360</v>
      </c>
      <c r="I38" s="25">
        <v>-4.5</v>
      </c>
    </row>
    <row r="39" spans="1:9" x14ac:dyDescent="0.25">
      <c r="A39" s="25" t="s">
        <v>119</v>
      </c>
      <c r="B39" s="25">
        <v>5</v>
      </c>
      <c r="C39" s="25" t="s">
        <v>161</v>
      </c>
      <c r="D39" s="25" t="s">
        <v>117</v>
      </c>
      <c r="E39" s="25" t="s">
        <v>358</v>
      </c>
      <c r="F39" s="25">
        <v>-17.2</v>
      </c>
      <c r="G39" s="25">
        <v>28</v>
      </c>
      <c r="H39" s="30" t="s">
        <v>359</v>
      </c>
      <c r="I39" s="25">
        <v>10.8</v>
      </c>
    </row>
    <row r="40" spans="1:9" x14ac:dyDescent="0.25">
      <c r="A40" s="25" t="s">
        <v>116</v>
      </c>
      <c r="B40" s="25">
        <v>1</v>
      </c>
      <c r="C40" s="25" t="s">
        <v>252</v>
      </c>
      <c r="D40" s="25" t="s">
        <v>87</v>
      </c>
      <c r="E40" s="25" t="s">
        <v>362</v>
      </c>
      <c r="F40" s="25">
        <v>31.8</v>
      </c>
      <c r="G40" s="25">
        <v>-40</v>
      </c>
      <c r="H40" s="31" t="s">
        <v>360</v>
      </c>
      <c r="I40" s="25">
        <v>-8.1999999999999993</v>
      </c>
    </row>
    <row r="41" spans="1:9" x14ac:dyDescent="0.25">
      <c r="A41" s="25" t="s">
        <v>116</v>
      </c>
      <c r="B41" s="25">
        <v>2</v>
      </c>
      <c r="C41" s="25" t="s">
        <v>273</v>
      </c>
      <c r="D41" s="25" t="s">
        <v>367</v>
      </c>
      <c r="E41" s="25" t="s">
        <v>358</v>
      </c>
      <c r="F41" s="25">
        <v>2.5</v>
      </c>
      <c r="G41" s="25">
        <v>-4</v>
      </c>
      <c r="H41" s="31" t="s">
        <v>360</v>
      </c>
      <c r="I41" s="25">
        <v>-1.5</v>
      </c>
    </row>
    <row r="42" spans="1:9" x14ac:dyDescent="0.25">
      <c r="A42" s="25" t="s">
        <v>116</v>
      </c>
      <c r="B42" s="25">
        <v>3</v>
      </c>
      <c r="C42" s="25" t="s">
        <v>366</v>
      </c>
      <c r="D42" s="25" t="s">
        <v>65</v>
      </c>
      <c r="E42" s="25" t="s">
        <v>362</v>
      </c>
      <c r="F42" s="25">
        <v>34.5</v>
      </c>
      <c r="G42" s="25">
        <v>-25</v>
      </c>
      <c r="H42" s="30" t="s">
        <v>359</v>
      </c>
      <c r="I42" s="25">
        <v>9.5</v>
      </c>
    </row>
    <row r="43" spans="1:9" x14ac:dyDescent="0.25">
      <c r="A43" s="25" t="s">
        <v>116</v>
      </c>
      <c r="B43" s="25">
        <v>4</v>
      </c>
      <c r="C43" s="25" t="s">
        <v>290</v>
      </c>
      <c r="D43" s="25" t="s">
        <v>190</v>
      </c>
      <c r="E43" s="25" t="s">
        <v>362</v>
      </c>
      <c r="F43" s="25">
        <v>8.8000000000000007</v>
      </c>
      <c r="G43" s="25">
        <v>-21</v>
      </c>
      <c r="H43" s="31" t="s">
        <v>360</v>
      </c>
      <c r="I43" s="25">
        <v>-12.2</v>
      </c>
    </row>
    <row r="44" spans="1:9" x14ac:dyDescent="0.25">
      <c r="A44" s="25" t="s">
        <v>118</v>
      </c>
      <c r="B44" s="25">
        <v>1</v>
      </c>
      <c r="C44" s="25" t="s">
        <v>240</v>
      </c>
      <c r="D44" s="25" t="s">
        <v>85</v>
      </c>
      <c r="E44" s="25" t="s">
        <v>362</v>
      </c>
      <c r="F44" s="25">
        <v>37.200000000000003</v>
      </c>
      <c r="G44" s="25">
        <v>-16</v>
      </c>
      <c r="H44" s="30" t="s">
        <v>359</v>
      </c>
      <c r="I44" s="25">
        <v>21.2</v>
      </c>
    </row>
    <row r="45" spans="1:9" x14ac:dyDescent="0.25">
      <c r="A45" s="25" t="s">
        <v>118</v>
      </c>
      <c r="B45" s="25">
        <v>1</v>
      </c>
      <c r="C45" s="25" t="s">
        <v>250</v>
      </c>
      <c r="D45" s="25" t="s">
        <v>103</v>
      </c>
      <c r="E45" s="25" t="s">
        <v>362</v>
      </c>
      <c r="F45" s="25">
        <v>1.5</v>
      </c>
      <c r="G45" s="25">
        <v>6</v>
      </c>
      <c r="H45" s="30" t="s">
        <v>359</v>
      </c>
      <c r="I45" s="25">
        <v>7.5</v>
      </c>
    </row>
    <row r="46" spans="1:9" x14ac:dyDescent="0.25">
      <c r="A46" s="25" t="s">
        <v>118</v>
      </c>
      <c r="B46" s="25">
        <v>2</v>
      </c>
      <c r="C46" s="25" t="s">
        <v>275</v>
      </c>
      <c r="D46" s="25" t="s">
        <v>368</v>
      </c>
      <c r="E46" s="25" t="s">
        <v>358</v>
      </c>
      <c r="F46" s="25">
        <v>-21.5</v>
      </c>
      <c r="G46" s="25">
        <v>10</v>
      </c>
      <c r="H46" s="31" t="s">
        <v>360</v>
      </c>
      <c r="I46" s="25">
        <v>-11.5</v>
      </c>
    </row>
    <row r="47" spans="1:9" x14ac:dyDescent="0.25">
      <c r="A47" s="25" t="s">
        <v>118</v>
      </c>
      <c r="B47" s="25">
        <v>3</v>
      </c>
      <c r="C47" s="25" t="s">
        <v>366</v>
      </c>
      <c r="D47" s="25" t="s">
        <v>129</v>
      </c>
      <c r="E47" s="25" t="s">
        <v>358</v>
      </c>
      <c r="F47" s="25">
        <v>4</v>
      </c>
      <c r="G47" s="25">
        <v>-16</v>
      </c>
      <c r="H47" s="31" t="s">
        <v>360</v>
      </c>
      <c r="I47" s="25">
        <v>-12</v>
      </c>
    </row>
    <row r="48" spans="1:9" x14ac:dyDescent="0.25">
      <c r="A48" s="25" t="s">
        <v>118</v>
      </c>
      <c r="B48" s="25">
        <v>5</v>
      </c>
      <c r="C48" s="25" t="s">
        <v>176</v>
      </c>
      <c r="D48" s="25" t="s">
        <v>69</v>
      </c>
      <c r="E48" s="25" t="s">
        <v>362</v>
      </c>
      <c r="F48" s="25">
        <v>2.8</v>
      </c>
      <c r="G48" s="25">
        <v>4</v>
      </c>
      <c r="H48" s="30" t="s">
        <v>359</v>
      </c>
      <c r="I48" s="25">
        <v>6.8</v>
      </c>
    </row>
    <row r="49" spans="1:9" x14ac:dyDescent="0.25">
      <c r="A49" s="25" t="s">
        <v>120</v>
      </c>
      <c r="B49" s="25">
        <v>1</v>
      </c>
      <c r="C49" s="25" t="s">
        <v>369</v>
      </c>
      <c r="D49" s="25" t="s">
        <v>50</v>
      </c>
      <c r="E49" s="25" t="s">
        <v>358</v>
      </c>
      <c r="F49" s="25">
        <v>-4.8</v>
      </c>
      <c r="G49" s="25">
        <v>-6</v>
      </c>
      <c r="H49" s="31" t="s">
        <v>360</v>
      </c>
      <c r="I49" s="25">
        <v>-10.8</v>
      </c>
    </row>
    <row r="50" spans="1:9" x14ac:dyDescent="0.25">
      <c r="A50" s="25" t="s">
        <v>120</v>
      </c>
      <c r="B50" s="25">
        <v>1</v>
      </c>
      <c r="C50" s="25" t="s">
        <v>259</v>
      </c>
      <c r="D50" s="25" t="s">
        <v>69</v>
      </c>
      <c r="E50" s="25" t="s">
        <v>362</v>
      </c>
      <c r="F50" s="25">
        <v>-2.8</v>
      </c>
      <c r="G50" s="25">
        <v>15</v>
      </c>
      <c r="H50" s="30" t="s">
        <v>359</v>
      </c>
      <c r="I50" s="25">
        <v>12.2</v>
      </c>
    </row>
    <row r="51" spans="1:9" x14ac:dyDescent="0.25">
      <c r="A51" s="25" t="s">
        <v>120</v>
      </c>
      <c r="B51" s="25">
        <v>2</v>
      </c>
      <c r="C51" s="25" t="s">
        <v>273</v>
      </c>
      <c r="D51" s="25" t="s">
        <v>54</v>
      </c>
      <c r="E51" s="25" t="s">
        <v>362</v>
      </c>
      <c r="F51" s="25">
        <v>-2.8</v>
      </c>
      <c r="G51" s="25">
        <v>-38</v>
      </c>
      <c r="H51" s="31" t="s">
        <v>360</v>
      </c>
      <c r="I51" s="25">
        <v>-40.799999999999997</v>
      </c>
    </row>
    <row r="52" spans="1:9" x14ac:dyDescent="0.25">
      <c r="A52" s="25" t="s">
        <v>120</v>
      </c>
      <c r="B52" s="25">
        <v>4</v>
      </c>
      <c r="C52" s="25" t="s">
        <v>290</v>
      </c>
      <c r="D52" s="25" t="s">
        <v>104</v>
      </c>
      <c r="E52" s="25" t="s">
        <v>362</v>
      </c>
      <c r="F52" s="25">
        <v>-13.5</v>
      </c>
      <c r="G52" s="25">
        <v>28</v>
      </c>
      <c r="H52" s="30" t="s">
        <v>359</v>
      </c>
      <c r="I52" s="25">
        <v>14.5</v>
      </c>
    </row>
    <row r="53" spans="1:9" x14ac:dyDescent="0.25">
      <c r="A53" s="25" t="s">
        <v>120</v>
      </c>
      <c r="B53" s="25">
        <v>5</v>
      </c>
      <c r="C53" s="25" t="s">
        <v>161</v>
      </c>
      <c r="D53" s="25" t="s">
        <v>32</v>
      </c>
      <c r="E53" s="25" t="s">
        <v>358</v>
      </c>
      <c r="F53" s="25">
        <v>-1.8</v>
      </c>
      <c r="G53" s="25">
        <v>8</v>
      </c>
      <c r="H53" s="30" t="s">
        <v>359</v>
      </c>
      <c r="I53" s="25">
        <v>6.2</v>
      </c>
    </row>
    <row r="54" spans="1:9" x14ac:dyDescent="0.25">
      <c r="A54" s="25" t="s">
        <v>122</v>
      </c>
      <c r="B54" s="25">
        <v>1</v>
      </c>
      <c r="C54" s="25" t="s">
        <v>252</v>
      </c>
      <c r="D54" s="25" t="s">
        <v>142</v>
      </c>
      <c r="E54" s="25" t="s">
        <v>362</v>
      </c>
      <c r="F54" s="25">
        <v>40.799999999999997</v>
      </c>
      <c r="G54" s="25">
        <v>-51</v>
      </c>
      <c r="H54" s="31" t="s">
        <v>360</v>
      </c>
      <c r="I54" s="25">
        <v>-10.199999999999999</v>
      </c>
    </row>
    <row r="55" spans="1:9" x14ac:dyDescent="0.25">
      <c r="A55" s="25" t="s">
        <v>122</v>
      </c>
      <c r="B55" s="25">
        <v>2</v>
      </c>
      <c r="C55" s="25" t="s">
        <v>275</v>
      </c>
      <c r="D55" s="25" t="s">
        <v>168</v>
      </c>
      <c r="E55" s="25" t="s">
        <v>358</v>
      </c>
      <c r="F55" s="25">
        <v>-27.2</v>
      </c>
      <c r="G55" s="25">
        <v>41</v>
      </c>
      <c r="H55" s="30" t="s">
        <v>359</v>
      </c>
      <c r="I55" s="25">
        <v>13.8</v>
      </c>
    </row>
    <row r="56" spans="1:9" x14ac:dyDescent="0.25">
      <c r="A56" s="25" t="s">
        <v>122</v>
      </c>
      <c r="B56" s="25">
        <v>3</v>
      </c>
      <c r="C56" s="25" t="s">
        <v>282</v>
      </c>
      <c r="D56" s="25" t="s">
        <v>179</v>
      </c>
      <c r="E56" s="25" t="s">
        <v>362</v>
      </c>
      <c r="F56" s="25">
        <v>34.5</v>
      </c>
      <c r="G56" s="25">
        <v>-35</v>
      </c>
      <c r="H56" s="31" t="s">
        <v>360</v>
      </c>
      <c r="I56" s="25">
        <v>-0.5</v>
      </c>
    </row>
    <row r="57" spans="1:9" x14ac:dyDescent="0.25">
      <c r="A57" s="25" t="s">
        <v>122</v>
      </c>
      <c r="B57" s="25">
        <v>4</v>
      </c>
      <c r="C57" s="25" t="s">
        <v>361</v>
      </c>
      <c r="D57" s="25" t="s">
        <v>125</v>
      </c>
      <c r="E57" s="25" t="s">
        <v>358</v>
      </c>
      <c r="F57" s="25">
        <v>11.5</v>
      </c>
      <c r="G57" s="25">
        <v>-26</v>
      </c>
      <c r="H57" s="31" t="s">
        <v>360</v>
      </c>
      <c r="I57" s="25">
        <v>-14.5</v>
      </c>
    </row>
    <row r="58" spans="1:9" x14ac:dyDescent="0.25">
      <c r="A58" s="25" t="s">
        <v>122</v>
      </c>
      <c r="B58" s="25">
        <v>5</v>
      </c>
      <c r="C58" s="25" t="s">
        <v>161</v>
      </c>
      <c r="D58" s="25" t="s">
        <v>183</v>
      </c>
      <c r="E58" s="25" t="s">
        <v>362</v>
      </c>
      <c r="F58" s="25">
        <v>23.2</v>
      </c>
      <c r="G58" s="25">
        <v>-54</v>
      </c>
      <c r="H58" s="31" t="s">
        <v>360</v>
      </c>
      <c r="I58" s="25">
        <v>-30.8</v>
      </c>
    </row>
    <row r="59" spans="1:9" x14ac:dyDescent="0.25">
      <c r="A59" s="25" t="s">
        <v>117</v>
      </c>
      <c r="B59" s="25">
        <v>1</v>
      </c>
      <c r="C59" s="25" t="s">
        <v>252</v>
      </c>
      <c r="D59" s="25" t="s">
        <v>184</v>
      </c>
      <c r="E59" s="25" t="s">
        <v>362</v>
      </c>
      <c r="F59" s="25">
        <v>2.8</v>
      </c>
      <c r="G59" s="25">
        <v>-22</v>
      </c>
      <c r="H59" s="31" t="s">
        <v>360</v>
      </c>
      <c r="I59" s="25">
        <v>-19.2</v>
      </c>
    </row>
    <row r="60" spans="1:9" x14ac:dyDescent="0.25">
      <c r="A60" s="25" t="s">
        <v>117</v>
      </c>
      <c r="B60" s="25">
        <v>2</v>
      </c>
      <c r="C60" s="25" t="s">
        <v>273</v>
      </c>
      <c r="D60" s="25" t="s">
        <v>370</v>
      </c>
      <c r="E60" s="25" t="s">
        <v>358</v>
      </c>
      <c r="F60" s="25">
        <v>-23.5</v>
      </c>
      <c r="G60" s="25">
        <v>8</v>
      </c>
      <c r="H60" s="31" t="s">
        <v>360</v>
      </c>
      <c r="I60" s="25">
        <v>-15.5</v>
      </c>
    </row>
    <row r="61" spans="1:9" x14ac:dyDescent="0.25">
      <c r="A61" s="25" t="s">
        <v>117</v>
      </c>
      <c r="B61" s="25">
        <v>3</v>
      </c>
      <c r="C61" s="25" t="s">
        <v>282</v>
      </c>
      <c r="D61" s="25" t="s">
        <v>109</v>
      </c>
      <c r="E61" s="25" t="s">
        <v>362</v>
      </c>
      <c r="F61" s="25">
        <v>-1.8</v>
      </c>
      <c r="G61" s="25">
        <v>-14</v>
      </c>
      <c r="H61" s="31" t="s">
        <v>360</v>
      </c>
      <c r="I61" s="25">
        <v>-15.8</v>
      </c>
    </row>
    <row r="62" spans="1:9" x14ac:dyDescent="0.25">
      <c r="A62" s="25" t="s">
        <v>117</v>
      </c>
      <c r="B62" s="25">
        <v>4</v>
      </c>
      <c r="C62" s="25" t="s">
        <v>290</v>
      </c>
      <c r="D62" s="25" t="s">
        <v>69</v>
      </c>
      <c r="E62" s="25" t="s">
        <v>358</v>
      </c>
      <c r="F62" s="25">
        <v>2.2000000000000002</v>
      </c>
      <c r="G62" s="25">
        <v>17</v>
      </c>
      <c r="H62" s="30" t="s">
        <v>359</v>
      </c>
      <c r="I62" s="25">
        <v>19.2</v>
      </c>
    </row>
    <row r="63" spans="1:9" x14ac:dyDescent="0.25">
      <c r="A63" s="25" t="s">
        <v>117</v>
      </c>
      <c r="B63" s="25">
        <v>5</v>
      </c>
      <c r="C63" s="25" t="s">
        <v>161</v>
      </c>
      <c r="D63" s="25" t="s">
        <v>119</v>
      </c>
      <c r="E63" s="25" t="s">
        <v>362</v>
      </c>
      <c r="F63" s="25">
        <v>17.2</v>
      </c>
      <c r="G63" s="25">
        <v>-28</v>
      </c>
      <c r="H63" s="31" t="s">
        <v>360</v>
      </c>
      <c r="I63" s="25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40"/>
  <sheetViews>
    <sheetView showGridLines="0" workbookViewId="0"/>
  </sheetViews>
  <sheetFormatPr defaultRowHeight="15" x14ac:dyDescent="0.25"/>
  <cols>
    <col min="1" max="1" width="22" customWidth="1"/>
    <col min="2" max="2" width="10" customWidth="1"/>
    <col min="3" max="3" width="8" customWidth="1"/>
    <col min="4" max="4" width="10" customWidth="1"/>
    <col min="5" max="5" width="11" customWidth="1"/>
    <col min="6" max="6" width="10" customWidth="1"/>
    <col min="7" max="7" width="18" customWidth="1"/>
  </cols>
  <sheetData>
    <row r="1" spans="1:7" ht="15.6" customHeight="1" x14ac:dyDescent="0.25">
      <c r="A1" s="24" t="s">
        <v>371</v>
      </c>
    </row>
    <row r="3" spans="1:7" x14ac:dyDescent="0.25">
      <c r="A3" s="27" t="s">
        <v>372</v>
      </c>
    </row>
    <row r="5" spans="1:7" ht="26.45" customHeight="1" x14ac:dyDescent="0.25">
      <c r="A5" s="29" t="s">
        <v>313</v>
      </c>
      <c r="B5" s="29" t="s">
        <v>373</v>
      </c>
      <c r="C5" s="29" t="s">
        <v>374</v>
      </c>
      <c r="D5" s="29" t="s">
        <v>375</v>
      </c>
      <c r="E5" s="29" t="s">
        <v>376</v>
      </c>
      <c r="F5" s="29" t="s">
        <v>377</v>
      </c>
      <c r="G5" s="29" t="s">
        <v>378</v>
      </c>
    </row>
    <row r="6" spans="1:7" x14ac:dyDescent="0.25">
      <c r="A6" s="25" t="s">
        <v>132</v>
      </c>
      <c r="B6" s="25" t="s">
        <v>379</v>
      </c>
      <c r="C6" s="25">
        <v>2.77</v>
      </c>
      <c r="D6" s="25">
        <v>1</v>
      </c>
      <c r="E6" s="25">
        <v>1780.3</v>
      </c>
      <c r="F6" s="25">
        <v>7</v>
      </c>
      <c r="G6" s="25">
        <v>6</v>
      </c>
    </row>
    <row r="7" spans="1:7" x14ac:dyDescent="0.25">
      <c r="A7" s="25" t="s">
        <v>141</v>
      </c>
      <c r="B7" s="25" t="s">
        <v>380</v>
      </c>
      <c r="C7" s="25">
        <v>2.69</v>
      </c>
      <c r="D7" s="25">
        <v>2</v>
      </c>
      <c r="E7" s="25">
        <v>1777.8</v>
      </c>
      <c r="F7" s="25">
        <v>8</v>
      </c>
      <c r="G7" s="25">
        <v>6</v>
      </c>
    </row>
    <row r="8" spans="1:7" x14ac:dyDescent="0.25">
      <c r="A8" s="25" t="s">
        <v>162</v>
      </c>
      <c r="B8" s="25" t="s">
        <v>380</v>
      </c>
      <c r="C8" s="25">
        <v>2.37</v>
      </c>
      <c r="D8" s="25">
        <v>3</v>
      </c>
      <c r="E8" s="25">
        <v>1809.5</v>
      </c>
      <c r="F8" s="25">
        <v>5</v>
      </c>
      <c r="G8" s="25">
        <v>2</v>
      </c>
    </row>
    <row r="9" spans="1:7" x14ac:dyDescent="0.25">
      <c r="A9" s="25" t="s">
        <v>102</v>
      </c>
      <c r="B9" s="25" t="s">
        <v>379</v>
      </c>
      <c r="C9" s="25">
        <v>2.2999999999999998</v>
      </c>
      <c r="D9" s="25">
        <v>4</v>
      </c>
      <c r="E9" s="25">
        <v>1816.6</v>
      </c>
      <c r="F9" s="25">
        <v>4</v>
      </c>
      <c r="G9" s="25">
        <v>0</v>
      </c>
    </row>
    <row r="10" spans="1:7" x14ac:dyDescent="0.25">
      <c r="A10" s="25" t="s">
        <v>131</v>
      </c>
      <c r="B10" s="25" t="s">
        <v>380</v>
      </c>
      <c r="C10" s="25">
        <v>2.2599999999999998</v>
      </c>
      <c r="D10" s="25">
        <v>5</v>
      </c>
      <c r="E10" s="25">
        <v>1829</v>
      </c>
      <c r="F10" s="25">
        <v>3</v>
      </c>
      <c r="G10" s="25">
        <v>-2</v>
      </c>
    </row>
    <row r="11" spans="1:7" x14ac:dyDescent="0.25">
      <c r="A11" s="25" t="s">
        <v>152</v>
      </c>
      <c r="B11" s="25" t="s">
        <v>380</v>
      </c>
      <c r="C11" s="25">
        <v>2.21</v>
      </c>
      <c r="D11" s="25">
        <v>6</v>
      </c>
      <c r="E11" s="25">
        <v>1771.1</v>
      </c>
      <c r="F11" s="25">
        <v>9</v>
      </c>
      <c r="G11" s="25">
        <v>3</v>
      </c>
    </row>
    <row r="12" spans="1:7" x14ac:dyDescent="0.25">
      <c r="A12" s="25" t="s">
        <v>85</v>
      </c>
      <c r="B12" s="25" t="s">
        <v>381</v>
      </c>
      <c r="C12" s="25">
        <v>2.2000000000000002</v>
      </c>
      <c r="D12" s="25">
        <v>7</v>
      </c>
      <c r="E12" s="25">
        <v>1684.4</v>
      </c>
      <c r="F12" s="25">
        <v>19</v>
      </c>
      <c r="G12" s="25">
        <v>12</v>
      </c>
    </row>
    <row r="13" spans="1:7" x14ac:dyDescent="0.25">
      <c r="A13" s="25" t="s">
        <v>76</v>
      </c>
      <c r="B13" s="25" t="s">
        <v>380</v>
      </c>
      <c r="C13" s="25">
        <v>2.0699999999999998</v>
      </c>
      <c r="D13" s="25">
        <v>8</v>
      </c>
      <c r="E13" s="25">
        <v>1846.9</v>
      </c>
      <c r="F13" s="25">
        <v>1</v>
      </c>
      <c r="G13" s="25">
        <v>-7</v>
      </c>
    </row>
    <row r="14" spans="1:7" x14ac:dyDescent="0.25">
      <c r="A14" s="25" t="s">
        <v>188</v>
      </c>
      <c r="B14" s="25" t="s">
        <v>382</v>
      </c>
      <c r="C14" s="25">
        <v>2.06</v>
      </c>
      <c r="D14" s="25">
        <v>9</v>
      </c>
      <c r="E14" s="25">
        <v>1553.8</v>
      </c>
      <c r="F14" s="25">
        <v>71</v>
      </c>
      <c r="G14" s="32">
        <v>62</v>
      </c>
    </row>
    <row r="15" spans="1:7" x14ac:dyDescent="0.25">
      <c r="A15" s="25" t="s">
        <v>83</v>
      </c>
      <c r="B15" s="25" t="s">
        <v>380</v>
      </c>
      <c r="C15" s="25">
        <v>1.98</v>
      </c>
      <c r="D15" s="25">
        <v>10</v>
      </c>
      <c r="E15" s="25">
        <v>1586.1</v>
      </c>
      <c r="F15" s="25">
        <v>57</v>
      </c>
      <c r="G15" s="32">
        <v>47</v>
      </c>
    </row>
    <row r="16" spans="1:7" x14ac:dyDescent="0.25">
      <c r="A16" s="25" t="s">
        <v>119</v>
      </c>
      <c r="B16" s="25" t="s">
        <v>380</v>
      </c>
      <c r="C16" s="25">
        <v>1.94</v>
      </c>
      <c r="D16" s="25">
        <v>11</v>
      </c>
      <c r="E16" s="25">
        <v>1766</v>
      </c>
      <c r="F16" s="25">
        <v>10</v>
      </c>
      <c r="G16" s="25">
        <v>-1</v>
      </c>
    </row>
    <row r="17" spans="1:7" x14ac:dyDescent="0.25">
      <c r="A17" s="25" t="s">
        <v>38</v>
      </c>
      <c r="B17" s="25" t="s">
        <v>380</v>
      </c>
      <c r="C17" s="25">
        <v>1.92</v>
      </c>
      <c r="D17" s="25">
        <v>12</v>
      </c>
      <c r="E17" s="25">
        <v>1645.2</v>
      </c>
      <c r="F17" s="25">
        <v>28</v>
      </c>
      <c r="G17" s="32">
        <v>16</v>
      </c>
    </row>
    <row r="18" spans="1:7" x14ac:dyDescent="0.25">
      <c r="A18" s="25" t="s">
        <v>60</v>
      </c>
      <c r="B18" s="25" t="s">
        <v>383</v>
      </c>
      <c r="C18" s="25">
        <v>1.86</v>
      </c>
      <c r="D18" s="25">
        <v>13</v>
      </c>
      <c r="E18" s="25">
        <v>1745.2</v>
      </c>
      <c r="F18" s="25">
        <v>13</v>
      </c>
      <c r="G18" s="25">
        <v>0</v>
      </c>
    </row>
    <row r="19" spans="1:7" x14ac:dyDescent="0.25">
      <c r="A19" s="25" t="s">
        <v>77</v>
      </c>
      <c r="B19" s="25" t="s">
        <v>380</v>
      </c>
      <c r="C19" s="25">
        <v>1.83</v>
      </c>
      <c r="D19" s="25">
        <v>14</v>
      </c>
      <c r="E19" s="25">
        <v>1634.9</v>
      </c>
      <c r="F19" s="25">
        <v>34</v>
      </c>
      <c r="G19" s="32">
        <v>20</v>
      </c>
    </row>
    <row r="20" spans="1:7" x14ac:dyDescent="0.25">
      <c r="A20" s="25" t="s">
        <v>172</v>
      </c>
      <c r="B20" s="25" t="s">
        <v>380</v>
      </c>
      <c r="C20" s="25">
        <v>1.79</v>
      </c>
      <c r="D20" s="25">
        <v>15</v>
      </c>
      <c r="E20" s="25">
        <v>1751.1</v>
      </c>
      <c r="F20" s="25">
        <v>11</v>
      </c>
      <c r="G20" s="25">
        <v>-4</v>
      </c>
    </row>
    <row r="21" spans="1:7" x14ac:dyDescent="0.25">
      <c r="A21" s="25" t="s">
        <v>82</v>
      </c>
      <c r="B21" s="25" t="s">
        <v>382</v>
      </c>
      <c r="C21" s="25">
        <v>1.78</v>
      </c>
      <c r="D21" s="25">
        <v>16</v>
      </c>
      <c r="E21" s="25">
        <v>1832.7</v>
      </c>
      <c r="F21" s="25">
        <v>2</v>
      </c>
      <c r="G21" s="25">
        <v>-14</v>
      </c>
    </row>
    <row r="22" spans="1:7" x14ac:dyDescent="0.25">
      <c r="A22" s="25" t="s">
        <v>35</v>
      </c>
      <c r="B22" s="25" t="s">
        <v>382</v>
      </c>
      <c r="C22" s="25">
        <v>1.69</v>
      </c>
      <c r="D22" s="25">
        <v>17</v>
      </c>
      <c r="E22" s="25">
        <v>1594.7</v>
      </c>
      <c r="F22" s="25">
        <v>54</v>
      </c>
      <c r="G22" s="32">
        <v>37</v>
      </c>
    </row>
    <row r="23" spans="1:7" x14ac:dyDescent="0.25">
      <c r="A23" s="25" t="s">
        <v>33</v>
      </c>
      <c r="B23" s="25" t="s">
        <v>383</v>
      </c>
      <c r="C23" s="25">
        <v>1.68</v>
      </c>
      <c r="D23" s="25">
        <v>18</v>
      </c>
      <c r="E23" s="25">
        <v>1686.3</v>
      </c>
      <c r="F23" s="25">
        <v>16</v>
      </c>
      <c r="G23" s="25">
        <v>-2</v>
      </c>
    </row>
    <row r="24" spans="1:7" x14ac:dyDescent="0.25">
      <c r="A24" s="25" t="s">
        <v>129</v>
      </c>
      <c r="B24" s="25" t="s">
        <v>382</v>
      </c>
      <c r="C24" s="25">
        <v>1.62</v>
      </c>
      <c r="D24" s="25">
        <v>19</v>
      </c>
      <c r="E24" s="25">
        <v>1637.3</v>
      </c>
      <c r="F24" s="25">
        <v>33</v>
      </c>
      <c r="G24" s="25">
        <v>14</v>
      </c>
    </row>
    <row r="25" spans="1:7" x14ac:dyDescent="0.25">
      <c r="A25" s="25" t="s">
        <v>138</v>
      </c>
      <c r="B25" s="25" t="s">
        <v>384</v>
      </c>
      <c r="C25" s="25">
        <v>1.61</v>
      </c>
      <c r="D25" s="25">
        <v>20</v>
      </c>
      <c r="E25" s="25">
        <v>1579.4</v>
      </c>
      <c r="F25" s="25">
        <v>61</v>
      </c>
      <c r="G25" s="32">
        <v>41</v>
      </c>
    </row>
    <row r="26" spans="1:7" x14ac:dyDescent="0.25">
      <c r="A26" s="25" t="s">
        <v>137</v>
      </c>
      <c r="B26" s="25" t="s">
        <v>384</v>
      </c>
      <c r="C26" s="25">
        <v>1.57</v>
      </c>
      <c r="D26" s="25">
        <v>21</v>
      </c>
      <c r="E26" s="25">
        <v>1678.8</v>
      </c>
      <c r="F26" s="25">
        <v>21</v>
      </c>
      <c r="G26" s="25">
        <v>0</v>
      </c>
    </row>
    <row r="27" spans="1:7" x14ac:dyDescent="0.25">
      <c r="A27" s="25" t="s">
        <v>128</v>
      </c>
      <c r="B27" s="25" t="s">
        <v>384</v>
      </c>
      <c r="C27" s="25">
        <v>1.56</v>
      </c>
      <c r="D27" s="25">
        <v>22</v>
      </c>
      <c r="E27" s="25">
        <v>1682.8</v>
      </c>
      <c r="F27" s="25">
        <v>20</v>
      </c>
      <c r="G27" s="25">
        <v>-2</v>
      </c>
    </row>
    <row r="28" spans="1:7" x14ac:dyDescent="0.25">
      <c r="A28" s="25" t="s">
        <v>136</v>
      </c>
      <c r="B28" s="25" t="s">
        <v>384</v>
      </c>
      <c r="C28" s="25">
        <v>1.5</v>
      </c>
      <c r="D28" s="25">
        <v>23</v>
      </c>
      <c r="E28" s="25">
        <v>1611.8</v>
      </c>
      <c r="F28" s="25">
        <v>44</v>
      </c>
      <c r="G28" s="32">
        <v>21</v>
      </c>
    </row>
    <row r="29" spans="1:7" x14ac:dyDescent="0.25">
      <c r="A29" s="25" t="s">
        <v>72</v>
      </c>
      <c r="B29" s="25" t="s">
        <v>383</v>
      </c>
      <c r="C29" s="25">
        <v>1.5</v>
      </c>
      <c r="D29" s="25">
        <v>24</v>
      </c>
      <c r="E29" s="25">
        <v>1749.4</v>
      </c>
      <c r="F29" s="25">
        <v>12</v>
      </c>
      <c r="G29" s="25">
        <v>-12</v>
      </c>
    </row>
    <row r="30" spans="1:7" x14ac:dyDescent="0.25">
      <c r="A30" s="25" t="s">
        <v>87</v>
      </c>
      <c r="B30" s="25" t="s">
        <v>384</v>
      </c>
      <c r="C30" s="25">
        <v>1.49</v>
      </c>
      <c r="D30" s="25">
        <v>25</v>
      </c>
      <c r="E30" s="25">
        <v>1685</v>
      </c>
      <c r="F30" s="25">
        <v>18</v>
      </c>
      <c r="G30" s="25">
        <v>-7</v>
      </c>
    </row>
    <row r="31" spans="1:7" x14ac:dyDescent="0.25">
      <c r="A31" s="25" t="s">
        <v>140</v>
      </c>
      <c r="B31" s="25" t="s">
        <v>384</v>
      </c>
      <c r="C31" s="25">
        <v>1.41</v>
      </c>
      <c r="D31" s="25">
        <v>26</v>
      </c>
      <c r="E31" s="25">
        <v>1669.5</v>
      </c>
      <c r="F31" s="25">
        <v>22</v>
      </c>
      <c r="G31" s="25">
        <v>-4</v>
      </c>
    </row>
    <row r="32" spans="1:7" x14ac:dyDescent="0.25">
      <c r="A32" s="25" t="s">
        <v>31</v>
      </c>
      <c r="B32" s="25" t="s">
        <v>384</v>
      </c>
      <c r="C32" s="25">
        <v>1.37</v>
      </c>
      <c r="D32" s="25">
        <v>27</v>
      </c>
      <c r="E32" s="25">
        <v>1554.7</v>
      </c>
      <c r="F32" s="25">
        <v>70</v>
      </c>
      <c r="G32" s="32">
        <v>43</v>
      </c>
    </row>
    <row r="33" spans="1:7" x14ac:dyDescent="0.25">
      <c r="A33" s="25" t="s">
        <v>133</v>
      </c>
      <c r="B33" s="25" t="s">
        <v>384</v>
      </c>
      <c r="C33" s="25">
        <v>1.34</v>
      </c>
      <c r="D33" s="25">
        <v>28</v>
      </c>
      <c r="E33" s="25">
        <v>1685.4</v>
      </c>
      <c r="F33" s="25">
        <v>17</v>
      </c>
      <c r="G33" s="25">
        <v>-11</v>
      </c>
    </row>
    <row r="34" spans="1:7" x14ac:dyDescent="0.25">
      <c r="A34" s="25" t="s">
        <v>180</v>
      </c>
      <c r="B34" s="25" t="s">
        <v>384</v>
      </c>
      <c r="C34" s="25">
        <v>1.33</v>
      </c>
      <c r="D34" s="25">
        <v>29</v>
      </c>
      <c r="E34" s="25">
        <v>1570.7</v>
      </c>
      <c r="F34" s="25">
        <v>65</v>
      </c>
      <c r="G34" s="32">
        <v>36</v>
      </c>
    </row>
    <row r="35" spans="1:7" x14ac:dyDescent="0.25">
      <c r="A35" s="25" t="s">
        <v>44</v>
      </c>
      <c r="B35" s="25" t="s">
        <v>384</v>
      </c>
      <c r="C35" s="25">
        <v>1.32</v>
      </c>
      <c r="D35" s="25">
        <v>30</v>
      </c>
      <c r="E35" s="25">
        <v>1621.1</v>
      </c>
      <c r="F35" s="25">
        <v>38</v>
      </c>
      <c r="G35" s="25">
        <v>8</v>
      </c>
    </row>
    <row r="36" spans="1:7" x14ac:dyDescent="0.25">
      <c r="A36" s="25" t="s">
        <v>65</v>
      </c>
      <c r="B36" s="25" t="s">
        <v>384</v>
      </c>
      <c r="C36" s="25">
        <v>1.28</v>
      </c>
      <c r="D36" s="25">
        <v>31</v>
      </c>
      <c r="E36" s="25">
        <v>1666.7</v>
      </c>
      <c r="F36" s="25">
        <v>23</v>
      </c>
      <c r="G36" s="25">
        <v>-8</v>
      </c>
    </row>
    <row r="37" spans="1:7" x14ac:dyDescent="0.25">
      <c r="A37" s="25" t="s">
        <v>98</v>
      </c>
      <c r="B37" s="25" t="s">
        <v>384</v>
      </c>
      <c r="C37" s="25">
        <v>1.25</v>
      </c>
      <c r="D37" s="25">
        <v>32</v>
      </c>
      <c r="E37" s="25">
        <v>1562.1</v>
      </c>
      <c r="F37" s="25">
        <v>67</v>
      </c>
      <c r="G37" s="32">
        <v>35</v>
      </c>
    </row>
    <row r="38" spans="1:7" x14ac:dyDescent="0.25">
      <c r="A38" s="25" t="s">
        <v>143</v>
      </c>
      <c r="B38" s="25" t="s">
        <v>384</v>
      </c>
      <c r="C38" s="25">
        <v>1.23</v>
      </c>
      <c r="D38" s="25">
        <v>33</v>
      </c>
      <c r="E38" s="25">
        <v>1734.2</v>
      </c>
      <c r="F38" s="25">
        <v>14</v>
      </c>
      <c r="G38" s="25">
        <v>-19</v>
      </c>
    </row>
    <row r="39" spans="1:7" x14ac:dyDescent="0.25">
      <c r="A39" s="25" t="s">
        <v>61</v>
      </c>
      <c r="B39" s="25" t="s">
        <v>384</v>
      </c>
      <c r="C39" s="25">
        <v>1.2</v>
      </c>
      <c r="D39" s="25">
        <v>34</v>
      </c>
      <c r="E39" s="25">
        <v>1634.3</v>
      </c>
      <c r="F39" s="25">
        <v>35</v>
      </c>
      <c r="G39" s="25">
        <v>1</v>
      </c>
    </row>
    <row r="40" spans="1:7" x14ac:dyDescent="0.25">
      <c r="A40" s="25" t="s">
        <v>177</v>
      </c>
      <c r="B40" s="25" t="s">
        <v>384</v>
      </c>
      <c r="C40" s="25">
        <v>1.2</v>
      </c>
      <c r="D40" s="25">
        <v>35</v>
      </c>
      <c r="E40" s="25">
        <v>1571.5</v>
      </c>
      <c r="F40" s="25">
        <v>64</v>
      </c>
      <c r="G40" s="32">
        <v>29</v>
      </c>
    </row>
    <row r="41" spans="1:7" x14ac:dyDescent="0.25">
      <c r="A41" s="25" t="s">
        <v>50</v>
      </c>
      <c r="B41" s="25" t="s">
        <v>384</v>
      </c>
      <c r="C41" s="25">
        <v>1.1599999999999999</v>
      </c>
      <c r="D41" s="25">
        <v>36</v>
      </c>
      <c r="E41" s="25">
        <v>1619.5</v>
      </c>
      <c r="F41" s="25">
        <v>40</v>
      </c>
      <c r="G41" s="25">
        <v>4</v>
      </c>
    </row>
    <row r="42" spans="1:7" x14ac:dyDescent="0.25">
      <c r="A42" s="25" t="s">
        <v>89</v>
      </c>
      <c r="B42" s="25" t="s">
        <v>384</v>
      </c>
      <c r="C42" s="25">
        <v>1.1599999999999999</v>
      </c>
      <c r="D42" s="25">
        <v>37</v>
      </c>
      <c r="E42" s="25">
        <v>1616.2</v>
      </c>
      <c r="F42" s="25">
        <v>42</v>
      </c>
      <c r="G42" s="25">
        <v>5</v>
      </c>
    </row>
    <row r="43" spans="1:7" x14ac:dyDescent="0.25">
      <c r="A43" s="25" t="s">
        <v>178</v>
      </c>
      <c r="B43" s="25" t="s">
        <v>384</v>
      </c>
      <c r="C43" s="25">
        <v>1.08</v>
      </c>
      <c r="D43" s="25">
        <v>38</v>
      </c>
      <c r="E43" s="25">
        <v>1610.2</v>
      </c>
      <c r="F43" s="25">
        <v>46</v>
      </c>
      <c r="G43" s="25">
        <v>8</v>
      </c>
    </row>
    <row r="44" spans="1:7" x14ac:dyDescent="0.25">
      <c r="A44" s="25" t="s">
        <v>166</v>
      </c>
      <c r="B44" s="25" t="s">
        <v>384</v>
      </c>
      <c r="C44" s="25">
        <v>1.07</v>
      </c>
      <c r="D44" s="25">
        <v>39</v>
      </c>
      <c r="E44" s="25">
        <v>1696.3</v>
      </c>
      <c r="F44" s="25">
        <v>15</v>
      </c>
      <c r="G44" s="25">
        <v>-24</v>
      </c>
    </row>
    <row r="45" spans="1:7" x14ac:dyDescent="0.25">
      <c r="A45" s="25" t="s">
        <v>169</v>
      </c>
      <c r="B45" s="25" t="s">
        <v>384</v>
      </c>
      <c r="C45" s="25">
        <v>1.01</v>
      </c>
      <c r="D45" s="25">
        <v>40</v>
      </c>
      <c r="E45" s="25">
        <v>1496.7</v>
      </c>
      <c r="F45" s="25">
        <v>92</v>
      </c>
      <c r="G45" s="32">
        <v>52</v>
      </c>
    </row>
    <row r="46" spans="1:7" x14ac:dyDescent="0.25">
      <c r="A46" s="25" t="s">
        <v>190</v>
      </c>
      <c r="B46" s="25" t="s">
        <v>384</v>
      </c>
      <c r="C46" s="25">
        <v>1</v>
      </c>
      <c r="D46" s="25">
        <v>41</v>
      </c>
      <c r="E46" s="25">
        <v>1480</v>
      </c>
      <c r="F46" s="25">
        <v>105</v>
      </c>
      <c r="G46" s="32">
        <v>64</v>
      </c>
    </row>
    <row r="47" spans="1:7" x14ac:dyDescent="0.25">
      <c r="A47" s="25" t="s">
        <v>80</v>
      </c>
      <c r="B47" s="25" t="s">
        <v>385</v>
      </c>
      <c r="C47" s="25">
        <v>0.99</v>
      </c>
      <c r="D47" s="25">
        <v>42</v>
      </c>
      <c r="E47" s="25">
        <v>1608.9</v>
      </c>
      <c r="F47" s="25">
        <v>48</v>
      </c>
      <c r="G47" s="25">
        <v>6</v>
      </c>
    </row>
    <row r="48" spans="1:7" x14ac:dyDescent="0.25">
      <c r="A48" s="25" t="s">
        <v>163</v>
      </c>
      <c r="B48" s="25" t="s">
        <v>386</v>
      </c>
      <c r="C48" s="25">
        <v>0.99</v>
      </c>
      <c r="D48" s="25">
        <v>43</v>
      </c>
      <c r="E48" s="25">
        <v>1620.6</v>
      </c>
      <c r="F48" s="25">
        <v>39</v>
      </c>
      <c r="G48" s="25">
        <v>-4</v>
      </c>
    </row>
    <row r="49" spans="1:7" x14ac:dyDescent="0.25">
      <c r="A49" s="25" t="s">
        <v>64</v>
      </c>
      <c r="B49" s="25" t="s">
        <v>385</v>
      </c>
      <c r="C49" s="25">
        <v>0.87</v>
      </c>
      <c r="D49" s="25">
        <v>44</v>
      </c>
      <c r="E49" s="25">
        <v>1456.2</v>
      </c>
      <c r="F49" s="25">
        <v>121</v>
      </c>
      <c r="G49" s="32">
        <v>77</v>
      </c>
    </row>
    <row r="50" spans="1:7" x14ac:dyDescent="0.25">
      <c r="A50" s="25" t="s">
        <v>43</v>
      </c>
      <c r="B50" s="25" t="s">
        <v>384</v>
      </c>
      <c r="C50" s="25">
        <v>0.86</v>
      </c>
      <c r="D50" s="25">
        <v>45</v>
      </c>
      <c r="E50" s="25">
        <v>1621.9</v>
      </c>
      <c r="F50" s="25">
        <v>37</v>
      </c>
      <c r="G50" s="25">
        <v>-8</v>
      </c>
    </row>
    <row r="51" spans="1:7" x14ac:dyDescent="0.25">
      <c r="A51" s="25" t="s">
        <v>189</v>
      </c>
      <c r="B51" s="25" t="s">
        <v>386</v>
      </c>
      <c r="C51" s="25">
        <v>0.85</v>
      </c>
      <c r="D51" s="25">
        <v>46</v>
      </c>
      <c r="E51" s="25">
        <v>1546.9</v>
      </c>
      <c r="F51" s="25">
        <v>73</v>
      </c>
      <c r="G51" s="32">
        <v>27</v>
      </c>
    </row>
    <row r="52" spans="1:7" x14ac:dyDescent="0.25">
      <c r="A52" s="25" t="s">
        <v>154</v>
      </c>
      <c r="B52" s="25" t="s">
        <v>384</v>
      </c>
      <c r="C52" s="25">
        <v>0.83</v>
      </c>
      <c r="D52" s="25">
        <v>47</v>
      </c>
      <c r="E52" s="25">
        <v>1562.2</v>
      </c>
      <c r="F52" s="25">
        <v>66</v>
      </c>
      <c r="G52" s="32">
        <v>19</v>
      </c>
    </row>
    <row r="53" spans="1:7" x14ac:dyDescent="0.25">
      <c r="A53" s="25" t="s">
        <v>179</v>
      </c>
      <c r="B53" s="25" t="s">
        <v>386</v>
      </c>
      <c r="C53" s="25">
        <v>0.83</v>
      </c>
      <c r="D53" s="25">
        <v>48</v>
      </c>
      <c r="E53" s="25">
        <v>1649.4</v>
      </c>
      <c r="F53" s="25">
        <v>27</v>
      </c>
      <c r="G53" s="25">
        <v>-21</v>
      </c>
    </row>
    <row r="54" spans="1:7" x14ac:dyDescent="0.25">
      <c r="A54" s="25" t="s">
        <v>183</v>
      </c>
      <c r="B54" s="25" t="s">
        <v>384</v>
      </c>
      <c r="C54" s="25">
        <v>0.8</v>
      </c>
      <c r="D54" s="25">
        <v>49</v>
      </c>
      <c r="E54" s="25">
        <v>1607</v>
      </c>
      <c r="F54" s="25">
        <v>49</v>
      </c>
      <c r="G54" s="25">
        <v>0</v>
      </c>
    </row>
    <row r="55" spans="1:7" x14ac:dyDescent="0.25">
      <c r="A55" s="25" t="s">
        <v>84</v>
      </c>
      <c r="B55" s="25" t="s">
        <v>385</v>
      </c>
      <c r="C55" s="25">
        <v>0.77</v>
      </c>
      <c r="D55" s="25">
        <v>50</v>
      </c>
      <c r="E55" s="25">
        <v>1784.7</v>
      </c>
      <c r="F55" s="25">
        <v>6</v>
      </c>
      <c r="G55" s="25">
        <v>-44</v>
      </c>
    </row>
    <row r="56" spans="1:7" x14ac:dyDescent="0.25">
      <c r="A56" s="25" t="s">
        <v>62</v>
      </c>
      <c r="B56" s="25" t="s">
        <v>385</v>
      </c>
      <c r="C56" s="25">
        <v>0.75</v>
      </c>
      <c r="D56" s="25">
        <v>51</v>
      </c>
      <c r="E56" s="25">
        <v>1641.9</v>
      </c>
      <c r="F56" s="25">
        <v>31</v>
      </c>
      <c r="G56" s="25">
        <v>-20</v>
      </c>
    </row>
    <row r="57" spans="1:7" x14ac:dyDescent="0.25">
      <c r="A57" s="25" t="s">
        <v>115</v>
      </c>
      <c r="B57" s="25" t="s">
        <v>385</v>
      </c>
      <c r="C57" s="25">
        <v>0.72</v>
      </c>
      <c r="D57" s="25">
        <v>52</v>
      </c>
      <c r="E57" s="25">
        <v>1521.6</v>
      </c>
      <c r="F57" s="25">
        <v>79</v>
      </c>
      <c r="G57" s="32">
        <v>27</v>
      </c>
    </row>
    <row r="58" spans="1:7" x14ac:dyDescent="0.25">
      <c r="A58" s="25" t="s">
        <v>120</v>
      </c>
      <c r="B58" s="25" t="s">
        <v>386</v>
      </c>
      <c r="C58" s="25">
        <v>0.72</v>
      </c>
      <c r="D58" s="25">
        <v>53</v>
      </c>
      <c r="E58" s="25">
        <v>1616.4</v>
      </c>
      <c r="F58" s="25">
        <v>41</v>
      </c>
      <c r="G58" s="25">
        <v>-12</v>
      </c>
    </row>
    <row r="59" spans="1:7" x14ac:dyDescent="0.25">
      <c r="A59" s="25" t="s">
        <v>112</v>
      </c>
      <c r="B59" s="25" t="s">
        <v>384</v>
      </c>
      <c r="C59" s="25">
        <v>0.69</v>
      </c>
      <c r="D59" s="25">
        <v>54</v>
      </c>
      <c r="E59" s="25">
        <v>1614.6</v>
      </c>
      <c r="F59" s="25">
        <v>43</v>
      </c>
      <c r="G59" s="25">
        <v>-11</v>
      </c>
    </row>
    <row r="60" spans="1:7" x14ac:dyDescent="0.25">
      <c r="A60" s="25" t="s">
        <v>54</v>
      </c>
      <c r="B60" s="25" t="s">
        <v>387</v>
      </c>
      <c r="C60" s="25">
        <v>0.6</v>
      </c>
      <c r="D60" s="25">
        <v>55</v>
      </c>
      <c r="E60" s="25">
        <v>1625.5</v>
      </c>
      <c r="F60" s="25">
        <v>36</v>
      </c>
      <c r="G60" s="25">
        <v>-19</v>
      </c>
    </row>
    <row r="61" spans="1:7" x14ac:dyDescent="0.25">
      <c r="A61" s="25" t="s">
        <v>151</v>
      </c>
      <c r="B61" s="25" t="s">
        <v>385</v>
      </c>
      <c r="C61" s="25">
        <v>0.57999999999999996</v>
      </c>
      <c r="D61" s="25">
        <v>56</v>
      </c>
      <c r="E61" s="25">
        <v>1505.1</v>
      </c>
      <c r="F61" s="25">
        <v>89</v>
      </c>
      <c r="G61" s="32">
        <v>33</v>
      </c>
    </row>
    <row r="62" spans="1:7" x14ac:dyDescent="0.25">
      <c r="A62" s="25" t="s">
        <v>36</v>
      </c>
      <c r="B62" s="25" t="s">
        <v>387</v>
      </c>
      <c r="C62" s="25">
        <v>0.57999999999999996</v>
      </c>
      <c r="D62" s="25">
        <v>57</v>
      </c>
      <c r="E62" s="25">
        <v>1606.4</v>
      </c>
      <c r="F62" s="25">
        <v>50</v>
      </c>
      <c r="G62" s="25">
        <v>-7</v>
      </c>
    </row>
    <row r="63" spans="1:7" x14ac:dyDescent="0.25">
      <c r="A63" s="25" t="s">
        <v>388</v>
      </c>
      <c r="B63" s="25" t="s">
        <v>389</v>
      </c>
      <c r="C63" s="25">
        <v>0.56999999999999995</v>
      </c>
      <c r="D63" s="25">
        <v>58</v>
      </c>
      <c r="E63" s="25">
        <v>1459.7</v>
      </c>
      <c r="F63" s="25">
        <v>116</v>
      </c>
      <c r="G63" s="32">
        <v>58</v>
      </c>
    </row>
    <row r="64" spans="1:7" x14ac:dyDescent="0.25">
      <c r="A64" s="25" t="s">
        <v>139</v>
      </c>
      <c r="B64" s="25" t="s">
        <v>386</v>
      </c>
      <c r="C64" s="25">
        <v>0.52</v>
      </c>
      <c r="D64" s="25">
        <v>59</v>
      </c>
      <c r="E64" s="25">
        <v>1653.6</v>
      </c>
      <c r="F64" s="25">
        <v>26</v>
      </c>
      <c r="G64" s="25">
        <v>-33</v>
      </c>
    </row>
    <row r="65" spans="1:7" x14ac:dyDescent="0.25">
      <c r="A65" s="25" t="s">
        <v>363</v>
      </c>
      <c r="B65" s="25" t="s">
        <v>389</v>
      </c>
      <c r="C65" s="25">
        <v>0.51</v>
      </c>
      <c r="D65" s="25">
        <v>60</v>
      </c>
      <c r="E65" s="25">
        <v>1505.4</v>
      </c>
      <c r="F65" s="25">
        <v>88</v>
      </c>
      <c r="G65" s="32">
        <v>28</v>
      </c>
    </row>
    <row r="66" spans="1:7" x14ac:dyDescent="0.25">
      <c r="A66" s="25" t="s">
        <v>390</v>
      </c>
      <c r="B66" s="25" t="s">
        <v>389</v>
      </c>
      <c r="C66" s="25">
        <v>0.5</v>
      </c>
      <c r="D66" s="25">
        <v>61</v>
      </c>
      <c r="E66" s="25">
        <v>1505.7</v>
      </c>
      <c r="F66" s="25">
        <v>87</v>
      </c>
      <c r="G66" s="32">
        <v>26</v>
      </c>
    </row>
    <row r="67" spans="1:7" x14ac:dyDescent="0.25">
      <c r="A67" s="25" t="s">
        <v>157</v>
      </c>
      <c r="B67" s="25" t="s">
        <v>387</v>
      </c>
      <c r="C67" s="25">
        <v>0.5</v>
      </c>
      <c r="D67" s="25">
        <v>62</v>
      </c>
      <c r="E67" s="25">
        <v>1547.4</v>
      </c>
      <c r="F67" s="25">
        <v>72</v>
      </c>
      <c r="G67" s="25">
        <v>10</v>
      </c>
    </row>
    <row r="68" spans="1:7" x14ac:dyDescent="0.25">
      <c r="A68" s="25" t="s">
        <v>86</v>
      </c>
      <c r="B68" s="25" t="s">
        <v>386</v>
      </c>
      <c r="C68" s="25">
        <v>0.49</v>
      </c>
      <c r="D68" s="25">
        <v>63</v>
      </c>
      <c r="E68" s="25">
        <v>1662.8</v>
      </c>
      <c r="F68" s="25">
        <v>24</v>
      </c>
      <c r="G68" s="25">
        <v>-39</v>
      </c>
    </row>
    <row r="69" spans="1:7" x14ac:dyDescent="0.25">
      <c r="A69" s="25" t="s">
        <v>144</v>
      </c>
      <c r="B69" s="25" t="s">
        <v>387</v>
      </c>
      <c r="C69" s="25">
        <v>0.49</v>
      </c>
      <c r="D69" s="25">
        <v>64</v>
      </c>
      <c r="E69" s="25">
        <v>1643.6</v>
      </c>
      <c r="F69" s="25">
        <v>30</v>
      </c>
      <c r="G69" s="25">
        <v>-34</v>
      </c>
    </row>
    <row r="70" spans="1:7" x14ac:dyDescent="0.25">
      <c r="A70" s="25" t="s">
        <v>367</v>
      </c>
      <c r="B70" s="25" t="s">
        <v>389</v>
      </c>
      <c r="C70" s="25">
        <v>0.47</v>
      </c>
      <c r="D70" s="25">
        <v>65</v>
      </c>
      <c r="E70" s="25">
        <v>1460.9</v>
      </c>
      <c r="F70" s="25">
        <v>115</v>
      </c>
      <c r="G70" s="32">
        <v>50</v>
      </c>
    </row>
    <row r="71" spans="1:7" x14ac:dyDescent="0.25">
      <c r="A71" s="25" t="s">
        <v>108</v>
      </c>
      <c r="B71" s="25" t="s">
        <v>385</v>
      </c>
      <c r="C71" s="25">
        <v>0.44</v>
      </c>
      <c r="D71" s="25">
        <v>66</v>
      </c>
      <c r="E71" s="25">
        <v>1378.5</v>
      </c>
      <c r="F71" s="25">
        <v>240</v>
      </c>
      <c r="G71" s="32">
        <v>174</v>
      </c>
    </row>
    <row r="72" spans="1:7" x14ac:dyDescent="0.25">
      <c r="A72" s="25" t="s">
        <v>142</v>
      </c>
      <c r="B72" s="25" t="s">
        <v>387</v>
      </c>
      <c r="C72" s="25">
        <v>0.43</v>
      </c>
      <c r="D72" s="25">
        <v>67</v>
      </c>
      <c r="E72" s="25">
        <v>1640</v>
      </c>
      <c r="F72" s="25">
        <v>32</v>
      </c>
      <c r="G72" s="25">
        <v>-35</v>
      </c>
    </row>
    <row r="73" spans="1:7" x14ac:dyDescent="0.25">
      <c r="A73" s="25" t="s">
        <v>114</v>
      </c>
      <c r="B73" s="25" t="s">
        <v>387</v>
      </c>
      <c r="C73" s="25">
        <v>0.41</v>
      </c>
      <c r="D73" s="25">
        <v>68</v>
      </c>
      <c r="E73" s="25">
        <v>1590.8</v>
      </c>
      <c r="F73" s="25">
        <v>56</v>
      </c>
      <c r="G73" s="25">
        <v>-12</v>
      </c>
    </row>
    <row r="74" spans="1:7" x14ac:dyDescent="0.25">
      <c r="A74" s="25" t="s">
        <v>63</v>
      </c>
      <c r="B74" s="25" t="s">
        <v>387</v>
      </c>
      <c r="C74" s="25">
        <v>0.4</v>
      </c>
      <c r="D74" s="25">
        <v>69</v>
      </c>
      <c r="E74" s="25">
        <v>1528.5</v>
      </c>
      <c r="F74" s="25">
        <v>77</v>
      </c>
      <c r="G74" s="25">
        <v>8</v>
      </c>
    </row>
    <row r="75" spans="1:7" x14ac:dyDescent="0.25">
      <c r="A75" s="25" t="s">
        <v>28</v>
      </c>
      <c r="B75" s="25" t="s">
        <v>387</v>
      </c>
      <c r="C75" s="25">
        <v>0.38</v>
      </c>
      <c r="D75" s="25">
        <v>70</v>
      </c>
      <c r="E75" s="25">
        <v>1556.9</v>
      </c>
      <c r="F75" s="25">
        <v>69</v>
      </c>
      <c r="G75" s="25">
        <v>-1</v>
      </c>
    </row>
    <row r="76" spans="1:7" x14ac:dyDescent="0.25">
      <c r="A76" s="25" t="s">
        <v>118</v>
      </c>
      <c r="B76" s="25" t="s">
        <v>387</v>
      </c>
      <c r="C76" s="25">
        <v>0.37</v>
      </c>
      <c r="D76" s="25">
        <v>71</v>
      </c>
      <c r="E76" s="25">
        <v>1448.8</v>
      </c>
      <c r="F76" s="25">
        <v>130</v>
      </c>
      <c r="G76" s="32">
        <v>59</v>
      </c>
    </row>
    <row r="77" spans="1:7" x14ac:dyDescent="0.25">
      <c r="A77" s="25" t="s">
        <v>391</v>
      </c>
      <c r="B77" s="25" t="s">
        <v>389</v>
      </c>
      <c r="C77" s="25">
        <v>0.34</v>
      </c>
      <c r="D77" s="25">
        <v>72</v>
      </c>
      <c r="E77" s="25">
        <v>1459.6</v>
      </c>
      <c r="F77" s="25">
        <v>117</v>
      </c>
      <c r="G77" s="32">
        <v>45</v>
      </c>
    </row>
    <row r="78" spans="1:7" x14ac:dyDescent="0.25">
      <c r="A78" s="25" t="s">
        <v>125</v>
      </c>
      <c r="B78" s="25" t="s">
        <v>387</v>
      </c>
      <c r="C78" s="25">
        <v>0.3</v>
      </c>
      <c r="D78" s="25">
        <v>73</v>
      </c>
      <c r="E78" s="25">
        <v>1493.9</v>
      </c>
      <c r="F78" s="25">
        <v>94</v>
      </c>
      <c r="G78" s="32">
        <v>21</v>
      </c>
    </row>
    <row r="79" spans="1:7" x14ac:dyDescent="0.25">
      <c r="A79" s="25" t="s">
        <v>95</v>
      </c>
      <c r="B79" s="25" t="s">
        <v>387</v>
      </c>
      <c r="C79" s="25">
        <v>0.28999999999999998</v>
      </c>
      <c r="D79" s="25">
        <v>74</v>
      </c>
      <c r="E79" s="25">
        <v>1579.4</v>
      </c>
      <c r="F79" s="25">
        <v>60</v>
      </c>
      <c r="G79" s="25">
        <v>-14</v>
      </c>
    </row>
    <row r="80" spans="1:7" x14ac:dyDescent="0.25">
      <c r="A80" s="25" t="s">
        <v>37</v>
      </c>
      <c r="B80" s="25" t="s">
        <v>392</v>
      </c>
      <c r="C80" s="25">
        <v>0.23</v>
      </c>
      <c r="D80" s="25">
        <v>75</v>
      </c>
      <c r="E80" s="25">
        <v>1494.2</v>
      </c>
      <c r="F80" s="25">
        <v>93</v>
      </c>
      <c r="G80" s="32">
        <v>18</v>
      </c>
    </row>
    <row r="81" spans="1:7" x14ac:dyDescent="0.25">
      <c r="A81" s="25" t="s">
        <v>59</v>
      </c>
      <c r="B81" s="25" t="s">
        <v>387</v>
      </c>
      <c r="C81" s="25">
        <v>0.23</v>
      </c>
      <c r="D81" s="25">
        <v>76</v>
      </c>
      <c r="E81" s="25">
        <v>1609.9</v>
      </c>
      <c r="F81" s="25">
        <v>47</v>
      </c>
      <c r="G81" s="25">
        <v>-29</v>
      </c>
    </row>
    <row r="82" spans="1:7" x14ac:dyDescent="0.25">
      <c r="A82" s="25" t="s">
        <v>45</v>
      </c>
      <c r="B82" s="25" t="s">
        <v>387</v>
      </c>
      <c r="C82" s="25">
        <v>0.22</v>
      </c>
      <c r="D82" s="25">
        <v>77</v>
      </c>
      <c r="E82" s="25">
        <v>1610.3</v>
      </c>
      <c r="F82" s="25">
        <v>45</v>
      </c>
      <c r="G82" s="25">
        <v>-32</v>
      </c>
    </row>
    <row r="83" spans="1:7" x14ac:dyDescent="0.25">
      <c r="A83" s="25" t="s">
        <v>110</v>
      </c>
      <c r="B83" s="25" t="s">
        <v>387</v>
      </c>
      <c r="C83" s="25">
        <v>0.18</v>
      </c>
      <c r="D83" s="25">
        <v>78</v>
      </c>
      <c r="E83" s="25">
        <v>1606.4</v>
      </c>
      <c r="F83" s="25">
        <v>51</v>
      </c>
      <c r="G83" s="25">
        <v>-27</v>
      </c>
    </row>
    <row r="84" spans="1:7" x14ac:dyDescent="0.25">
      <c r="A84" s="25" t="s">
        <v>101</v>
      </c>
      <c r="B84" s="25" t="s">
        <v>393</v>
      </c>
      <c r="C84" s="25">
        <v>0.17</v>
      </c>
      <c r="D84" s="25">
        <v>79</v>
      </c>
      <c r="E84" s="25">
        <v>1442.2</v>
      </c>
      <c r="F84" s="25">
        <v>145</v>
      </c>
      <c r="G84" s="32">
        <v>66</v>
      </c>
    </row>
    <row r="85" spans="1:7" x14ac:dyDescent="0.25">
      <c r="A85" s="25" t="s">
        <v>49</v>
      </c>
      <c r="B85" s="25" t="s">
        <v>387</v>
      </c>
      <c r="C85" s="25">
        <v>0.16</v>
      </c>
      <c r="D85" s="25">
        <v>80</v>
      </c>
      <c r="E85" s="25">
        <v>1449.3</v>
      </c>
      <c r="F85" s="25">
        <v>129</v>
      </c>
      <c r="G85" s="32">
        <v>49</v>
      </c>
    </row>
    <row r="86" spans="1:7" x14ac:dyDescent="0.25">
      <c r="A86" s="25" t="s">
        <v>88</v>
      </c>
      <c r="B86" s="25" t="s">
        <v>387</v>
      </c>
      <c r="C86" s="25">
        <v>0.15</v>
      </c>
      <c r="D86" s="25">
        <v>81</v>
      </c>
      <c r="E86" s="25">
        <v>1654.9</v>
      </c>
      <c r="F86" s="25">
        <v>25</v>
      </c>
      <c r="G86" s="25">
        <v>-56</v>
      </c>
    </row>
    <row r="87" spans="1:7" x14ac:dyDescent="0.25">
      <c r="A87" s="25" t="s">
        <v>40</v>
      </c>
      <c r="B87" s="25" t="s">
        <v>387</v>
      </c>
      <c r="C87" s="25">
        <v>0.12</v>
      </c>
      <c r="D87" s="25">
        <v>82</v>
      </c>
      <c r="E87" s="25">
        <v>1584.8</v>
      </c>
      <c r="F87" s="25">
        <v>58</v>
      </c>
      <c r="G87" s="25">
        <v>-24</v>
      </c>
    </row>
    <row r="88" spans="1:7" x14ac:dyDescent="0.25">
      <c r="A88" s="25" t="s">
        <v>148</v>
      </c>
      <c r="B88" s="25" t="s">
        <v>387</v>
      </c>
      <c r="C88" s="25">
        <v>0.12</v>
      </c>
      <c r="D88" s="25">
        <v>83</v>
      </c>
      <c r="E88" s="25">
        <v>1502.8</v>
      </c>
      <c r="F88" s="25">
        <v>90</v>
      </c>
      <c r="G88" s="25">
        <v>7</v>
      </c>
    </row>
    <row r="89" spans="1:7" x14ac:dyDescent="0.25">
      <c r="A89" s="25" t="s">
        <v>109</v>
      </c>
      <c r="B89" s="25" t="s">
        <v>387</v>
      </c>
      <c r="C89" s="25">
        <v>0.11</v>
      </c>
      <c r="D89" s="25">
        <v>84</v>
      </c>
      <c r="E89" s="25">
        <v>1485.2</v>
      </c>
      <c r="F89" s="25">
        <v>102</v>
      </c>
      <c r="G89" s="32">
        <v>18</v>
      </c>
    </row>
    <row r="90" spans="1:7" x14ac:dyDescent="0.25">
      <c r="A90" s="25" t="s">
        <v>66</v>
      </c>
      <c r="B90" s="25" t="s">
        <v>387</v>
      </c>
      <c r="C90" s="25">
        <v>0.08</v>
      </c>
      <c r="D90" s="25">
        <v>85</v>
      </c>
      <c r="E90" s="25">
        <v>1508.2</v>
      </c>
      <c r="F90" s="25">
        <v>86</v>
      </c>
      <c r="G90" s="25">
        <v>1</v>
      </c>
    </row>
    <row r="91" spans="1:7" x14ac:dyDescent="0.25">
      <c r="A91" s="25" t="s">
        <v>155</v>
      </c>
      <c r="B91" s="25" t="s">
        <v>392</v>
      </c>
      <c r="C91" s="25">
        <v>-0.05</v>
      </c>
      <c r="D91" s="25">
        <v>86</v>
      </c>
      <c r="E91" s="25">
        <v>1513.3</v>
      </c>
      <c r="F91" s="25">
        <v>83</v>
      </c>
      <c r="G91" s="25">
        <v>-3</v>
      </c>
    </row>
    <row r="92" spans="1:7" x14ac:dyDescent="0.25">
      <c r="A92" s="25" t="s">
        <v>48</v>
      </c>
      <c r="B92" s="25" t="s">
        <v>392</v>
      </c>
      <c r="C92" s="25">
        <v>-0.06</v>
      </c>
      <c r="D92" s="25">
        <v>87</v>
      </c>
      <c r="E92" s="25">
        <v>1593.3</v>
      </c>
      <c r="F92" s="25">
        <v>55</v>
      </c>
      <c r="G92" s="25">
        <v>-32</v>
      </c>
    </row>
    <row r="93" spans="1:7" x14ac:dyDescent="0.25">
      <c r="A93" s="25" t="s">
        <v>75</v>
      </c>
      <c r="B93" s="25" t="s">
        <v>393</v>
      </c>
      <c r="C93" s="25">
        <v>-0.06</v>
      </c>
      <c r="D93" s="25">
        <v>88</v>
      </c>
      <c r="E93" s="25">
        <v>1452.4</v>
      </c>
      <c r="F93" s="25">
        <v>125</v>
      </c>
      <c r="G93" s="32">
        <v>37</v>
      </c>
    </row>
    <row r="94" spans="1:7" x14ac:dyDescent="0.25">
      <c r="A94" s="25" t="s">
        <v>394</v>
      </c>
      <c r="B94" s="25" t="s">
        <v>395</v>
      </c>
      <c r="C94" s="25">
        <v>-7.0000000000000007E-2</v>
      </c>
      <c r="D94" s="25">
        <v>89</v>
      </c>
      <c r="E94" s="25">
        <v>1412.1</v>
      </c>
      <c r="F94" s="25">
        <v>201</v>
      </c>
      <c r="G94" s="32">
        <v>112</v>
      </c>
    </row>
    <row r="95" spans="1:7" x14ac:dyDescent="0.25">
      <c r="A95" s="25" t="s">
        <v>127</v>
      </c>
      <c r="B95" s="25" t="s">
        <v>396</v>
      </c>
      <c r="C95" s="25">
        <v>-0.09</v>
      </c>
      <c r="D95" s="25">
        <v>90</v>
      </c>
      <c r="E95" s="25">
        <v>1457.5</v>
      </c>
      <c r="F95" s="25">
        <v>120</v>
      </c>
      <c r="G95" s="32">
        <v>30</v>
      </c>
    </row>
    <row r="96" spans="1:7" x14ac:dyDescent="0.25">
      <c r="A96" s="25" t="s">
        <v>397</v>
      </c>
      <c r="B96" s="25" t="s">
        <v>398</v>
      </c>
      <c r="C96" s="25">
        <v>-0.12</v>
      </c>
      <c r="D96" s="25">
        <v>91</v>
      </c>
      <c r="E96" s="25">
        <v>1447.4</v>
      </c>
      <c r="F96" s="25">
        <v>133</v>
      </c>
      <c r="G96" s="32">
        <v>42</v>
      </c>
    </row>
    <row r="97" spans="1:7" x14ac:dyDescent="0.25">
      <c r="A97" s="25" t="s">
        <v>399</v>
      </c>
      <c r="B97" s="25" t="s">
        <v>398</v>
      </c>
      <c r="C97" s="25">
        <v>-0.14000000000000001</v>
      </c>
      <c r="D97" s="25">
        <v>92</v>
      </c>
      <c r="E97" s="25">
        <v>1414.3</v>
      </c>
      <c r="F97" s="25">
        <v>191</v>
      </c>
      <c r="G97" s="32">
        <v>99</v>
      </c>
    </row>
    <row r="98" spans="1:7" x14ac:dyDescent="0.25">
      <c r="A98" s="25" t="s">
        <v>70</v>
      </c>
      <c r="B98" s="25" t="s">
        <v>392</v>
      </c>
      <c r="C98" s="25">
        <v>-0.17</v>
      </c>
      <c r="D98" s="25">
        <v>93</v>
      </c>
      <c r="E98" s="25">
        <v>1561.4</v>
      </c>
      <c r="F98" s="25">
        <v>68</v>
      </c>
      <c r="G98" s="25">
        <v>-25</v>
      </c>
    </row>
    <row r="99" spans="1:7" x14ac:dyDescent="0.25">
      <c r="A99" s="25" t="s">
        <v>400</v>
      </c>
      <c r="B99" s="25" t="s">
        <v>398</v>
      </c>
      <c r="C99" s="25">
        <v>-0.17</v>
      </c>
      <c r="D99" s="25">
        <v>94</v>
      </c>
      <c r="E99" s="25">
        <v>1414.3</v>
      </c>
      <c r="F99" s="25">
        <v>192</v>
      </c>
      <c r="G99" s="32">
        <v>98</v>
      </c>
    </row>
    <row r="100" spans="1:7" x14ac:dyDescent="0.25">
      <c r="A100" s="25" t="s">
        <v>401</v>
      </c>
      <c r="B100" s="25" t="s">
        <v>398</v>
      </c>
      <c r="C100" s="25">
        <v>-0.18</v>
      </c>
      <c r="D100" s="25">
        <v>95</v>
      </c>
      <c r="E100" s="25">
        <v>1449.9</v>
      </c>
      <c r="F100" s="25">
        <v>128</v>
      </c>
      <c r="G100" s="32">
        <v>33</v>
      </c>
    </row>
    <row r="101" spans="1:7" x14ac:dyDescent="0.25">
      <c r="A101" s="25" t="s">
        <v>402</v>
      </c>
      <c r="B101" s="25" t="s">
        <v>398</v>
      </c>
      <c r="C101" s="25">
        <v>-0.18</v>
      </c>
      <c r="D101" s="25">
        <v>96</v>
      </c>
      <c r="E101" s="25">
        <v>1459.1</v>
      </c>
      <c r="F101" s="25">
        <v>119</v>
      </c>
      <c r="G101" s="32">
        <v>23</v>
      </c>
    </row>
    <row r="102" spans="1:7" x14ac:dyDescent="0.25">
      <c r="A102" s="25" t="s">
        <v>403</v>
      </c>
      <c r="B102" s="25" t="s">
        <v>398</v>
      </c>
      <c r="C102" s="25">
        <v>-0.18</v>
      </c>
      <c r="D102" s="25">
        <v>97</v>
      </c>
      <c r="E102" s="25">
        <v>1411.5</v>
      </c>
      <c r="F102" s="25">
        <v>203</v>
      </c>
      <c r="G102" s="32">
        <v>106</v>
      </c>
    </row>
    <row r="103" spans="1:7" x14ac:dyDescent="0.25">
      <c r="A103" s="25" t="s">
        <v>51</v>
      </c>
      <c r="B103" s="25" t="s">
        <v>387</v>
      </c>
      <c r="C103" s="25">
        <v>-0.19</v>
      </c>
      <c r="D103" s="25">
        <v>98</v>
      </c>
      <c r="E103" s="25">
        <v>1426.3</v>
      </c>
      <c r="F103" s="25">
        <v>169</v>
      </c>
      <c r="G103" s="32">
        <v>71</v>
      </c>
    </row>
    <row r="104" spans="1:7" x14ac:dyDescent="0.25">
      <c r="A104" s="25" t="s">
        <v>404</v>
      </c>
      <c r="B104" s="25" t="s">
        <v>398</v>
      </c>
      <c r="C104" s="25">
        <v>-0.19</v>
      </c>
      <c r="D104" s="25">
        <v>99</v>
      </c>
      <c r="E104" s="25">
        <v>1439.6</v>
      </c>
      <c r="F104" s="25">
        <v>148</v>
      </c>
      <c r="G104" s="32">
        <v>49</v>
      </c>
    </row>
    <row r="105" spans="1:7" x14ac:dyDescent="0.25">
      <c r="A105" s="25" t="s">
        <v>405</v>
      </c>
      <c r="B105" s="25" t="s">
        <v>398</v>
      </c>
      <c r="C105" s="25">
        <v>-0.2</v>
      </c>
      <c r="D105" s="25">
        <v>100</v>
      </c>
      <c r="E105" s="25">
        <v>1433.4</v>
      </c>
      <c r="F105" s="25">
        <v>159</v>
      </c>
      <c r="G105" s="32">
        <v>59</v>
      </c>
    </row>
    <row r="106" spans="1:7" x14ac:dyDescent="0.25">
      <c r="A106" s="25" t="s">
        <v>406</v>
      </c>
      <c r="B106" s="25" t="s">
        <v>398</v>
      </c>
      <c r="C106" s="25">
        <v>-0.2</v>
      </c>
      <c r="D106" s="25">
        <v>101</v>
      </c>
      <c r="E106" s="25">
        <v>1440</v>
      </c>
      <c r="F106" s="25">
        <v>147</v>
      </c>
      <c r="G106" s="32">
        <v>46</v>
      </c>
    </row>
    <row r="107" spans="1:7" x14ac:dyDescent="0.25">
      <c r="A107" s="25" t="s">
        <v>187</v>
      </c>
      <c r="B107" s="25" t="s">
        <v>398</v>
      </c>
      <c r="C107" s="25">
        <v>-0.21</v>
      </c>
      <c r="D107" s="25">
        <v>102</v>
      </c>
      <c r="E107" s="25">
        <v>1417.4</v>
      </c>
      <c r="F107" s="25">
        <v>186</v>
      </c>
      <c r="G107" s="32">
        <v>84</v>
      </c>
    </row>
    <row r="108" spans="1:7" x14ac:dyDescent="0.25">
      <c r="A108" s="25" t="s">
        <v>407</v>
      </c>
      <c r="B108" s="25" t="s">
        <v>398</v>
      </c>
      <c r="C108" s="25">
        <v>-0.23</v>
      </c>
      <c r="D108" s="25">
        <v>103</v>
      </c>
      <c r="E108" s="25">
        <v>1470.1</v>
      </c>
      <c r="F108" s="25">
        <v>109</v>
      </c>
      <c r="G108" s="25">
        <v>6</v>
      </c>
    </row>
    <row r="109" spans="1:7" x14ac:dyDescent="0.25">
      <c r="A109" s="25" t="s">
        <v>408</v>
      </c>
      <c r="B109" s="25" t="s">
        <v>398</v>
      </c>
      <c r="C109" s="25">
        <v>-0.23</v>
      </c>
      <c r="D109" s="25">
        <v>104</v>
      </c>
      <c r="E109" s="25">
        <v>1456.2</v>
      </c>
      <c r="F109" s="25">
        <v>122</v>
      </c>
      <c r="G109" s="32">
        <v>18</v>
      </c>
    </row>
    <row r="110" spans="1:7" x14ac:dyDescent="0.25">
      <c r="A110" s="25" t="s">
        <v>409</v>
      </c>
      <c r="B110" s="25" t="s">
        <v>398</v>
      </c>
      <c r="C110" s="25">
        <v>-0.25</v>
      </c>
      <c r="D110" s="25">
        <v>105</v>
      </c>
      <c r="E110" s="25">
        <v>1444.8</v>
      </c>
      <c r="F110" s="25">
        <v>139</v>
      </c>
      <c r="G110" s="32">
        <v>34</v>
      </c>
    </row>
    <row r="111" spans="1:7" x14ac:dyDescent="0.25">
      <c r="A111" s="25" t="s">
        <v>39</v>
      </c>
      <c r="B111" s="25" t="s">
        <v>392</v>
      </c>
      <c r="C111" s="25">
        <v>-0.25</v>
      </c>
      <c r="D111" s="25">
        <v>106</v>
      </c>
      <c r="E111" s="25">
        <v>1464.9</v>
      </c>
      <c r="F111" s="25">
        <v>113</v>
      </c>
      <c r="G111" s="25">
        <v>7</v>
      </c>
    </row>
    <row r="112" spans="1:7" x14ac:dyDescent="0.25">
      <c r="A112" s="25" t="s">
        <v>410</v>
      </c>
      <c r="B112" s="25" t="s">
        <v>398</v>
      </c>
      <c r="C112" s="25">
        <v>-0.25</v>
      </c>
      <c r="D112" s="25">
        <v>107</v>
      </c>
      <c r="E112" s="25">
        <v>1445.5</v>
      </c>
      <c r="F112" s="25">
        <v>138</v>
      </c>
      <c r="G112" s="32">
        <v>31</v>
      </c>
    </row>
    <row r="113" spans="1:7" x14ac:dyDescent="0.25">
      <c r="A113" s="25" t="s">
        <v>173</v>
      </c>
      <c r="B113" s="25" t="s">
        <v>396</v>
      </c>
      <c r="C113" s="25">
        <v>-0.25</v>
      </c>
      <c r="D113" s="25">
        <v>108</v>
      </c>
      <c r="E113" s="25">
        <v>1447</v>
      </c>
      <c r="F113" s="25">
        <v>134</v>
      </c>
      <c r="G113" s="32">
        <v>26</v>
      </c>
    </row>
    <row r="114" spans="1:7" x14ac:dyDescent="0.25">
      <c r="A114" s="25" t="s">
        <v>411</v>
      </c>
      <c r="B114" s="25" t="s">
        <v>398</v>
      </c>
      <c r="C114" s="25">
        <v>-0.25</v>
      </c>
      <c r="D114" s="25">
        <v>109</v>
      </c>
      <c r="E114" s="25">
        <v>1412.3</v>
      </c>
      <c r="F114" s="25">
        <v>199</v>
      </c>
      <c r="G114" s="32">
        <v>90</v>
      </c>
    </row>
    <row r="115" spans="1:7" x14ac:dyDescent="0.25">
      <c r="A115" s="25" t="s">
        <v>412</v>
      </c>
      <c r="B115" s="25" t="s">
        <v>398</v>
      </c>
      <c r="C115" s="25">
        <v>-0.26</v>
      </c>
      <c r="D115" s="25">
        <v>110</v>
      </c>
      <c r="E115" s="25">
        <v>1429.6</v>
      </c>
      <c r="F115" s="25">
        <v>164</v>
      </c>
      <c r="G115" s="32">
        <v>54</v>
      </c>
    </row>
    <row r="116" spans="1:7" x14ac:dyDescent="0.25">
      <c r="A116" s="25" t="s">
        <v>413</v>
      </c>
      <c r="B116" s="25" t="s">
        <v>398</v>
      </c>
      <c r="C116" s="25">
        <v>-0.26</v>
      </c>
      <c r="D116" s="25">
        <v>111</v>
      </c>
      <c r="E116" s="25">
        <v>1431.1</v>
      </c>
      <c r="F116" s="25">
        <v>161</v>
      </c>
      <c r="G116" s="32">
        <v>50</v>
      </c>
    </row>
    <row r="117" spans="1:7" x14ac:dyDescent="0.25">
      <c r="A117" s="25" t="s">
        <v>414</v>
      </c>
      <c r="B117" s="25" t="s">
        <v>398</v>
      </c>
      <c r="C117" s="25">
        <v>-0.26</v>
      </c>
      <c r="D117" s="25">
        <v>112</v>
      </c>
      <c r="E117" s="25">
        <v>1447.5</v>
      </c>
      <c r="F117" s="25">
        <v>132</v>
      </c>
      <c r="G117" s="32">
        <v>20</v>
      </c>
    </row>
    <row r="118" spans="1:7" x14ac:dyDescent="0.25">
      <c r="A118" s="25" t="s">
        <v>415</v>
      </c>
      <c r="B118" s="25" t="s">
        <v>398</v>
      </c>
      <c r="C118" s="25">
        <v>-0.26</v>
      </c>
      <c r="D118" s="25">
        <v>113</v>
      </c>
      <c r="E118" s="25">
        <v>1422.7</v>
      </c>
      <c r="F118" s="25">
        <v>176</v>
      </c>
      <c r="G118" s="32">
        <v>63</v>
      </c>
    </row>
    <row r="119" spans="1:7" x14ac:dyDescent="0.25">
      <c r="A119" s="25" t="s">
        <v>416</v>
      </c>
      <c r="B119" s="25" t="s">
        <v>398</v>
      </c>
      <c r="C119" s="25">
        <v>-0.27</v>
      </c>
      <c r="D119" s="25">
        <v>114</v>
      </c>
      <c r="E119" s="25">
        <v>1436.8</v>
      </c>
      <c r="F119" s="25">
        <v>151</v>
      </c>
      <c r="G119" s="32">
        <v>37</v>
      </c>
    </row>
    <row r="120" spans="1:7" x14ac:dyDescent="0.25">
      <c r="A120" s="25" t="s">
        <v>417</v>
      </c>
      <c r="B120" s="25" t="s">
        <v>398</v>
      </c>
      <c r="C120" s="25">
        <v>-0.28000000000000003</v>
      </c>
      <c r="D120" s="25">
        <v>115</v>
      </c>
      <c r="E120" s="25">
        <v>1434.1</v>
      </c>
      <c r="F120" s="25">
        <v>156</v>
      </c>
      <c r="G120" s="32">
        <v>41</v>
      </c>
    </row>
    <row r="121" spans="1:7" x14ac:dyDescent="0.25">
      <c r="A121" s="25" t="s">
        <v>134</v>
      </c>
      <c r="B121" s="25" t="s">
        <v>396</v>
      </c>
      <c r="C121" s="25">
        <v>-0.28000000000000003</v>
      </c>
      <c r="D121" s="25">
        <v>116</v>
      </c>
      <c r="E121" s="25">
        <v>1489.6</v>
      </c>
      <c r="F121" s="25">
        <v>99</v>
      </c>
      <c r="G121" s="25">
        <v>-17</v>
      </c>
    </row>
    <row r="122" spans="1:7" x14ac:dyDescent="0.25">
      <c r="A122" s="25" t="s">
        <v>418</v>
      </c>
      <c r="B122" s="25" t="s">
        <v>398</v>
      </c>
      <c r="C122" s="25">
        <v>-0.28000000000000003</v>
      </c>
      <c r="D122" s="25">
        <v>117</v>
      </c>
      <c r="E122" s="25">
        <v>1436.5</v>
      </c>
      <c r="F122" s="25">
        <v>152</v>
      </c>
      <c r="G122" s="32">
        <v>35</v>
      </c>
    </row>
    <row r="123" spans="1:7" x14ac:dyDescent="0.25">
      <c r="A123" s="25" t="s">
        <v>419</v>
      </c>
      <c r="B123" s="25" t="s">
        <v>398</v>
      </c>
      <c r="C123" s="25">
        <v>-0.28999999999999998</v>
      </c>
      <c r="D123" s="25">
        <v>118</v>
      </c>
      <c r="E123" s="25">
        <v>1414.2</v>
      </c>
      <c r="F123" s="25">
        <v>193</v>
      </c>
      <c r="G123" s="32">
        <v>75</v>
      </c>
    </row>
    <row r="124" spans="1:7" x14ac:dyDescent="0.25">
      <c r="A124" s="25" t="s">
        <v>420</v>
      </c>
      <c r="B124" s="25" t="s">
        <v>398</v>
      </c>
      <c r="C124" s="25">
        <v>-0.28999999999999998</v>
      </c>
      <c r="D124" s="25">
        <v>119</v>
      </c>
      <c r="E124" s="25">
        <v>1418.5</v>
      </c>
      <c r="F124" s="25">
        <v>184</v>
      </c>
      <c r="G124" s="32">
        <v>65</v>
      </c>
    </row>
    <row r="125" spans="1:7" x14ac:dyDescent="0.25">
      <c r="A125" s="25" t="s">
        <v>421</v>
      </c>
      <c r="B125" s="25" t="s">
        <v>398</v>
      </c>
      <c r="C125" s="25">
        <v>-0.3</v>
      </c>
      <c r="D125" s="25">
        <v>120</v>
      </c>
      <c r="E125" s="25">
        <v>1438.9</v>
      </c>
      <c r="F125" s="25">
        <v>150</v>
      </c>
      <c r="G125" s="32">
        <v>30</v>
      </c>
    </row>
    <row r="126" spans="1:7" x14ac:dyDescent="0.25">
      <c r="A126" s="25" t="s">
        <v>29</v>
      </c>
      <c r="B126" s="25" t="s">
        <v>396</v>
      </c>
      <c r="C126" s="25">
        <v>-0.3</v>
      </c>
      <c r="D126" s="25">
        <v>121</v>
      </c>
      <c r="E126" s="25">
        <v>1644.9</v>
      </c>
      <c r="F126" s="25">
        <v>29</v>
      </c>
      <c r="G126" s="25">
        <v>-92</v>
      </c>
    </row>
    <row r="127" spans="1:7" x14ac:dyDescent="0.25">
      <c r="A127" s="25" t="s">
        <v>170</v>
      </c>
      <c r="B127" s="25" t="s">
        <v>398</v>
      </c>
      <c r="C127" s="25">
        <v>-0.3</v>
      </c>
      <c r="D127" s="25">
        <v>122</v>
      </c>
      <c r="E127" s="25">
        <v>1422.8</v>
      </c>
      <c r="F127" s="25">
        <v>175</v>
      </c>
      <c r="G127" s="32">
        <v>53</v>
      </c>
    </row>
    <row r="128" spans="1:7" x14ac:dyDescent="0.25">
      <c r="A128" s="25" t="s">
        <v>422</v>
      </c>
      <c r="B128" s="25" t="s">
        <v>398</v>
      </c>
      <c r="C128" s="25">
        <v>-0.3</v>
      </c>
      <c r="D128" s="25">
        <v>123</v>
      </c>
      <c r="E128" s="25">
        <v>1480.7</v>
      </c>
      <c r="F128" s="25">
        <v>104</v>
      </c>
      <c r="G128" s="25">
        <v>-19</v>
      </c>
    </row>
    <row r="129" spans="1:7" x14ac:dyDescent="0.25">
      <c r="A129" s="25" t="s">
        <v>423</v>
      </c>
      <c r="B129" s="25" t="s">
        <v>398</v>
      </c>
      <c r="C129" s="25">
        <v>-0.3</v>
      </c>
      <c r="D129" s="25">
        <v>124</v>
      </c>
      <c r="E129" s="25">
        <v>1451</v>
      </c>
      <c r="F129" s="25">
        <v>127</v>
      </c>
      <c r="G129" s="25">
        <v>3</v>
      </c>
    </row>
    <row r="130" spans="1:7" x14ac:dyDescent="0.25">
      <c r="A130" s="25" t="s">
        <v>57</v>
      </c>
      <c r="B130" s="25" t="s">
        <v>396</v>
      </c>
      <c r="C130" s="25">
        <v>-0.3</v>
      </c>
      <c r="D130" s="25">
        <v>125</v>
      </c>
      <c r="E130" s="25">
        <v>1451.6</v>
      </c>
      <c r="F130" s="25">
        <v>126</v>
      </c>
      <c r="G130" s="25">
        <v>1</v>
      </c>
    </row>
    <row r="131" spans="1:7" x14ac:dyDescent="0.25">
      <c r="A131" s="25" t="s">
        <v>424</v>
      </c>
      <c r="B131" s="25" t="s">
        <v>398</v>
      </c>
      <c r="C131" s="25">
        <v>-0.31</v>
      </c>
      <c r="D131" s="25">
        <v>126</v>
      </c>
      <c r="E131" s="25">
        <v>1429.2</v>
      </c>
      <c r="F131" s="25">
        <v>165</v>
      </c>
      <c r="G131" s="32">
        <v>39</v>
      </c>
    </row>
    <row r="132" spans="1:7" x14ac:dyDescent="0.25">
      <c r="A132" s="25" t="s">
        <v>425</v>
      </c>
      <c r="B132" s="25" t="s">
        <v>398</v>
      </c>
      <c r="C132" s="25">
        <v>-0.32</v>
      </c>
      <c r="D132" s="25">
        <v>127</v>
      </c>
      <c r="E132" s="25">
        <v>1441.2</v>
      </c>
      <c r="F132" s="25">
        <v>146</v>
      </c>
      <c r="G132" s="32">
        <v>19</v>
      </c>
    </row>
    <row r="133" spans="1:7" x14ac:dyDescent="0.25">
      <c r="A133" s="25" t="s">
        <v>426</v>
      </c>
      <c r="B133" s="25" t="s">
        <v>398</v>
      </c>
      <c r="C133" s="25">
        <v>-0.32</v>
      </c>
      <c r="D133" s="25">
        <v>128</v>
      </c>
      <c r="E133" s="25">
        <v>1425.1</v>
      </c>
      <c r="F133" s="25">
        <v>172</v>
      </c>
      <c r="G133" s="32">
        <v>44</v>
      </c>
    </row>
    <row r="134" spans="1:7" x14ac:dyDescent="0.25">
      <c r="A134" s="25" t="s">
        <v>427</v>
      </c>
      <c r="B134" s="25" t="s">
        <v>398</v>
      </c>
      <c r="C134" s="25">
        <v>-0.32</v>
      </c>
      <c r="D134" s="25">
        <v>129</v>
      </c>
      <c r="E134" s="25">
        <v>1405.5</v>
      </c>
      <c r="F134" s="25">
        <v>211</v>
      </c>
      <c r="G134" s="32">
        <v>82</v>
      </c>
    </row>
    <row r="135" spans="1:7" x14ac:dyDescent="0.25">
      <c r="A135" s="25" t="s">
        <v>428</v>
      </c>
      <c r="B135" s="25" t="s">
        <v>398</v>
      </c>
      <c r="C135" s="25">
        <v>-0.33</v>
      </c>
      <c r="D135" s="25">
        <v>130</v>
      </c>
      <c r="E135" s="25">
        <v>1413.9</v>
      </c>
      <c r="F135" s="25">
        <v>194</v>
      </c>
      <c r="G135" s="32">
        <v>64</v>
      </c>
    </row>
    <row r="136" spans="1:7" x14ac:dyDescent="0.25">
      <c r="A136" s="25" t="s">
        <v>429</v>
      </c>
      <c r="B136" s="25" t="s">
        <v>398</v>
      </c>
      <c r="C136" s="25">
        <v>-0.33</v>
      </c>
      <c r="D136" s="25">
        <v>131</v>
      </c>
      <c r="E136" s="25">
        <v>1403.3</v>
      </c>
      <c r="F136" s="25">
        <v>216</v>
      </c>
      <c r="G136" s="32">
        <v>85</v>
      </c>
    </row>
    <row r="137" spans="1:7" x14ac:dyDescent="0.25">
      <c r="A137" s="25" t="s">
        <v>430</v>
      </c>
      <c r="B137" s="25" t="s">
        <v>398</v>
      </c>
      <c r="C137" s="25">
        <v>-0.34</v>
      </c>
      <c r="D137" s="25">
        <v>132</v>
      </c>
      <c r="E137" s="25">
        <v>1409.5</v>
      </c>
      <c r="F137" s="25">
        <v>206</v>
      </c>
      <c r="G137" s="32">
        <v>74</v>
      </c>
    </row>
    <row r="138" spans="1:7" x14ac:dyDescent="0.25">
      <c r="A138" s="25" t="s">
        <v>106</v>
      </c>
      <c r="B138" s="25" t="s">
        <v>396</v>
      </c>
      <c r="C138" s="25">
        <v>-0.34</v>
      </c>
      <c r="D138" s="25">
        <v>133</v>
      </c>
      <c r="E138" s="25">
        <v>1400.7</v>
      </c>
      <c r="F138" s="25">
        <v>220</v>
      </c>
      <c r="G138" s="32">
        <v>87</v>
      </c>
    </row>
    <row r="139" spans="1:7" x14ac:dyDescent="0.25">
      <c r="A139" s="25" t="s">
        <v>46</v>
      </c>
      <c r="B139" s="25" t="s">
        <v>392</v>
      </c>
      <c r="C139" s="25">
        <v>-0.34</v>
      </c>
      <c r="D139" s="25">
        <v>134</v>
      </c>
      <c r="E139" s="25">
        <v>1598</v>
      </c>
      <c r="F139" s="25">
        <v>53</v>
      </c>
      <c r="G139" s="25">
        <v>-81</v>
      </c>
    </row>
    <row r="140" spans="1:7" x14ac:dyDescent="0.25">
      <c r="A140" s="25" t="s">
        <v>431</v>
      </c>
      <c r="B140" s="25" t="s">
        <v>398</v>
      </c>
      <c r="C140" s="25">
        <v>-0.35</v>
      </c>
      <c r="D140" s="25">
        <v>135</v>
      </c>
      <c r="E140" s="25">
        <v>1428.8</v>
      </c>
      <c r="F140" s="25">
        <v>166</v>
      </c>
      <c r="G140" s="32">
        <v>31</v>
      </c>
    </row>
    <row r="141" spans="1:7" x14ac:dyDescent="0.25">
      <c r="A141" s="25" t="s">
        <v>90</v>
      </c>
      <c r="B141" s="25" t="s">
        <v>396</v>
      </c>
      <c r="C141" s="25">
        <v>-0.35</v>
      </c>
      <c r="D141" s="25">
        <v>136</v>
      </c>
      <c r="E141" s="25">
        <v>1426.7</v>
      </c>
      <c r="F141" s="25">
        <v>168</v>
      </c>
      <c r="G141" s="32">
        <v>32</v>
      </c>
    </row>
    <row r="142" spans="1:7" x14ac:dyDescent="0.25">
      <c r="A142" s="25" t="s">
        <v>432</v>
      </c>
      <c r="B142" s="25" t="s">
        <v>398</v>
      </c>
      <c r="C142" s="25">
        <v>-0.35</v>
      </c>
      <c r="D142" s="25">
        <v>137</v>
      </c>
      <c r="E142" s="25">
        <v>1420.7</v>
      </c>
      <c r="F142" s="25">
        <v>179</v>
      </c>
      <c r="G142" s="32">
        <v>42</v>
      </c>
    </row>
    <row r="143" spans="1:7" x14ac:dyDescent="0.25">
      <c r="A143" s="25" t="s">
        <v>433</v>
      </c>
      <c r="B143" s="25" t="s">
        <v>398</v>
      </c>
      <c r="C143" s="25">
        <v>-0.36</v>
      </c>
      <c r="D143" s="25">
        <v>138</v>
      </c>
      <c r="E143" s="25">
        <v>1430.9</v>
      </c>
      <c r="F143" s="25">
        <v>162</v>
      </c>
      <c r="G143" s="32">
        <v>24</v>
      </c>
    </row>
    <row r="144" spans="1:7" x14ac:dyDescent="0.25">
      <c r="A144" s="25" t="s">
        <v>434</v>
      </c>
      <c r="B144" s="25" t="s">
        <v>398</v>
      </c>
      <c r="C144" s="25">
        <v>-0.36</v>
      </c>
      <c r="D144" s="25">
        <v>139</v>
      </c>
      <c r="E144" s="25">
        <v>1491.6</v>
      </c>
      <c r="F144" s="25">
        <v>97</v>
      </c>
      <c r="G144" s="25">
        <v>-42</v>
      </c>
    </row>
    <row r="145" spans="1:7" x14ac:dyDescent="0.25">
      <c r="A145" s="25" t="s">
        <v>435</v>
      </c>
      <c r="B145" s="25" t="s">
        <v>398</v>
      </c>
      <c r="C145" s="25">
        <v>-0.37</v>
      </c>
      <c r="D145" s="25">
        <v>140</v>
      </c>
      <c r="E145" s="25">
        <v>1411.7</v>
      </c>
      <c r="F145" s="25">
        <v>202</v>
      </c>
      <c r="G145" s="32">
        <v>62</v>
      </c>
    </row>
    <row r="146" spans="1:7" x14ac:dyDescent="0.25">
      <c r="A146" s="25" t="s">
        <v>436</v>
      </c>
      <c r="B146" s="25" t="s">
        <v>398</v>
      </c>
      <c r="C146" s="25">
        <v>-0.38</v>
      </c>
      <c r="D146" s="25">
        <v>141</v>
      </c>
      <c r="E146" s="25">
        <v>1382.5</v>
      </c>
      <c r="F146" s="25">
        <v>237</v>
      </c>
      <c r="G146" s="32">
        <v>96</v>
      </c>
    </row>
    <row r="147" spans="1:7" x14ac:dyDescent="0.25">
      <c r="A147" s="25" t="s">
        <v>437</v>
      </c>
      <c r="B147" s="25" t="s">
        <v>398</v>
      </c>
      <c r="C147" s="25">
        <v>-0.38</v>
      </c>
      <c r="D147" s="25">
        <v>142</v>
      </c>
      <c r="E147" s="25">
        <v>1412.8</v>
      </c>
      <c r="F147" s="25">
        <v>197</v>
      </c>
      <c r="G147" s="32">
        <v>55</v>
      </c>
    </row>
    <row r="148" spans="1:7" x14ac:dyDescent="0.25">
      <c r="A148" s="25" t="s">
        <v>438</v>
      </c>
      <c r="B148" s="25" t="s">
        <v>398</v>
      </c>
      <c r="C148" s="25">
        <v>-0.39</v>
      </c>
      <c r="D148" s="25">
        <v>143</v>
      </c>
      <c r="E148" s="25">
        <v>1425.9</v>
      </c>
      <c r="F148" s="25">
        <v>170</v>
      </c>
      <c r="G148" s="32">
        <v>27</v>
      </c>
    </row>
    <row r="149" spans="1:7" x14ac:dyDescent="0.25">
      <c r="A149" s="25" t="s">
        <v>439</v>
      </c>
      <c r="B149" s="25" t="s">
        <v>398</v>
      </c>
      <c r="C149" s="25">
        <v>-0.39</v>
      </c>
      <c r="D149" s="25">
        <v>144</v>
      </c>
      <c r="E149" s="25">
        <v>1444.4</v>
      </c>
      <c r="F149" s="25">
        <v>141</v>
      </c>
      <c r="G149" s="25">
        <v>-3</v>
      </c>
    </row>
    <row r="150" spans="1:7" x14ac:dyDescent="0.25">
      <c r="A150" s="25" t="s">
        <v>440</v>
      </c>
      <c r="B150" s="25" t="s">
        <v>398</v>
      </c>
      <c r="C150" s="25">
        <v>-0.4</v>
      </c>
      <c r="D150" s="25">
        <v>145</v>
      </c>
      <c r="E150" s="25">
        <v>1414.9</v>
      </c>
      <c r="F150" s="25">
        <v>189</v>
      </c>
      <c r="G150" s="32">
        <v>44</v>
      </c>
    </row>
    <row r="151" spans="1:7" x14ac:dyDescent="0.25">
      <c r="A151" s="25" t="s">
        <v>185</v>
      </c>
      <c r="B151" s="25" t="s">
        <v>396</v>
      </c>
      <c r="C151" s="25">
        <v>-0.41</v>
      </c>
      <c r="D151" s="25">
        <v>146</v>
      </c>
      <c r="E151" s="25">
        <v>1576.6</v>
      </c>
      <c r="F151" s="25">
        <v>62</v>
      </c>
      <c r="G151" s="25">
        <v>-84</v>
      </c>
    </row>
    <row r="152" spans="1:7" x14ac:dyDescent="0.25">
      <c r="A152" s="25" t="s">
        <v>441</v>
      </c>
      <c r="B152" s="25" t="s">
        <v>398</v>
      </c>
      <c r="C152" s="25">
        <v>-0.41</v>
      </c>
      <c r="D152" s="25">
        <v>147</v>
      </c>
      <c r="E152" s="25">
        <v>1433.8</v>
      </c>
      <c r="F152" s="25">
        <v>157</v>
      </c>
      <c r="G152" s="25">
        <v>10</v>
      </c>
    </row>
    <row r="153" spans="1:7" x14ac:dyDescent="0.25">
      <c r="A153" s="25" t="s">
        <v>94</v>
      </c>
      <c r="B153" s="25" t="s">
        <v>392</v>
      </c>
      <c r="C153" s="25">
        <v>-0.42</v>
      </c>
      <c r="D153" s="25">
        <v>148</v>
      </c>
      <c r="E153" s="25">
        <v>1488.5</v>
      </c>
      <c r="F153" s="25">
        <v>100</v>
      </c>
      <c r="G153" s="25">
        <v>-48</v>
      </c>
    </row>
    <row r="154" spans="1:7" x14ac:dyDescent="0.25">
      <c r="A154" s="25" t="s">
        <v>442</v>
      </c>
      <c r="B154" s="25" t="s">
        <v>398</v>
      </c>
      <c r="C154" s="25">
        <v>-0.42</v>
      </c>
      <c r="D154" s="25">
        <v>149</v>
      </c>
      <c r="E154" s="25">
        <v>1429.6</v>
      </c>
      <c r="F154" s="25">
        <v>163</v>
      </c>
      <c r="G154" s="25">
        <v>14</v>
      </c>
    </row>
    <row r="155" spans="1:7" x14ac:dyDescent="0.25">
      <c r="A155" s="25" t="s">
        <v>443</v>
      </c>
      <c r="B155" s="25" t="s">
        <v>398</v>
      </c>
      <c r="C155" s="25">
        <v>-0.42</v>
      </c>
      <c r="D155" s="25">
        <v>150</v>
      </c>
      <c r="E155" s="25">
        <v>1387.5</v>
      </c>
      <c r="F155" s="25">
        <v>233</v>
      </c>
      <c r="G155" s="32">
        <v>83</v>
      </c>
    </row>
    <row r="156" spans="1:7" x14ac:dyDescent="0.25">
      <c r="A156" s="25" t="s">
        <v>444</v>
      </c>
      <c r="B156" s="25" t="s">
        <v>398</v>
      </c>
      <c r="C156" s="25">
        <v>-0.43</v>
      </c>
      <c r="D156" s="25">
        <v>151</v>
      </c>
      <c r="E156" s="25">
        <v>1400.8</v>
      </c>
      <c r="F156" s="25">
        <v>219</v>
      </c>
      <c r="G156" s="32">
        <v>68</v>
      </c>
    </row>
    <row r="157" spans="1:7" x14ac:dyDescent="0.25">
      <c r="A157" s="25" t="s">
        <v>445</v>
      </c>
      <c r="B157" s="25" t="s">
        <v>398</v>
      </c>
      <c r="C157" s="25">
        <v>-0.43</v>
      </c>
      <c r="D157" s="25">
        <v>152</v>
      </c>
      <c r="E157" s="25">
        <v>1379</v>
      </c>
      <c r="F157" s="25">
        <v>239</v>
      </c>
      <c r="G157" s="32">
        <v>87</v>
      </c>
    </row>
    <row r="158" spans="1:7" x14ac:dyDescent="0.25">
      <c r="A158" s="25" t="s">
        <v>446</v>
      </c>
      <c r="B158" s="25" t="s">
        <v>398</v>
      </c>
      <c r="C158" s="25">
        <v>-0.43</v>
      </c>
      <c r="D158" s="25">
        <v>153</v>
      </c>
      <c r="E158" s="25">
        <v>1434.2</v>
      </c>
      <c r="F158" s="25">
        <v>155</v>
      </c>
      <c r="G158" s="25">
        <v>2</v>
      </c>
    </row>
    <row r="159" spans="1:7" x14ac:dyDescent="0.25">
      <c r="A159" s="25" t="s">
        <v>447</v>
      </c>
      <c r="B159" s="25" t="s">
        <v>398</v>
      </c>
      <c r="C159" s="25">
        <v>-0.45</v>
      </c>
      <c r="D159" s="25">
        <v>154</v>
      </c>
      <c r="E159" s="25">
        <v>1433.7</v>
      </c>
      <c r="F159" s="25">
        <v>158</v>
      </c>
      <c r="G159" s="25">
        <v>4</v>
      </c>
    </row>
    <row r="160" spans="1:7" x14ac:dyDescent="0.25">
      <c r="A160" s="25" t="s">
        <v>448</v>
      </c>
      <c r="B160" s="25" t="s">
        <v>398</v>
      </c>
      <c r="C160" s="25">
        <v>-0.45</v>
      </c>
      <c r="D160" s="25">
        <v>155</v>
      </c>
      <c r="E160" s="25">
        <v>1435.7</v>
      </c>
      <c r="F160" s="25">
        <v>153</v>
      </c>
      <c r="G160" s="25">
        <v>-2</v>
      </c>
    </row>
    <row r="161" spans="1:7" x14ac:dyDescent="0.25">
      <c r="A161" s="25" t="s">
        <v>149</v>
      </c>
      <c r="B161" s="25" t="s">
        <v>396</v>
      </c>
      <c r="C161" s="25">
        <v>-0.45</v>
      </c>
      <c r="D161" s="25">
        <v>156</v>
      </c>
      <c r="E161" s="25">
        <v>1500</v>
      </c>
      <c r="F161" s="25">
        <v>91</v>
      </c>
      <c r="G161" s="25">
        <v>-65</v>
      </c>
    </row>
    <row r="162" spans="1:7" x14ac:dyDescent="0.25">
      <c r="A162" s="25" t="s">
        <v>147</v>
      </c>
      <c r="B162" s="25" t="s">
        <v>392</v>
      </c>
      <c r="C162" s="25">
        <v>-0.45</v>
      </c>
      <c r="D162" s="25">
        <v>157</v>
      </c>
      <c r="E162" s="25">
        <v>1520.2</v>
      </c>
      <c r="F162" s="25">
        <v>80</v>
      </c>
      <c r="G162" s="25">
        <v>-77</v>
      </c>
    </row>
    <row r="163" spans="1:7" x14ac:dyDescent="0.25">
      <c r="A163" s="25" t="s">
        <v>124</v>
      </c>
      <c r="B163" s="25" t="s">
        <v>396</v>
      </c>
      <c r="C163" s="25">
        <v>-0.46</v>
      </c>
      <c r="D163" s="25">
        <v>158</v>
      </c>
      <c r="E163" s="25">
        <v>1511.2</v>
      </c>
      <c r="F163" s="25">
        <v>85</v>
      </c>
      <c r="G163" s="25">
        <v>-73</v>
      </c>
    </row>
    <row r="164" spans="1:7" x14ac:dyDescent="0.25">
      <c r="A164" s="25" t="s">
        <v>449</v>
      </c>
      <c r="B164" s="25" t="s">
        <v>398</v>
      </c>
      <c r="C164" s="25">
        <v>-0.48</v>
      </c>
      <c r="D164" s="25">
        <v>159</v>
      </c>
      <c r="E164" s="25">
        <v>1402.8</v>
      </c>
      <c r="F164" s="25">
        <v>217</v>
      </c>
      <c r="G164" s="32">
        <v>58</v>
      </c>
    </row>
    <row r="165" spans="1:7" x14ac:dyDescent="0.25">
      <c r="A165" s="25" t="s">
        <v>450</v>
      </c>
      <c r="B165" s="25" t="s">
        <v>398</v>
      </c>
      <c r="C165" s="25">
        <v>-0.48</v>
      </c>
      <c r="D165" s="25">
        <v>160</v>
      </c>
      <c r="E165" s="25">
        <v>1417.1</v>
      </c>
      <c r="F165" s="25">
        <v>187</v>
      </c>
      <c r="G165" s="32">
        <v>27</v>
      </c>
    </row>
    <row r="166" spans="1:7" x14ac:dyDescent="0.25">
      <c r="A166" s="25" t="s">
        <v>451</v>
      </c>
      <c r="B166" s="25" t="s">
        <v>398</v>
      </c>
      <c r="C166" s="25">
        <v>-0.48</v>
      </c>
      <c r="D166" s="25">
        <v>161</v>
      </c>
      <c r="E166" s="25">
        <v>1435.2</v>
      </c>
      <c r="F166" s="25">
        <v>154</v>
      </c>
      <c r="G166" s="25">
        <v>-7</v>
      </c>
    </row>
    <row r="167" spans="1:7" x14ac:dyDescent="0.25">
      <c r="A167" s="25" t="s">
        <v>452</v>
      </c>
      <c r="B167" s="25" t="s">
        <v>453</v>
      </c>
      <c r="C167" s="25">
        <v>-0.48</v>
      </c>
      <c r="D167" s="25">
        <v>162</v>
      </c>
      <c r="E167" s="25">
        <v>1391.8</v>
      </c>
      <c r="F167" s="25">
        <v>228</v>
      </c>
      <c r="G167" s="32">
        <v>66</v>
      </c>
    </row>
    <row r="168" spans="1:7" x14ac:dyDescent="0.25">
      <c r="A168" s="25" t="s">
        <v>454</v>
      </c>
      <c r="B168" s="25" t="s">
        <v>398</v>
      </c>
      <c r="C168" s="25">
        <v>-0.48</v>
      </c>
      <c r="D168" s="25">
        <v>163</v>
      </c>
      <c r="E168" s="25">
        <v>1411.1</v>
      </c>
      <c r="F168" s="25">
        <v>204</v>
      </c>
      <c r="G168" s="32">
        <v>41</v>
      </c>
    </row>
    <row r="169" spans="1:7" x14ac:dyDescent="0.25">
      <c r="A169" s="25" t="s">
        <v>455</v>
      </c>
      <c r="B169" s="25" t="s">
        <v>398</v>
      </c>
      <c r="C169" s="25">
        <v>-0.49</v>
      </c>
      <c r="D169" s="25">
        <v>164</v>
      </c>
      <c r="E169" s="25">
        <v>1422</v>
      </c>
      <c r="F169" s="25">
        <v>177</v>
      </c>
      <c r="G169" s="25">
        <v>13</v>
      </c>
    </row>
    <row r="170" spans="1:7" x14ac:dyDescent="0.25">
      <c r="A170" s="25" t="s">
        <v>456</v>
      </c>
      <c r="B170" s="25" t="s">
        <v>398</v>
      </c>
      <c r="C170" s="25">
        <v>-0.5</v>
      </c>
      <c r="D170" s="25">
        <v>165</v>
      </c>
      <c r="E170" s="25">
        <v>1384.2</v>
      </c>
      <c r="F170" s="25">
        <v>235</v>
      </c>
      <c r="G170" s="32">
        <v>70</v>
      </c>
    </row>
    <row r="171" spans="1:7" x14ac:dyDescent="0.25">
      <c r="A171" s="25" t="s">
        <v>457</v>
      </c>
      <c r="B171" s="25" t="s">
        <v>453</v>
      </c>
      <c r="C171" s="25">
        <v>-0.5</v>
      </c>
      <c r="D171" s="25">
        <v>166</v>
      </c>
      <c r="E171" s="25">
        <v>1404.2</v>
      </c>
      <c r="F171" s="25">
        <v>213</v>
      </c>
      <c r="G171" s="32">
        <v>47</v>
      </c>
    </row>
    <row r="172" spans="1:7" x14ac:dyDescent="0.25">
      <c r="A172" s="25" t="s">
        <v>368</v>
      </c>
      <c r="B172" s="25" t="s">
        <v>398</v>
      </c>
      <c r="C172" s="25">
        <v>-0.5</v>
      </c>
      <c r="D172" s="25">
        <v>167</v>
      </c>
      <c r="E172" s="25">
        <v>1413.6</v>
      </c>
      <c r="F172" s="25">
        <v>195</v>
      </c>
      <c r="G172" s="32">
        <v>28</v>
      </c>
    </row>
    <row r="173" spans="1:7" x14ac:dyDescent="0.25">
      <c r="A173" s="25" t="s">
        <v>458</v>
      </c>
      <c r="B173" s="25" t="s">
        <v>398</v>
      </c>
      <c r="C173" s="25">
        <v>-0.51</v>
      </c>
      <c r="D173" s="25">
        <v>168</v>
      </c>
      <c r="E173" s="25">
        <v>1418.7</v>
      </c>
      <c r="F173" s="25">
        <v>183</v>
      </c>
      <c r="G173" s="32">
        <v>15</v>
      </c>
    </row>
    <row r="174" spans="1:7" x14ac:dyDescent="0.25">
      <c r="A174" s="25" t="s">
        <v>71</v>
      </c>
      <c r="B174" s="25" t="s">
        <v>392</v>
      </c>
      <c r="C174" s="25">
        <v>-0.51</v>
      </c>
      <c r="D174" s="25">
        <v>169</v>
      </c>
      <c r="E174" s="25">
        <v>1521.7</v>
      </c>
      <c r="F174" s="25">
        <v>78</v>
      </c>
      <c r="G174" s="25">
        <v>-91</v>
      </c>
    </row>
    <row r="175" spans="1:7" x14ac:dyDescent="0.25">
      <c r="A175" s="25" t="s">
        <v>171</v>
      </c>
      <c r="B175" s="25" t="s">
        <v>398</v>
      </c>
      <c r="C175" s="25">
        <v>-0.52</v>
      </c>
      <c r="D175" s="25">
        <v>170</v>
      </c>
      <c r="E175" s="25">
        <v>1420.6</v>
      </c>
      <c r="F175" s="25">
        <v>180</v>
      </c>
      <c r="G175" s="25">
        <v>10</v>
      </c>
    </row>
    <row r="176" spans="1:7" x14ac:dyDescent="0.25">
      <c r="A176" s="25" t="s">
        <v>459</v>
      </c>
      <c r="B176" s="25" t="s">
        <v>398</v>
      </c>
      <c r="C176" s="25">
        <v>-0.52</v>
      </c>
      <c r="D176" s="25">
        <v>171</v>
      </c>
      <c r="E176" s="25">
        <v>1420.6</v>
      </c>
      <c r="F176" s="25">
        <v>181</v>
      </c>
      <c r="G176" s="25">
        <v>10</v>
      </c>
    </row>
    <row r="177" spans="1:7" x14ac:dyDescent="0.25">
      <c r="A177" s="25" t="s">
        <v>460</v>
      </c>
      <c r="B177" s="25" t="s">
        <v>398</v>
      </c>
      <c r="C177" s="25">
        <v>-0.52</v>
      </c>
      <c r="D177" s="25">
        <v>172</v>
      </c>
      <c r="E177" s="25">
        <v>1416.7</v>
      </c>
      <c r="F177" s="25">
        <v>188</v>
      </c>
      <c r="G177" s="32">
        <v>16</v>
      </c>
    </row>
    <row r="178" spans="1:7" x14ac:dyDescent="0.25">
      <c r="A178" s="25" t="s">
        <v>461</v>
      </c>
      <c r="B178" s="25" t="s">
        <v>398</v>
      </c>
      <c r="C178" s="25">
        <v>-0.55000000000000004</v>
      </c>
      <c r="D178" s="25">
        <v>173</v>
      </c>
      <c r="E178" s="25">
        <v>1393.9</v>
      </c>
      <c r="F178" s="25">
        <v>225</v>
      </c>
      <c r="G178" s="32">
        <v>52</v>
      </c>
    </row>
    <row r="179" spans="1:7" x14ac:dyDescent="0.25">
      <c r="A179" s="25" t="s">
        <v>370</v>
      </c>
      <c r="B179" s="25" t="s">
        <v>398</v>
      </c>
      <c r="C179" s="25">
        <v>-0.55000000000000004</v>
      </c>
      <c r="D179" s="25">
        <v>174</v>
      </c>
      <c r="E179" s="25">
        <v>1425.1</v>
      </c>
      <c r="F179" s="25">
        <v>173</v>
      </c>
      <c r="G179" s="25">
        <v>-1</v>
      </c>
    </row>
    <row r="180" spans="1:7" x14ac:dyDescent="0.25">
      <c r="A180" s="25" t="s">
        <v>462</v>
      </c>
      <c r="B180" s="25" t="s">
        <v>453</v>
      </c>
      <c r="C180" s="25">
        <v>-0.56000000000000005</v>
      </c>
      <c r="D180" s="25">
        <v>175</v>
      </c>
      <c r="E180" s="25">
        <v>1412.2</v>
      </c>
      <c r="F180" s="25">
        <v>200</v>
      </c>
      <c r="G180" s="32">
        <v>25</v>
      </c>
    </row>
    <row r="181" spans="1:7" x14ac:dyDescent="0.25">
      <c r="A181" s="25" t="s">
        <v>153</v>
      </c>
      <c r="B181" s="25" t="s">
        <v>396</v>
      </c>
      <c r="C181" s="25">
        <v>-0.56000000000000005</v>
      </c>
      <c r="D181" s="25">
        <v>176</v>
      </c>
      <c r="E181" s="25">
        <v>1513</v>
      </c>
      <c r="F181" s="25">
        <v>84</v>
      </c>
      <c r="G181" s="25">
        <v>-92</v>
      </c>
    </row>
    <row r="182" spans="1:7" x14ac:dyDescent="0.25">
      <c r="A182" s="25" t="s">
        <v>463</v>
      </c>
      <c r="B182" s="25" t="s">
        <v>398</v>
      </c>
      <c r="C182" s="25">
        <v>-0.57999999999999996</v>
      </c>
      <c r="D182" s="25">
        <v>177</v>
      </c>
      <c r="E182" s="25">
        <v>1467.1</v>
      </c>
      <c r="F182" s="25">
        <v>110</v>
      </c>
      <c r="G182" s="25">
        <v>-67</v>
      </c>
    </row>
    <row r="183" spans="1:7" x14ac:dyDescent="0.25">
      <c r="A183" s="25" t="s">
        <v>464</v>
      </c>
      <c r="B183" s="25" t="s">
        <v>453</v>
      </c>
      <c r="C183" s="25">
        <v>-0.57999999999999996</v>
      </c>
      <c r="D183" s="25">
        <v>178</v>
      </c>
      <c r="E183" s="25">
        <v>1388</v>
      </c>
      <c r="F183" s="25">
        <v>232</v>
      </c>
      <c r="G183" s="32">
        <v>54</v>
      </c>
    </row>
    <row r="184" spans="1:7" x14ac:dyDescent="0.25">
      <c r="A184" s="25" t="s">
        <v>465</v>
      </c>
      <c r="B184" s="25" t="s">
        <v>398</v>
      </c>
      <c r="C184" s="25">
        <v>-0.59</v>
      </c>
      <c r="D184" s="25">
        <v>179</v>
      </c>
      <c r="E184" s="25">
        <v>1395</v>
      </c>
      <c r="F184" s="25">
        <v>224</v>
      </c>
      <c r="G184" s="32">
        <v>45</v>
      </c>
    </row>
    <row r="185" spans="1:7" x14ac:dyDescent="0.25">
      <c r="A185" s="25" t="s">
        <v>466</v>
      </c>
      <c r="B185" s="25" t="s">
        <v>453</v>
      </c>
      <c r="C185" s="25">
        <v>-0.61</v>
      </c>
      <c r="D185" s="25">
        <v>180</v>
      </c>
      <c r="E185" s="25">
        <v>1353.5</v>
      </c>
      <c r="F185" s="25">
        <v>247</v>
      </c>
      <c r="G185" s="32">
        <v>67</v>
      </c>
    </row>
    <row r="186" spans="1:7" x14ac:dyDescent="0.25">
      <c r="A186" s="25" t="s">
        <v>467</v>
      </c>
      <c r="B186" s="25" t="s">
        <v>398</v>
      </c>
      <c r="C186" s="25">
        <v>-0.61</v>
      </c>
      <c r="D186" s="25">
        <v>181</v>
      </c>
      <c r="E186" s="25">
        <v>1417.9</v>
      </c>
      <c r="F186" s="25">
        <v>185</v>
      </c>
      <c r="G186" s="25">
        <v>4</v>
      </c>
    </row>
    <row r="187" spans="1:7" x14ac:dyDescent="0.25">
      <c r="A187" s="25" t="s">
        <v>468</v>
      </c>
      <c r="B187" s="25" t="s">
        <v>398</v>
      </c>
      <c r="C187" s="25">
        <v>-0.61</v>
      </c>
      <c r="D187" s="25">
        <v>182</v>
      </c>
      <c r="E187" s="25">
        <v>1397.7</v>
      </c>
      <c r="F187" s="25">
        <v>223</v>
      </c>
      <c r="G187" s="32">
        <v>41</v>
      </c>
    </row>
    <row r="188" spans="1:7" x14ac:dyDescent="0.25">
      <c r="A188" s="25" t="s">
        <v>365</v>
      </c>
      <c r="B188" s="25" t="s">
        <v>453</v>
      </c>
      <c r="C188" s="25">
        <v>-0.62</v>
      </c>
      <c r="D188" s="25">
        <v>183</v>
      </c>
      <c r="E188" s="25">
        <v>1413.3</v>
      </c>
      <c r="F188" s="25">
        <v>196</v>
      </c>
      <c r="G188" s="25">
        <v>13</v>
      </c>
    </row>
    <row r="189" spans="1:7" x14ac:dyDescent="0.25">
      <c r="A189" s="25" t="s">
        <v>182</v>
      </c>
      <c r="B189" s="25" t="s">
        <v>396</v>
      </c>
      <c r="C189" s="25">
        <v>-0.65</v>
      </c>
      <c r="D189" s="25">
        <v>184</v>
      </c>
      <c r="E189" s="25">
        <v>1465.7</v>
      </c>
      <c r="F189" s="25">
        <v>112</v>
      </c>
      <c r="G189" s="25">
        <v>-72</v>
      </c>
    </row>
    <row r="190" spans="1:7" x14ac:dyDescent="0.25">
      <c r="A190" s="25" t="s">
        <v>81</v>
      </c>
      <c r="B190" s="25" t="s">
        <v>396</v>
      </c>
      <c r="C190" s="25">
        <v>-0.65</v>
      </c>
      <c r="D190" s="25">
        <v>185</v>
      </c>
      <c r="E190" s="25">
        <v>1444.8</v>
      </c>
      <c r="F190" s="25">
        <v>140</v>
      </c>
      <c r="G190" s="25">
        <v>-45</v>
      </c>
    </row>
    <row r="191" spans="1:7" x14ac:dyDescent="0.25">
      <c r="A191" s="25" t="s">
        <v>113</v>
      </c>
      <c r="B191" s="25" t="s">
        <v>396</v>
      </c>
      <c r="C191" s="25">
        <v>-0.65</v>
      </c>
      <c r="D191" s="25">
        <v>186</v>
      </c>
      <c r="E191" s="25">
        <v>1398.4</v>
      </c>
      <c r="F191" s="25">
        <v>222</v>
      </c>
      <c r="G191" s="32">
        <v>36</v>
      </c>
    </row>
    <row r="192" spans="1:7" x14ac:dyDescent="0.25">
      <c r="A192" s="25" t="s">
        <v>121</v>
      </c>
      <c r="B192" s="25" t="s">
        <v>392</v>
      </c>
      <c r="C192" s="25">
        <v>-0.68</v>
      </c>
      <c r="D192" s="25">
        <v>187</v>
      </c>
      <c r="E192" s="25">
        <v>1381.4</v>
      </c>
      <c r="F192" s="25">
        <v>238</v>
      </c>
      <c r="G192" s="32">
        <v>51</v>
      </c>
    </row>
    <row r="193" spans="1:7" x14ac:dyDescent="0.25">
      <c r="A193" s="25" t="s">
        <v>469</v>
      </c>
      <c r="B193" s="25" t="s">
        <v>453</v>
      </c>
      <c r="C193" s="25">
        <v>-0.68</v>
      </c>
      <c r="D193" s="25">
        <v>188</v>
      </c>
      <c r="E193" s="25">
        <v>1383.9</v>
      </c>
      <c r="F193" s="25">
        <v>236</v>
      </c>
      <c r="G193" s="32">
        <v>48</v>
      </c>
    </row>
    <row r="194" spans="1:7" x14ac:dyDescent="0.25">
      <c r="A194" s="25" t="s">
        <v>470</v>
      </c>
      <c r="B194" s="25" t="s">
        <v>398</v>
      </c>
      <c r="C194" s="25">
        <v>-0.7</v>
      </c>
      <c r="D194" s="25">
        <v>189</v>
      </c>
      <c r="E194" s="25">
        <v>1427.1</v>
      </c>
      <c r="F194" s="25">
        <v>167</v>
      </c>
      <c r="G194" s="25">
        <v>-22</v>
      </c>
    </row>
    <row r="195" spans="1:7" x14ac:dyDescent="0.25">
      <c r="A195" s="25" t="s">
        <v>103</v>
      </c>
      <c r="B195" s="25" t="s">
        <v>393</v>
      </c>
      <c r="C195" s="25">
        <v>-0.7</v>
      </c>
      <c r="D195" s="25">
        <v>190</v>
      </c>
      <c r="E195" s="25">
        <v>1455.9</v>
      </c>
      <c r="F195" s="25">
        <v>123</v>
      </c>
      <c r="G195" s="25">
        <v>-67</v>
      </c>
    </row>
    <row r="196" spans="1:7" x14ac:dyDescent="0.25">
      <c r="A196" s="25" t="s">
        <v>165</v>
      </c>
      <c r="B196" s="25" t="s">
        <v>396</v>
      </c>
      <c r="C196" s="25">
        <v>-0.71</v>
      </c>
      <c r="D196" s="25">
        <v>191</v>
      </c>
      <c r="E196" s="25">
        <v>1439.6</v>
      </c>
      <c r="F196" s="25">
        <v>149</v>
      </c>
      <c r="G196" s="25">
        <v>-42</v>
      </c>
    </row>
    <row r="197" spans="1:7" x14ac:dyDescent="0.25">
      <c r="A197" s="25" t="s">
        <v>117</v>
      </c>
      <c r="B197" s="25" t="s">
        <v>396</v>
      </c>
      <c r="C197" s="25">
        <v>-0.75</v>
      </c>
      <c r="D197" s="25">
        <v>192</v>
      </c>
      <c r="E197" s="25">
        <v>1425.6</v>
      </c>
      <c r="F197" s="25">
        <v>171</v>
      </c>
      <c r="G197" s="25">
        <v>-21</v>
      </c>
    </row>
    <row r="198" spans="1:7" x14ac:dyDescent="0.25">
      <c r="A198" s="25" t="s">
        <v>32</v>
      </c>
      <c r="B198" s="25" t="s">
        <v>396</v>
      </c>
      <c r="C198" s="25">
        <v>-0.76</v>
      </c>
      <c r="D198" s="25">
        <v>193</v>
      </c>
      <c r="E198" s="25">
        <v>1465.8</v>
      </c>
      <c r="F198" s="25">
        <v>111</v>
      </c>
      <c r="G198" s="25">
        <v>-82</v>
      </c>
    </row>
    <row r="199" spans="1:7" x14ac:dyDescent="0.25">
      <c r="A199" s="25" t="s">
        <v>471</v>
      </c>
      <c r="B199" s="25" t="s">
        <v>453</v>
      </c>
      <c r="C199" s="25">
        <v>-0.78</v>
      </c>
      <c r="D199" s="25">
        <v>194</v>
      </c>
      <c r="E199" s="25">
        <v>1421.6</v>
      </c>
      <c r="F199" s="25">
        <v>178</v>
      </c>
      <c r="G199" s="25">
        <v>-16</v>
      </c>
    </row>
    <row r="200" spans="1:7" x14ac:dyDescent="0.25">
      <c r="A200" s="25" t="s">
        <v>175</v>
      </c>
      <c r="B200" s="25" t="s">
        <v>396</v>
      </c>
      <c r="C200" s="25">
        <v>-0.79</v>
      </c>
      <c r="D200" s="25">
        <v>195</v>
      </c>
      <c r="E200" s="25">
        <v>1605.8</v>
      </c>
      <c r="F200" s="25">
        <v>52</v>
      </c>
      <c r="G200" s="25">
        <v>-143</v>
      </c>
    </row>
    <row r="201" spans="1:7" x14ac:dyDescent="0.25">
      <c r="A201" s="25" t="s">
        <v>174</v>
      </c>
      <c r="B201" s="25" t="s">
        <v>396</v>
      </c>
      <c r="C201" s="25">
        <v>-0.79</v>
      </c>
      <c r="D201" s="25">
        <v>196</v>
      </c>
      <c r="E201" s="25">
        <v>1378.1</v>
      </c>
      <c r="F201" s="25">
        <v>241</v>
      </c>
      <c r="G201" s="32">
        <v>45</v>
      </c>
    </row>
    <row r="202" spans="1:7" x14ac:dyDescent="0.25">
      <c r="A202" s="25" t="s">
        <v>472</v>
      </c>
      <c r="B202" s="25" t="s">
        <v>453</v>
      </c>
      <c r="C202" s="25">
        <v>-0.8</v>
      </c>
      <c r="D202" s="25">
        <v>197</v>
      </c>
      <c r="E202" s="25">
        <v>1392.6</v>
      </c>
      <c r="F202" s="25">
        <v>227</v>
      </c>
      <c r="G202" s="32">
        <v>30</v>
      </c>
    </row>
    <row r="203" spans="1:7" x14ac:dyDescent="0.25">
      <c r="A203" s="25" t="s">
        <v>357</v>
      </c>
      <c r="B203" s="25" t="s">
        <v>453</v>
      </c>
      <c r="C203" s="25">
        <v>-0.8</v>
      </c>
      <c r="D203" s="25">
        <v>198</v>
      </c>
      <c r="E203" s="25">
        <v>1359.3</v>
      </c>
      <c r="F203" s="25">
        <v>245</v>
      </c>
      <c r="G203" s="32">
        <v>47</v>
      </c>
    </row>
    <row r="204" spans="1:7" x14ac:dyDescent="0.25">
      <c r="A204" s="25" t="s">
        <v>473</v>
      </c>
      <c r="B204" s="25" t="s">
        <v>453</v>
      </c>
      <c r="C204" s="25">
        <v>-0.82</v>
      </c>
      <c r="D204" s="25">
        <v>199</v>
      </c>
      <c r="E204" s="25">
        <v>1442.3</v>
      </c>
      <c r="F204" s="25">
        <v>144</v>
      </c>
      <c r="G204" s="25">
        <v>-55</v>
      </c>
    </row>
    <row r="205" spans="1:7" x14ac:dyDescent="0.25">
      <c r="A205" s="25" t="s">
        <v>474</v>
      </c>
      <c r="B205" s="25" t="s">
        <v>453</v>
      </c>
      <c r="C205" s="25">
        <v>-0.83</v>
      </c>
      <c r="D205" s="25">
        <v>200</v>
      </c>
      <c r="E205" s="25">
        <v>1409.7</v>
      </c>
      <c r="F205" s="25">
        <v>205</v>
      </c>
      <c r="G205" s="25">
        <v>5</v>
      </c>
    </row>
    <row r="206" spans="1:7" x14ac:dyDescent="0.25">
      <c r="A206" s="25" t="s">
        <v>93</v>
      </c>
      <c r="B206" s="25" t="s">
        <v>396</v>
      </c>
      <c r="C206" s="25">
        <v>-0.88</v>
      </c>
      <c r="D206" s="25">
        <v>201</v>
      </c>
      <c r="E206" s="25">
        <v>1423</v>
      </c>
      <c r="F206" s="25">
        <v>174</v>
      </c>
      <c r="G206" s="25">
        <v>-27</v>
      </c>
    </row>
    <row r="207" spans="1:7" x14ac:dyDescent="0.25">
      <c r="A207" s="25" t="s">
        <v>107</v>
      </c>
      <c r="B207" s="25" t="s">
        <v>396</v>
      </c>
      <c r="C207" s="25">
        <v>-0.88</v>
      </c>
      <c r="D207" s="25">
        <v>202</v>
      </c>
      <c r="E207" s="25">
        <v>1513.8</v>
      </c>
      <c r="F207" s="25">
        <v>82</v>
      </c>
      <c r="G207" s="25">
        <v>-120</v>
      </c>
    </row>
    <row r="208" spans="1:7" x14ac:dyDescent="0.25">
      <c r="A208" s="25" t="s">
        <v>475</v>
      </c>
      <c r="B208" s="25" t="s">
        <v>453</v>
      </c>
      <c r="C208" s="25">
        <v>-0.88</v>
      </c>
      <c r="D208" s="25">
        <v>203</v>
      </c>
      <c r="E208" s="25">
        <v>1366.1</v>
      </c>
      <c r="F208" s="25">
        <v>243</v>
      </c>
      <c r="G208" s="32">
        <v>40</v>
      </c>
    </row>
    <row r="209" spans="1:7" x14ac:dyDescent="0.25">
      <c r="A209" s="25" t="s">
        <v>184</v>
      </c>
      <c r="B209" s="25" t="s">
        <v>396</v>
      </c>
      <c r="C209" s="25">
        <v>-0.91</v>
      </c>
      <c r="D209" s="25">
        <v>204</v>
      </c>
      <c r="E209" s="25">
        <v>1390.6</v>
      </c>
      <c r="F209" s="25">
        <v>229</v>
      </c>
      <c r="G209" s="32">
        <v>25</v>
      </c>
    </row>
    <row r="210" spans="1:7" x14ac:dyDescent="0.25">
      <c r="A210" s="25" t="s">
        <v>476</v>
      </c>
      <c r="B210" s="25" t="s">
        <v>453</v>
      </c>
      <c r="C210" s="25">
        <v>-0.92</v>
      </c>
      <c r="D210" s="25">
        <v>205</v>
      </c>
      <c r="E210" s="25">
        <v>1388.5</v>
      </c>
      <c r="F210" s="25">
        <v>231</v>
      </c>
      <c r="G210" s="32">
        <v>26</v>
      </c>
    </row>
    <row r="211" spans="1:7" x14ac:dyDescent="0.25">
      <c r="A211" s="25" t="s">
        <v>74</v>
      </c>
      <c r="B211" s="25" t="s">
        <v>396</v>
      </c>
      <c r="C211" s="25">
        <v>-0.93</v>
      </c>
      <c r="D211" s="25">
        <v>206</v>
      </c>
      <c r="E211" s="25">
        <v>1571.5</v>
      </c>
      <c r="F211" s="25">
        <v>63</v>
      </c>
      <c r="G211" s="25">
        <v>-143</v>
      </c>
    </row>
    <row r="212" spans="1:7" x14ac:dyDescent="0.25">
      <c r="A212" s="25" t="s">
        <v>99</v>
      </c>
      <c r="B212" s="25" t="s">
        <v>477</v>
      </c>
      <c r="C212" s="25">
        <v>-0.94</v>
      </c>
      <c r="D212" s="25">
        <v>207</v>
      </c>
      <c r="E212" s="25">
        <v>1447</v>
      </c>
      <c r="F212" s="25">
        <v>135</v>
      </c>
      <c r="G212" s="25">
        <v>-72</v>
      </c>
    </row>
    <row r="213" spans="1:7" x14ac:dyDescent="0.25">
      <c r="A213" s="25" t="s">
        <v>135</v>
      </c>
      <c r="B213" s="25" t="s">
        <v>396</v>
      </c>
      <c r="C213" s="25">
        <v>-0.94</v>
      </c>
      <c r="D213" s="25">
        <v>208</v>
      </c>
      <c r="E213" s="25">
        <v>1530.9</v>
      </c>
      <c r="F213" s="25">
        <v>76</v>
      </c>
      <c r="G213" s="25">
        <v>-132</v>
      </c>
    </row>
    <row r="214" spans="1:7" x14ac:dyDescent="0.25">
      <c r="A214" s="25" t="s">
        <v>478</v>
      </c>
      <c r="B214" s="25" t="s">
        <v>453</v>
      </c>
      <c r="C214" s="25">
        <v>-0.94</v>
      </c>
      <c r="D214" s="25">
        <v>209</v>
      </c>
      <c r="E214" s="25">
        <v>1445.5</v>
      </c>
      <c r="F214" s="25">
        <v>137</v>
      </c>
      <c r="G214" s="25">
        <v>-72</v>
      </c>
    </row>
    <row r="215" spans="1:7" x14ac:dyDescent="0.25">
      <c r="A215" s="25" t="s">
        <v>116</v>
      </c>
      <c r="B215" s="25" t="s">
        <v>477</v>
      </c>
      <c r="C215" s="25">
        <v>-0.99</v>
      </c>
      <c r="D215" s="25">
        <v>210</v>
      </c>
      <c r="E215" s="25">
        <v>1363.9</v>
      </c>
      <c r="F215" s="25">
        <v>244</v>
      </c>
      <c r="G215" s="32">
        <v>34</v>
      </c>
    </row>
    <row r="216" spans="1:7" x14ac:dyDescent="0.25">
      <c r="A216" s="25" t="s">
        <v>479</v>
      </c>
      <c r="B216" s="25" t="s">
        <v>453</v>
      </c>
      <c r="C216" s="25">
        <v>-1.03</v>
      </c>
      <c r="D216" s="25">
        <v>211</v>
      </c>
      <c r="E216" s="25">
        <v>1402.2</v>
      </c>
      <c r="F216" s="25">
        <v>218</v>
      </c>
      <c r="G216" s="25">
        <v>7</v>
      </c>
    </row>
    <row r="217" spans="1:7" x14ac:dyDescent="0.25">
      <c r="A217" s="25" t="s">
        <v>480</v>
      </c>
      <c r="B217" s="25" t="s">
        <v>453</v>
      </c>
      <c r="C217" s="25">
        <v>-1.05</v>
      </c>
      <c r="D217" s="25">
        <v>212</v>
      </c>
      <c r="E217" s="25">
        <v>1399.2</v>
      </c>
      <c r="F217" s="25">
        <v>221</v>
      </c>
      <c r="G217" s="25">
        <v>9</v>
      </c>
    </row>
    <row r="218" spans="1:7" x14ac:dyDescent="0.25">
      <c r="A218" s="25" t="s">
        <v>168</v>
      </c>
      <c r="B218" s="25" t="s">
        <v>453</v>
      </c>
      <c r="C218" s="25">
        <v>-1.07</v>
      </c>
      <c r="D218" s="25">
        <v>213</v>
      </c>
      <c r="E218" s="25">
        <v>1357.3</v>
      </c>
      <c r="F218" s="25">
        <v>246</v>
      </c>
      <c r="G218" s="32">
        <v>33</v>
      </c>
    </row>
    <row r="219" spans="1:7" x14ac:dyDescent="0.25">
      <c r="A219" s="25" t="s">
        <v>111</v>
      </c>
      <c r="B219" s="25" t="s">
        <v>477</v>
      </c>
      <c r="C219" s="25">
        <v>-1.1000000000000001</v>
      </c>
      <c r="D219" s="25">
        <v>214</v>
      </c>
      <c r="E219" s="25">
        <v>1446.5</v>
      </c>
      <c r="F219" s="25">
        <v>136</v>
      </c>
      <c r="G219" s="25">
        <v>-78</v>
      </c>
    </row>
    <row r="220" spans="1:7" x14ac:dyDescent="0.25">
      <c r="A220" s="25" t="s">
        <v>56</v>
      </c>
      <c r="B220" s="25" t="s">
        <v>396</v>
      </c>
      <c r="C220" s="25">
        <v>-1.1399999999999999</v>
      </c>
      <c r="D220" s="25">
        <v>215</v>
      </c>
      <c r="E220" s="25">
        <v>1546</v>
      </c>
      <c r="F220" s="25">
        <v>74</v>
      </c>
      <c r="G220" s="25">
        <v>-141</v>
      </c>
    </row>
    <row r="221" spans="1:7" x14ac:dyDescent="0.25">
      <c r="A221" s="25" t="s">
        <v>481</v>
      </c>
      <c r="B221" s="25" t="s">
        <v>453</v>
      </c>
      <c r="C221" s="25">
        <v>-1.17</v>
      </c>
      <c r="D221" s="25">
        <v>216</v>
      </c>
      <c r="E221" s="25">
        <v>1340.4</v>
      </c>
      <c r="F221" s="25">
        <v>249</v>
      </c>
      <c r="G221" s="32">
        <v>33</v>
      </c>
    </row>
    <row r="222" spans="1:7" x14ac:dyDescent="0.25">
      <c r="A222" s="25" t="s">
        <v>146</v>
      </c>
      <c r="B222" s="25" t="s">
        <v>477</v>
      </c>
      <c r="C222" s="25">
        <v>-1.17</v>
      </c>
      <c r="D222" s="25">
        <v>217</v>
      </c>
      <c r="E222" s="25">
        <v>1406.7</v>
      </c>
      <c r="F222" s="25">
        <v>210</v>
      </c>
      <c r="G222" s="25">
        <v>-7</v>
      </c>
    </row>
    <row r="223" spans="1:7" x14ac:dyDescent="0.25">
      <c r="A223" s="25" t="s">
        <v>97</v>
      </c>
      <c r="B223" s="25" t="s">
        <v>477</v>
      </c>
      <c r="C223" s="25">
        <v>-1.23</v>
      </c>
      <c r="D223" s="25">
        <v>218</v>
      </c>
      <c r="E223" s="25">
        <v>1389.7</v>
      </c>
      <c r="F223" s="25">
        <v>230</v>
      </c>
      <c r="G223" s="25">
        <v>12</v>
      </c>
    </row>
    <row r="224" spans="1:7" x14ac:dyDescent="0.25">
      <c r="A224" s="25" t="s">
        <v>47</v>
      </c>
      <c r="B224" s="25" t="s">
        <v>482</v>
      </c>
      <c r="C224" s="25">
        <v>-1.27</v>
      </c>
      <c r="D224" s="25">
        <v>219</v>
      </c>
      <c r="E224" s="25">
        <v>1407.2</v>
      </c>
      <c r="F224" s="25">
        <v>207</v>
      </c>
      <c r="G224" s="25">
        <v>-12</v>
      </c>
    </row>
    <row r="225" spans="1:7" x14ac:dyDescent="0.25">
      <c r="A225" s="25" t="s">
        <v>364</v>
      </c>
      <c r="B225" s="25" t="s">
        <v>477</v>
      </c>
      <c r="C225" s="25">
        <v>-1.3</v>
      </c>
      <c r="D225" s="25">
        <v>220</v>
      </c>
      <c r="E225" s="25">
        <v>1414.7</v>
      </c>
      <c r="F225" s="25">
        <v>190</v>
      </c>
      <c r="G225" s="25">
        <v>-30</v>
      </c>
    </row>
    <row r="226" spans="1:7" x14ac:dyDescent="0.25">
      <c r="A226" s="25" t="s">
        <v>126</v>
      </c>
      <c r="B226" s="25" t="s">
        <v>482</v>
      </c>
      <c r="C226" s="25">
        <v>-1.32</v>
      </c>
      <c r="D226" s="25">
        <v>221</v>
      </c>
      <c r="E226" s="25">
        <v>1492.5</v>
      </c>
      <c r="F226" s="25">
        <v>95</v>
      </c>
      <c r="G226" s="25">
        <v>-126</v>
      </c>
    </row>
    <row r="227" spans="1:7" x14ac:dyDescent="0.25">
      <c r="A227" s="25" t="s">
        <v>96</v>
      </c>
      <c r="B227" s="25" t="s">
        <v>477</v>
      </c>
      <c r="C227" s="25">
        <v>-1.34</v>
      </c>
      <c r="D227" s="25">
        <v>222</v>
      </c>
      <c r="E227" s="25">
        <v>1480.8</v>
      </c>
      <c r="F227" s="25">
        <v>103</v>
      </c>
      <c r="G227" s="25">
        <v>-119</v>
      </c>
    </row>
    <row r="228" spans="1:7" x14ac:dyDescent="0.25">
      <c r="A228" s="25" t="s">
        <v>100</v>
      </c>
      <c r="B228" s="25" t="s">
        <v>482</v>
      </c>
      <c r="C228" s="25">
        <v>-1.34</v>
      </c>
      <c r="D228" s="25">
        <v>223</v>
      </c>
      <c r="E228" s="25">
        <v>1485.6</v>
      </c>
      <c r="F228" s="25">
        <v>101</v>
      </c>
      <c r="G228" s="25">
        <v>-122</v>
      </c>
    </row>
    <row r="229" spans="1:7" x14ac:dyDescent="0.25">
      <c r="A229" s="25" t="s">
        <v>122</v>
      </c>
      <c r="B229" s="25" t="s">
        <v>482</v>
      </c>
      <c r="C229" s="25">
        <v>-1.41</v>
      </c>
      <c r="D229" s="25">
        <v>224</v>
      </c>
      <c r="E229" s="25">
        <v>1331.5</v>
      </c>
      <c r="F229" s="25">
        <v>250</v>
      </c>
      <c r="G229" s="32">
        <v>26</v>
      </c>
    </row>
    <row r="230" spans="1:7" x14ac:dyDescent="0.25">
      <c r="A230" s="25" t="s">
        <v>52</v>
      </c>
      <c r="B230" s="25" t="s">
        <v>477</v>
      </c>
      <c r="C230" s="25">
        <v>-1.5</v>
      </c>
      <c r="D230" s="25">
        <v>225</v>
      </c>
      <c r="E230" s="25">
        <v>1581.9</v>
      </c>
      <c r="F230" s="25">
        <v>59</v>
      </c>
      <c r="G230" s="25">
        <v>-166</v>
      </c>
    </row>
    <row r="231" spans="1:7" x14ac:dyDescent="0.25">
      <c r="A231" s="25" t="s">
        <v>53</v>
      </c>
      <c r="B231" s="25" t="s">
        <v>482</v>
      </c>
      <c r="C231" s="25">
        <v>-1.5</v>
      </c>
      <c r="D231" s="25">
        <v>226</v>
      </c>
      <c r="E231" s="25">
        <v>1274.2</v>
      </c>
      <c r="F231" s="25">
        <v>252</v>
      </c>
      <c r="G231" s="32">
        <v>26</v>
      </c>
    </row>
    <row r="232" spans="1:7" x14ac:dyDescent="0.25">
      <c r="A232" s="25" t="s">
        <v>34</v>
      </c>
      <c r="B232" s="25" t="s">
        <v>477</v>
      </c>
      <c r="C232" s="25">
        <v>-1.53</v>
      </c>
      <c r="D232" s="25">
        <v>227</v>
      </c>
      <c r="E232" s="25">
        <v>1532.4</v>
      </c>
      <c r="F232" s="25">
        <v>75</v>
      </c>
      <c r="G232" s="25">
        <v>-152</v>
      </c>
    </row>
    <row r="233" spans="1:7" x14ac:dyDescent="0.25">
      <c r="A233" s="25" t="s">
        <v>79</v>
      </c>
      <c r="B233" s="25" t="s">
        <v>482</v>
      </c>
      <c r="C233" s="25">
        <v>-1.57</v>
      </c>
      <c r="D233" s="25">
        <v>228</v>
      </c>
      <c r="E233" s="25">
        <v>1350</v>
      </c>
      <c r="F233" s="25">
        <v>248</v>
      </c>
      <c r="G233" s="32">
        <v>20</v>
      </c>
    </row>
    <row r="234" spans="1:7" x14ac:dyDescent="0.25">
      <c r="A234" s="25" t="s">
        <v>104</v>
      </c>
      <c r="B234" s="25" t="s">
        <v>482</v>
      </c>
      <c r="C234" s="25">
        <v>-1.59</v>
      </c>
      <c r="D234" s="25">
        <v>229</v>
      </c>
      <c r="E234" s="25">
        <v>1374.4</v>
      </c>
      <c r="F234" s="25">
        <v>242</v>
      </c>
      <c r="G234" s="25">
        <v>13</v>
      </c>
    </row>
    <row r="235" spans="1:7" x14ac:dyDescent="0.25">
      <c r="A235" s="25" t="s">
        <v>150</v>
      </c>
      <c r="B235" s="25" t="s">
        <v>482</v>
      </c>
      <c r="C235" s="25">
        <v>-1.7</v>
      </c>
      <c r="D235" s="25">
        <v>230</v>
      </c>
      <c r="E235" s="25">
        <v>1519.6</v>
      </c>
      <c r="F235" s="25">
        <v>81</v>
      </c>
      <c r="G235" s="25">
        <v>-149</v>
      </c>
    </row>
    <row r="236" spans="1:7" x14ac:dyDescent="0.25">
      <c r="A236" s="25" t="s">
        <v>105</v>
      </c>
      <c r="B236" s="25" t="s">
        <v>482</v>
      </c>
      <c r="C236" s="25">
        <v>-1.85</v>
      </c>
      <c r="D236" s="25">
        <v>231</v>
      </c>
      <c r="E236" s="25">
        <v>1404.9</v>
      </c>
      <c r="F236" s="25">
        <v>212</v>
      </c>
      <c r="G236" s="25">
        <v>-19</v>
      </c>
    </row>
    <row r="237" spans="1:7" x14ac:dyDescent="0.25">
      <c r="A237" s="25" t="s">
        <v>181</v>
      </c>
      <c r="B237" s="25" t="s">
        <v>482</v>
      </c>
      <c r="C237" s="25">
        <v>-1.87</v>
      </c>
      <c r="D237" s="25">
        <v>232</v>
      </c>
      <c r="E237" s="25">
        <v>1464.7</v>
      </c>
      <c r="F237" s="25">
        <v>114</v>
      </c>
      <c r="G237" s="25">
        <v>-118</v>
      </c>
    </row>
    <row r="238" spans="1:7" x14ac:dyDescent="0.25">
      <c r="A238" s="25" t="s">
        <v>69</v>
      </c>
      <c r="B238" s="25" t="s">
        <v>483</v>
      </c>
      <c r="C238" s="25">
        <v>-1.9</v>
      </c>
      <c r="D238" s="25">
        <v>233</v>
      </c>
      <c r="E238" s="25">
        <v>1454.3</v>
      </c>
      <c r="F238" s="25">
        <v>124</v>
      </c>
      <c r="G238" s="25">
        <v>-109</v>
      </c>
    </row>
    <row r="239" spans="1:7" x14ac:dyDescent="0.25">
      <c r="A239" s="25" t="s">
        <v>156</v>
      </c>
      <c r="B239" s="25" t="s">
        <v>482</v>
      </c>
      <c r="C239" s="25">
        <v>-2.0299999999999998</v>
      </c>
      <c r="D239" s="25">
        <v>234</v>
      </c>
      <c r="E239" s="25">
        <v>1418.9</v>
      </c>
      <c r="F239" s="25">
        <v>182</v>
      </c>
      <c r="G239" s="25">
        <v>-52</v>
      </c>
    </row>
    <row r="240" spans="1:7" x14ac:dyDescent="0.25">
      <c r="A240" s="25" t="s">
        <v>191</v>
      </c>
      <c r="B240" s="25" t="s">
        <v>482</v>
      </c>
      <c r="C240" s="25">
        <v>-2.09</v>
      </c>
      <c r="D240" s="25">
        <v>235</v>
      </c>
      <c r="E240" s="25">
        <v>1284.0999999999999</v>
      </c>
      <c r="F240" s="25">
        <v>251</v>
      </c>
      <c r="G240" s="32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27"/>
  <sheetViews>
    <sheetView showGridLines="0" topLeftCell="A28" workbookViewId="0">
      <selection activeCell="E46" sqref="E46:F49"/>
    </sheetView>
  </sheetViews>
  <sheetFormatPr defaultRowHeight="15" x14ac:dyDescent="0.25"/>
  <cols>
    <col min="1" max="1" width="6" bestFit="1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26.45" customHeight="1" x14ac:dyDescent="0.25">
      <c r="A1" s="24" t="s">
        <v>0</v>
      </c>
    </row>
    <row r="2" spans="1:17" x14ac:dyDescent="0.25">
      <c r="A2" s="33" t="s">
        <v>1</v>
      </c>
      <c r="B2" s="33" t="s">
        <v>2</v>
      </c>
      <c r="C2" s="33" t="s">
        <v>3</v>
      </c>
    </row>
    <row r="3" spans="1:17" x14ac:dyDescent="0.25">
      <c r="A3" s="25" t="s">
        <v>4</v>
      </c>
      <c r="B3" s="25" t="s">
        <v>5</v>
      </c>
      <c r="C3" s="28">
        <v>0.53800000000000003</v>
      </c>
    </row>
    <row r="4" spans="1:17" x14ac:dyDescent="0.25">
      <c r="A4" s="25" t="s">
        <v>6</v>
      </c>
      <c r="B4" s="25" t="s">
        <v>7</v>
      </c>
      <c r="C4" s="28">
        <v>0.48299999999999998</v>
      </c>
    </row>
    <row r="6" spans="1:17" ht="26.45" customHeight="1" x14ac:dyDescent="0.25">
      <c r="A6" s="24" t="s">
        <v>8</v>
      </c>
    </row>
    <row r="7" spans="1:17" ht="26.25" customHeight="1" x14ac:dyDescent="0.25">
      <c r="A7" s="29" t="s">
        <v>9</v>
      </c>
      <c r="B7" s="29" t="s">
        <v>10</v>
      </c>
      <c r="C7" s="29" t="s">
        <v>11</v>
      </c>
      <c r="D7" s="29" t="s">
        <v>12</v>
      </c>
      <c r="E7" s="29" t="s">
        <v>13</v>
      </c>
      <c r="F7" s="29" t="s">
        <v>14</v>
      </c>
      <c r="G7" s="29" t="s">
        <v>15</v>
      </c>
      <c r="H7" s="29" t="s">
        <v>16</v>
      </c>
      <c r="I7" s="29" t="s">
        <v>17</v>
      </c>
      <c r="J7" s="29" t="s">
        <v>18</v>
      </c>
      <c r="K7" s="29" t="s">
        <v>19</v>
      </c>
      <c r="L7" s="29" t="s">
        <v>20</v>
      </c>
      <c r="M7" s="29" t="s">
        <v>21</v>
      </c>
      <c r="N7" s="29" t="s">
        <v>22</v>
      </c>
      <c r="O7" s="29" t="s">
        <v>23</v>
      </c>
      <c r="P7" s="29" t="s">
        <v>24</v>
      </c>
      <c r="Q7" s="29" t="s">
        <v>25</v>
      </c>
    </row>
    <row r="8" spans="1:17" x14ac:dyDescent="0.25">
      <c r="A8" s="25">
        <v>6</v>
      </c>
      <c r="B8" s="25" t="s">
        <v>26</v>
      </c>
      <c r="C8" s="25" t="s">
        <v>27</v>
      </c>
      <c r="D8" s="25" t="s">
        <v>27</v>
      </c>
      <c r="E8" s="25" t="s">
        <v>28</v>
      </c>
      <c r="F8" s="25" t="s">
        <v>29</v>
      </c>
      <c r="G8" s="25">
        <v>-10.1</v>
      </c>
      <c r="H8" s="25">
        <v>-6</v>
      </c>
      <c r="I8" s="30">
        <v>4.0999999999999996</v>
      </c>
      <c r="J8" s="25">
        <v>-6.4</v>
      </c>
      <c r="K8" s="25">
        <v>-0.8</v>
      </c>
      <c r="L8" s="25">
        <v>57.8</v>
      </c>
      <c r="M8" s="25">
        <v>59.5</v>
      </c>
      <c r="N8" s="25">
        <v>-1.7</v>
      </c>
      <c r="O8" s="25"/>
      <c r="P8" s="25"/>
      <c r="Q8" s="25"/>
    </row>
    <row r="9" spans="1:17" x14ac:dyDescent="0.25">
      <c r="A9" s="25">
        <v>6</v>
      </c>
      <c r="B9" s="25" t="s">
        <v>30</v>
      </c>
      <c r="C9" s="25" t="s">
        <v>27</v>
      </c>
      <c r="D9" s="25" t="s">
        <v>27</v>
      </c>
      <c r="E9" s="25" t="s">
        <v>31</v>
      </c>
      <c r="F9" s="25" t="s">
        <v>32</v>
      </c>
      <c r="G9" s="25">
        <v>4.5</v>
      </c>
      <c r="H9" s="25">
        <v>9.5</v>
      </c>
      <c r="I9" s="30">
        <v>5</v>
      </c>
      <c r="J9" s="25">
        <v>6.7</v>
      </c>
      <c r="K9" s="25">
        <v>9.9</v>
      </c>
      <c r="L9" s="25">
        <v>47.1</v>
      </c>
      <c r="M9" s="25">
        <v>53</v>
      </c>
      <c r="N9" s="30">
        <v>-5.9</v>
      </c>
      <c r="O9" s="25"/>
      <c r="P9" s="25"/>
      <c r="Q9" s="25"/>
    </row>
    <row r="10" spans="1:17" x14ac:dyDescent="0.25">
      <c r="A10" s="25">
        <v>6</v>
      </c>
      <c r="B10" s="25" t="s">
        <v>30</v>
      </c>
      <c r="C10" s="25" t="s">
        <v>27</v>
      </c>
      <c r="D10" s="25" t="s">
        <v>27</v>
      </c>
      <c r="E10" s="25" t="s">
        <v>33</v>
      </c>
      <c r="F10" s="25" t="s">
        <v>34</v>
      </c>
      <c r="G10" s="25">
        <v>8.4</v>
      </c>
      <c r="H10" s="25">
        <v>7</v>
      </c>
      <c r="I10" s="25">
        <v>-1.4</v>
      </c>
      <c r="J10" s="25">
        <v>7.6</v>
      </c>
      <c r="K10" s="25">
        <v>9.8000000000000007</v>
      </c>
      <c r="L10" s="25">
        <v>54.5</v>
      </c>
      <c r="M10" s="25">
        <v>50</v>
      </c>
      <c r="N10" s="30">
        <v>4.5</v>
      </c>
      <c r="O10" s="25"/>
      <c r="P10" s="25"/>
      <c r="Q10" s="25"/>
    </row>
    <row r="11" spans="1:17" x14ac:dyDescent="0.25">
      <c r="A11" s="25">
        <v>6</v>
      </c>
      <c r="B11" s="25" t="s">
        <v>30</v>
      </c>
      <c r="C11" s="25" t="s">
        <v>27</v>
      </c>
      <c r="D11" s="25" t="s">
        <v>27</v>
      </c>
      <c r="E11" s="25" t="s">
        <v>35</v>
      </c>
      <c r="F11" s="25" t="s">
        <v>36</v>
      </c>
      <c r="G11" s="25">
        <v>3.8</v>
      </c>
      <c r="H11" s="25">
        <v>3.5</v>
      </c>
      <c r="I11" s="25">
        <v>-0.3</v>
      </c>
      <c r="J11" s="25">
        <v>-5.7</v>
      </c>
      <c r="K11" s="25">
        <v>-0.7</v>
      </c>
      <c r="L11" s="25">
        <v>56.2</v>
      </c>
      <c r="M11" s="25">
        <v>60</v>
      </c>
      <c r="N11" s="30">
        <v>-3.8</v>
      </c>
      <c r="O11" s="25"/>
      <c r="P11" s="25"/>
      <c r="Q11" s="25"/>
    </row>
    <row r="12" spans="1:17" x14ac:dyDescent="0.25">
      <c r="A12" s="25">
        <v>6</v>
      </c>
      <c r="B12" s="25" t="s">
        <v>30</v>
      </c>
      <c r="C12" s="25" t="s">
        <v>27</v>
      </c>
      <c r="D12" s="25" t="s">
        <v>27</v>
      </c>
      <c r="E12" s="25" t="s">
        <v>37</v>
      </c>
      <c r="F12" s="25" t="s">
        <v>38</v>
      </c>
      <c r="G12" s="25">
        <v>-17</v>
      </c>
      <c r="H12" s="25">
        <v>-4</v>
      </c>
      <c r="I12" s="30">
        <v>13</v>
      </c>
      <c r="J12" s="25">
        <v>-10.6</v>
      </c>
      <c r="K12" s="25">
        <v>-16.3</v>
      </c>
      <c r="L12" s="25">
        <v>47.5</v>
      </c>
      <c r="M12" s="25">
        <v>47</v>
      </c>
      <c r="N12" s="25">
        <v>0.5</v>
      </c>
      <c r="O12" s="25"/>
      <c r="P12" s="25"/>
      <c r="Q12" s="25"/>
    </row>
    <row r="13" spans="1:17" x14ac:dyDescent="0.25">
      <c r="A13" s="25">
        <v>6</v>
      </c>
      <c r="B13" s="25" t="s">
        <v>30</v>
      </c>
      <c r="C13" s="25" t="s">
        <v>27</v>
      </c>
      <c r="D13" s="25" t="s">
        <v>27</v>
      </c>
      <c r="E13" s="25" t="s">
        <v>39</v>
      </c>
      <c r="F13" s="25" t="s">
        <v>40</v>
      </c>
      <c r="G13" s="25">
        <v>-22.1</v>
      </c>
      <c r="H13" s="25">
        <v>-9.5</v>
      </c>
      <c r="I13" s="30">
        <v>12.6</v>
      </c>
      <c r="J13" s="25">
        <v>-4.2</v>
      </c>
      <c r="K13" s="25">
        <v>-6.6</v>
      </c>
      <c r="L13" s="25">
        <v>43.2</v>
      </c>
      <c r="M13" s="25">
        <v>49.5</v>
      </c>
      <c r="N13" s="30">
        <v>-6.3</v>
      </c>
      <c r="O13" s="25"/>
      <c r="P13" s="25"/>
      <c r="Q13" s="25"/>
    </row>
    <row r="14" spans="1:17" x14ac:dyDescent="0.25">
      <c r="A14" s="25">
        <v>6</v>
      </c>
      <c r="B14" s="25" t="s">
        <v>41</v>
      </c>
      <c r="C14" s="25" t="s">
        <v>42</v>
      </c>
      <c r="D14" s="25" t="s">
        <v>42</v>
      </c>
      <c r="E14" s="25" t="s">
        <v>43</v>
      </c>
      <c r="F14" s="25" t="s">
        <v>44</v>
      </c>
      <c r="G14" s="25">
        <v>-0.2</v>
      </c>
      <c r="H14" s="25">
        <v>-7</v>
      </c>
      <c r="I14" s="30">
        <v>-6.8</v>
      </c>
      <c r="J14" s="25">
        <v>-6.8</v>
      </c>
      <c r="K14" s="25">
        <v>-2.7</v>
      </c>
      <c r="L14" s="25">
        <v>57.9</v>
      </c>
      <c r="M14" s="25">
        <v>52.5</v>
      </c>
      <c r="N14" s="30">
        <v>5.4</v>
      </c>
      <c r="O14" s="25"/>
      <c r="P14" s="25"/>
      <c r="Q14" s="25"/>
    </row>
    <row r="15" spans="1:17" x14ac:dyDescent="0.25">
      <c r="A15" s="25">
        <v>6</v>
      </c>
      <c r="B15" s="25" t="s">
        <v>30</v>
      </c>
      <c r="C15" s="25" t="s">
        <v>42</v>
      </c>
      <c r="D15" s="25" t="s">
        <v>42</v>
      </c>
      <c r="E15" s="25" t="s">
        <v>45</v>
      </c>
      <c r="F15" s="25" t="s">
        <v>46</v>
      </c>
      <c r="G15" s="25">
        <v>-5.0999999999999996</v>
      </c>
      <c r="H15" s="25">
        <v>-3</v>
      </c>
      <c r="I15" s="30">
        <v>2.1</v>
      </c>
      <c r="J15" s="25">
        <v>3.8</v>
      </c>
      <c r="K15" s="25">
        <v>-13.5</v>
      </c>
      <c r="L15" s="25">
        <v>57.7</v>
      </c>
      <c r="M15" s="25">
        <v>47</v>
      </c>
      <c r="N15" s="30">
        <v>10.7</v>
      </c>
      <c r="O15" s="25"/>
      <c r="P15" s="25"/>
      <c r="Q15" s="25"/>
    </row>
    <row r="16" spans="1:17" x14ac:dyDescent="0.25">
      <c r="A16" s="25">
        <v>6</v>
      </c>
      <c r="B16" s="25" t="s">
        <v>30</v>
      </c>
      <c r="C16" s="25" t="s">
        <v>42</v>
      </c>
      <c r="D16" s="25" t="s">
        <v>42</v>
      </c>
      <c r="E16" s="25" t="s">
        <v>47</v>
      </c>
      <c r="F16" s="25" t="s">
        <v>48</v>
      </c>
      <c r="G16" s="25">
        <v>-20.3</v>
      </c>
      <c r="H16" s="25">
        <v>-10</v>
      </c>
      <c r="I16" s="30">
        <v>10.3</v>
      </c>
      <c r="J16" s="25">
        <v>-10.5</v>
      </c>
      <c r="K16" s="25">
        <v>-9.8000000000000007</v>
      </c>
      <c r="L16" s="25">
        <v>48.2</v>
      </c>
      <c r="M16" s="25">
        <v>50</v>
      </c>
      <c r="N16" s="25">
        <v>-1.8</v>
      </c>
      <c r="O16" s="25"/>
      <c r="P16" s="25"/>
      <c r="Q16" s="25"/>
    </row>
    <row r="17" spans="1:17" x14ac:dyDescent="0.25">
      <c r="A17" s="25">
        <v>6</v>
      </c>
      <c r="B17" s="25" t="s">
        <v>30</v>
      </c>
      <c r="C17" s="25" t="s">
        <v>42</v>
      </c>
      <c r="D17" s="25" t="s">
        <v>42</v>
      </c>
      <c r="E17" s="25" t="s">
        <v>49</v>
      </c>
      <c r="F17" s="25" t="s">
        <v>50</v>
      </c>
      <c r="G17" s="25">
        <v>-18.5</v>
      </c>
      <c r="H17" s="25">
        <v>-15.5</v>
      </c>
      <c r="I17" s="30">
        <v>3</v>
      </c>
      <c r="J17" s="25">
        <v>-12.8</v>
      </c>
      <c r="K17" s="25">
        <v>-16.2</v>
      </c>
      <c r="L17" s="25">
        <v>56.6</v>
      </c>
      <c r="M17" s="25">
        <v>58.5</v>
      </c>
      <c r="N17" s="25">
        <v>-1.9</v>
      </c>
      <c r="O17" s="25"/>
      <c r="P17" s="25"/>
      <c r="Q17" s="25"/>
    </row>
    <row r="18" spans="1:17" x14ac:dyDescent="0.25">
      <c r="A18" s="25">
        <v>6</v>
      </c>
      <c r="B18" s="25" t="s">
        <v>30</v>
      </c>
      <c r="C18" s="25" t="s">
        <v>42</v>
      </c>
      <c r="D18" s="25" t="s">
        <v>42</v>
      </c>
      <c r="E18" s="25" t="s">
        <v>51</v>
      </c>
      <c r="F18" s="25" t="s">
        <v>52</v>
      </c>
      <c r="G18" s="25">
        <v>-13.6</v>
      </c>
      <c r="H18" s="25">
        <v>-2.5</v>
      </c>
      <c r="I18" s="30">
        <v>11.1</v>
      </c>
      <c r="J18" s="25">
        <v>-5.8</v>
      </c>
      <c r="K18" s="25">
        <v>-0.1</v>
      </c>
      <c r="L18" s="25">
        <v>52.7</v>
      </c>
      <c r="M18" s="25">
        <v>49</v>
      </c>
      <c r="N18" s="30">
        <v>3.7</v>
      </c>
      <c r="O18" s="25"/>
      <c r="P18" s="25"/>
      <c r="Q18" s="25"/>
    </row>
    <row r="19" spans="1:17" x14ac:dyDescent="0.25">
      <c r="A19" s="25">
        <v>6</v>
      </c>
      <c r="B19" s="25" t="s">
        <v>30</v>
      </c>
      <c r="C19" s="25" t="s">
        <v>42</v>
      </c>
      <c r="D19" s="25" t="s">
        <v>42</v>
      </c>
      <c r="E19" s="25" t="s">
        <v>53</v>
      </c>
      <c r="F19" s="25" t="s">
        <v>54</v>
      </c>
      <c r="G19" s="25">
        <v>-29.2</v>
      </c>
      <c r="H19" s="25">
        <v>-27</v>
      </c>
      <c r="I19" s="30">
        <v>2.2000000000000002</v>
      </c>
      <c r="J19" s="25">
        <v>-21</v>
      </c>
      <c r="K19" s="25">
        <v>-25.6</v>
      </c>
      <c r="L19" s="25">
        <v>56.3</v>
      </c>
      <c r="M19" s="25">
        <v>59.5</v>
      </c>
      <c r="N19" s="30">
        <v>-3.2</v>
      </c>
      <c r="O19" s="25"/>
      <c r="P19" s="25"/>
      <c r="Q19" s="25"/>
    </row>
    <row r="20" spans="1:17" x14ac:dyDescent="0.25">
      <c r="A20" s="25">
        <v>6</v>
      </c>
      <c r="B20" s="25" t="s">
        <v>30</v>
      </c>
      <c r="C20" s="25" t="s">
        <v>42</v>
      </c>
      <c r="D20" s="25" t="s">
        <v>55</v>
      </c>
      <c r="E20" s="25" t="s">
        <v>56</v>
      </c>
      <c r="F20" s="25" t="s">
        <v>57</v>
      </c>
      <c r="G20" s="25">
        <v>-9.1999999999999993</v>
      </c>
      <c r="H20" s="25">
        <v>-4</v>
      </c>
      <c r="I20" s="30">
        <v>5.2</v>
      </c>
      <c r="J20" s="25">
        <v>-7.8</v>
      </c>
      <c r="K20" s="25">
        <v>-3.2</v>
      </c>
      <c r="L20" s="25">
        <v>58.5</v>
      </c>
      <c r="M20" s="25">
        <v>54.5</v>
      </c>
      <c r="N20" s="30">
        <v>4</v>
      </c>
      <c r="O20" s="25"/>
      <c r="P20" s="25"/>
      <c r="Q20" s="25"/>
    </row>
    <row r="21" spans="1:17" x14ac:dyDescent="0.25">
      <c r="A21" s="25">
        <v>6</v>
      </c>
      <c r="B21" s="25" t="s">
        <v>30</v>
      </c>
      <c r="C21" s="25" t="s">
        <v>58</v>
      </c>
      <c r="D21" s="25" t="s">
        <v>58</v>
      </c>
      <c r="E21" s="25" t="s">
        <v>59</v>
      </c>
      <c r="F21" s="25" t="s">
        <v>60</v>
      </c>
      <c r="G21" s="25">
        <v>-11.2</v>
      </c>
      <c r="H21" s="25">
        <v>-12.8</v>
      </c>
      <c r="I21" s="25">
        <v>-1.6</v>
      </c>
      <c r="J21" s="25">
        <v>-17.899999999999999</v>
      </c>
      <c r="K21" s="25">
        <v>-10.1</v>
      </c>
      <c r="L21" s="25">
        <v>50.7</v>
      </c>
      <c r="M21" s="25">
        <v>49.5</v>
      </c>
      <c r="N21" s="25">
        <v>1.2</v>
      </c>
      <c r="O21" s="25"/>
      <c r="P21" s="25"/>
      <c r="Q21" s="25"/>
    </row>
    <row r="22" spans="1:17" x14ac:dyDescent="0.25">
      <c r="A22" s="25">
        <v>6</v>
      </c>
      <c r="B22" s="25" t="s">
        <v>30</v>
      </c>
      <c r="C22" s="25" t="s">
        <v>58</v>
      </c>
      <c r="D22" s="25" t="s">
        <v>58</v>
      </c>
      <c r="E22" s="25" t="s">
        <v>61</v>
      </c>
      <c r="F22" s="25" t="s">
        <v>62</v>
      </c>
      <c r="G22" s="25">
        <v>-3.4</v>
      </c>
      <c r="H22" s="25">
        <v>-2.5</v>
      </c>
      <c r="I22" s="25">
        <v>0.9</v>
      </c>
      <c r="J22" s="25">
        <v>-1.1000000000000001</v>
      </c>
      <c r="K22" s="25">
        <v>3.5</v>
      </c>
      <c r="L22" s="25">
        <v>59.4</v>
      </c>
      <c r="M22" s="25">
        <v>56</v>
      </c>
      <c r="N22" s="30">
        <v>3.4</v>
      </c>
      <c r="O22" s="25"/>
      <c r="P22" s="25"/>
      <c r="Q22" s="25"/>
    </row>
    <row r="23" spans="1:17" x14ac:dyDescent="0.25">
      <c r="A23" s="25">
        <v>6</v>
      </c>
      <c r="B23" s="25" t="s">
        <v>30</v>
      </c>
      <c r="C23" s="25" t="s">
        <v>58</v>
      </c>
      <c r="D23" s="25" t="s">
        <v>58</v>
      </c>
      <c r="E23" s="25" t="s">
        <v>63</v>
      </c>
      <c r="F23" s="25" t="s">
        <v>64</v>
      </c>
      <c r="G23" s="25">
        <v>1.1000000000000001</v>
      </c>
      <c r="H23" s="25">
        <v>-10</v>
      </c>
      <c r="I23" s="30">
        <v>-11.1</v>
      </c>
      <c r="J23" s="25">
        <v>1.5</v>
      </c>
      <c r="K23" s="25">
        <v>-1.6</v>
      </c>
      <c r="L23" s="25">
        <v>44.9</v>
      </c>
      <c r="M23" s="25">
        <v>54</v>
      </c>
      <c r="N23" s="30">
        <v>-9.1</v>
      </c>
      <c r="O23" s="25"/>
      <c r="P23" s="25"/>
      <c r="Q23" s="25"/>
    </row>
    <row r="24" spans="1:17" x14ac:dyDescent="0.25">
      <c r="A24" s="25">
        <v>6</v>
      </c>
      <c r="B24" s="25" t="s">
        <v>30</v>
      </c>
      <c r="C24" s="25" t="s">
        <v>58</v>
      </c>
      <c r="D24" s="25" t="s">
        <v>58</v>
      </c>
      <c r="E24" s="25" t="s">
        <v>65</v>
      </c>
      <c r="F24" s="25" t="s">
        <v>66</v>
      </c>
      <c r="G24" s="25">
        <v>10.9</v>
      </c>
      <c r="H24" s="25">
        <v>3</v>
      </c>
      <c r="I24" s="30">
        <v>-7.9</v>
      </c>
      <c r="J24" s="25">
        <v>10.5</v>
      </c>
      <c r="K24" s="25">
        <v>-0.7</v>
      </c>
      <c r="L24" s="25">
        <v>52.9</v>
      </c>
      <c r="M24" s="25">
        <v>60</v>
      </c>
      <c r="N24" s="30">
        <v>-7.1</v>
      </c>
      <c r="O24" s="25"/>
      <c r="P24" s="25"/>
      <c r="Q24" s="25"/>
    </row>
    <row r="25" spans="1:17" x14ac:dyDescent="0.25">
      <c r="A25" s="25">
        <v>6</v>
      </c>
      <c r="B25" s="25" t="s">
        <v>67</v>
      </c>
      <c r="C25" s="25" t="s">
        <v>58</v>
      </c>
      <c r="D25" s="25" t="s">
        <v>68</v>
      </c>
      <c r="E25" s="25" t="s">
        <v>69</v>
      </c>
      <c r="F25" s="25" t="s">
        <v>70</v>
      </c>
      <c r="G25" s="25">
        <v>-15.7</v>
      </c>
      <c r="H25" s="25">
        <v>-21</v>
      </c>
      <c r="I25" s="30">
        <v>-5.3</v>
      </c>
      <c r="J25" s="25">
        <v>-17.2</v>
      </c>
      <c r="K25" s="25">
        <v>-15.5</v>
      </c>
      <c r="L25" s="25">
        <v>47</v>
      </c>
      <c r="M25" s="25">
        <v>51</v>
      </c>
      <c r="N25" s="30">
        <v>-4</v>
      </c>
      <c r="O25" s="25"/>
      <c r="P25" s="25"/>
      <c r="Q25" s="25"/>
    </row>
    <row r="26" spans="1:17" x14ac:dyDescent="0.25">
      <c r="A26" s="25">
        <v>6</v>
      </c>
      <c r="B26" s="25" t="s">
        <v>67</v>
      </c>
      <c r="C26" s="25" t="s">
        <v>58</v>
      </c>
      <c r="D26" s="25" t="s">
        <v>58</v>
      </c>
      <c r="E26" s="25" t="s">
        <v>71</v>
      </c>
      <c r="F26" s="25" t="s">
        <v>72</v>
      </c>
      <c r="G26" s="25">
        <v>-18.399999999999999</v>
      </c>
      <c r="H26" s="25">
        <v>-15.5</v>
      </c>
      <c r="I26" s="30">
        <v>2.9</v>
      </c>
      <c r="J26" s="25">
        <v>-20.3</v>
      </c>
      <c r="K26" s="25">
        <v>-13.7</v>
      </c>
      <c r="L26" s="25">
        <v>51.8</v>
      </c>
      <c r="M26" s="25">
        <v>52</v>
      </c>
      <c r="N26" s="25">
        <v>-0.2</v>
      </c>
      <c r="O26" s="25"/>
      <c r="P26" s="25"/>
      <c r="Q26" s="25"/>
    </row>
    <row r="27" spans="1:17" x14ac:dyDescent="0.25">
      <c r="A27" s="25">
        <v>6</v>
      </c>
      <c r="B27" s="25" t="s">
        <v>30</v>
      </c>
      <c r="C27" s="25" t="s">
        <v>73</v>
      </c>
      <c r="D27" s="25" t="s">
        <v>73</v>
      </c>
      <c r="E27" s="25" t="s">
        <v>74</v>
      </c>
      <c r="F27" s="25" t="s">
        <v>75</v>
      </c>
      <c r="G27" s="25">
        <v>2.1</v>
      </c>
      <c r="H27" s="25">
        <v>3.5</v>
      </c>
      <c r="I27" s="25">
        <v>1.4</v>
      </c>
      <c r="J27" s="25">
        <v>6.9</v>
      </c>
      <c r="K27" s="25">
        <v>-3.7</v>
      </c>
      <c r="L27" s="25">
        <v>54.1</v>
      </c>
      <c r="M27" s="25">
        <v>50</v>
      </c>
      <c r="N27" s="30">
        <v>4.0999999999999996</v>
      </c>
      <c r="O27" s="25"/>
      <c r="P27" s="25"/>
      <c r="Q27" s="25"/>
    </row>
    <row r="28" spans="1:17" x14ac:dyDescent="0.25">
      <c r="A28" s="25">
        <v>6</v>
      </c>
      <c r="B28" s="25" t="s">
        <v>30</v>
      </c>
      <c r="C28" s="25" t="s">
        <v>73</v>
      </c>
      <c r="D28" s="25" t="s">
        <v>73</v>
      </c>
      <c r="E28" s="25" t="s">
        <v>76</v>
      </c>
      <c r="F28" s="25" t="s">
        <v>77</v>
      </c>
      <c r="G28" s="25">
        <v>13.7</v>
      </c>
      <c r="H28" s="25">
        <v>8</v>
      </c>
      <c r="I28" s="30">
        <v>-5.7</v>
      </c>
      <c r="J28" s="25">
        <v>10.1</v>
      </c>
      <c r="K28" s="25">
        <v>-2.2000000000000002</v>
      </c>
      <c r="L28" s="25">
        <v>54.7</v>
      </c>
      <c r="M28" s="25">
        <v>51.2</v>
      </c>
      <c r="N28" s="30">
        <v>3.5</v>
      </c>
      <c r="O28" s="25"/>
      <c r="P28" s="25"/>
      <c r="Q28" s="25"/>
    </row>
    <row r="29" spans="1:17" x14ac:dyDescent="0.25">
      <c r="A29" s="25">
        <v>6</v>
      </c>
      <c r="B29" s="25" t="s">
        <v>30</v>
      </c>
      <c r="C29" s="25" t="s">
        <v>73</v>
      </c>
      <c r="D29" s="25" t="s">
        <v>78</v>
      </c>
      <c r="E29" s="25" t="s">
        <v>79</v>
      </c>
      <c r="F29" s="25" t="s">
        <v>80</v>
      </c>
      <c r="G29" s="25">
        <v>-36.700000000000003</v>
      </c>
      <c r="H29" s="25">
        <v>-36</v>
      </c>
      <c r="I29" s="25">
        <v>0.7</v>
      </c>
      <c r="J29" s="25">
        <v>-34.299999999999997</v>
      </c>
      <c r="K29" s="25">
        <v>-29</v>
      </c>
      <c r="L29" s="25">
        <v>54.3</v>
      </c>
      <c r="M29" s="25">
        <v>53</v>
      </c>
      <c r="N29" s="25">
        <v>1.3</v>
      </c>
      <c r="O29" s="25"/>
      <c r="P29" s="25"/>
      <c r="Q29" s="25"/>
    </row>
    <row r="30" spans="1:17" x14ac:dyDescent="0.25">
      <c r="A30" s="25">
        <v>6</v>
      </c>
      <c r="B30" s="25" t="s">
        <v>30</v>
      </c>
      <c r="C30" s="25" t="s">
        <v>73</v>
      </c>
      <c r="D30" s="25" t="s">
        <v>73</v>
      </c>
      <c r="E30" s="25" t="s">
        <v>81</v>
      </c>
      <c r="F30" s="25" t="s">
        <v>82</v>
      </c>
      <c r="G30" s="25">
        <v>-39.4</v>
      </c>
      <c r="H30" s="25">
        <v>-35</v>
      </c>
      <c r="I30" s="30">
        <v>4.4000000000000004</v>
      </c>
      <c r="J30" s="25">
        <v>-33.200000000000003</v>
      </c>
      <c r="K30" s="25">
        <v>-21.8</v>
      </c>
      <c r="L30" s="25">
        <v>49</v>
      </c>
      <c r="M30" s="25">
        <v>56</v>
      </c>
      <c r="N30" s="30">
        <v>-7</v>
      </c>
      <c r="O30" s="25"/>
      <c r="P30" s="25"/>
      <c r="Q30" s="25"/>
    </row>
    <row r="31" spans="1:17" x14ac:dyDescent="0.25">
      <c r="A31" s="25">
        <v>6</v>
      </c>
      <c r="B31" s="25" t="s">
        <v>30</v>
      </c>
      <c r="C31" s="25" t="s">
        <v>73</v>
      </c>
      <c r="D31" s="25" t="s">
        <v>73</v>
      </c>
      <c r="E31" s="25" t="s">
        <v>83</v>
      </c>
      <c r="F31" s="25" t="s">
        <v>84</v>
      </c>
      <c r="G31" s="25">
        <v>-20.6</v>
      </c>
      <c r="H31" s="25">
        <v>-12.2</v>
      </c>
      <c r="I31" s="30">
        <v>8.4</v>
      </c>
      <c r="J31" s="25">
        <v>-20.399999999999999</v>
      </c>
      <c r="K31" s="25">
        <v>-3.9</v>
      </c>
      <c r="L31" s="25">
        <v>51.4</v>
      </c>
      <c r="M31" s="25">
        <v>60.2</v>
      </c>
      <c r="N31" s="30">
        <v>-8.9</v>
      </c>
      <c r="O31" s="25"/>
      <c r="P31" s="25"/>
      <c r="Q31" s="25"/>
    </row>
    <row r="32" spans="1:17" x14ac:dyDescent="0.25">
      <c r="A32" s="25">
        <v>6</v>
      </c>
      <c r="B32" s="25" t="s">
        <v>30</v>
      </c>
      <c r="C32" s="25" t="s">
        <v>73</v>
      </c>
      <c r="D32" s="25" t="s">
        <v>73</v>
      </c>
      <c r="E32" s="25" t="s">
        <v>85</v>
      </c>
      <c r="F32" s="25" t="s">
        <v>86</v>
      </c>
      <c r="G32" s="25">
        <v>-3.7</v>
      </c>
      <c r="H32" s="25">
        <v>-0.2</v>
      </c>
      <c r="I32" s="30">
        <v>3.5</v>
      </c>
      <c r="J32" s="25">
        <v>6.3</v>
      </c>
      <c r="K32" s="25">
        <v>-6.7</v>
      </c>
      <c r="L32" s="25">
        <v>54.6</v>
      </c>
      <c r="M32" s="25">
        <v>56.8</v>
      </c>
      <c r="N32" s="30">
        <v>-2.1</v>
      </c>
      <c r="O32" s="25"/>
      <c r="P32" s="25"/>
      <c r="Q32" s="25"/>
    </row>
    <row r="33" spans="1:17" x14ac:dyDescent="0.25">
      <c r="A33" s="25">
        <v>6</v>
      </c>
      <c r="B33" s="25" t="s">
        <v>30</v>
      </c>
      <c r="C33" s="25" t="s">
        <v>73</v>
      </c>
      <c r="D33" s="25" t="s">
        <v>73</v>
      </c>
      <c r="E33" s="25" t="s">
        <v>87</v>
      </c>
      <c r="F33" s="25" t="s">
        <v>88</v>
      </c>
      <c r="G33" s="25">
        <v>2</v>
      </c>
      <c r="H33" s="25">
        <v>-2</v>
      </c>
      <c r="I33" s="30">
        <v>-4</v>
      </c>
      <c r="J33" s="25">
        <v>-1.1000000000000001</v>
      </c>
      <c r="K33" s="25">
        <v>3.3</v>
      </c>
      <c r="L33" s="25">
        <v>41.3</v>
      </c>
      <c r="M33" s="25">
        <v>41.5</v>
      </c>
      <c r="N33" s="25">
        <v>-0.2</v>
      </c>
      <c r="O33" s="25"/>
      <c r="P33" s="25"/>
      <c r="Q33" s="25"/>
    </row>
    <row r="34" spans="1:17" x14ac:dyDescent="0.25">
      <c r="A34" s="25">
        <v>6</v>
      </c>
      <c r="B34" s="25" t="s">
        <v>67</v>
      </c>
      <c r="C34" s="25" t="s">
        <v>73</v>
      </c>
      <c r="D34" s="25" t="s">
        <v>73</v>
      </c>
      <c r="E34" s="25" t="s">
        <v>89</v>
      </c>
      <c r="F34" s="25" t="s">
        <v>90</v>
      </c>
      <c r="G34" s="25">
        <v>8.5</v>
      </c>
      <c r="H34" s="25">
        <v>2</v>
      </c>
      <c r="I34" s="30">
        <v>-6.5</v>
      </c>
      <c r="J34" s="25">
        <v>11.3</v>
      </c>
      <c r="K34" s="25">
        <v>0.7</v>
      </c>
      <c r="L34" s="25">
        <v>53.3</v>
      </c>
      <c r="M34" s="25">
        <v>51.5</v>
      </c>
      <c r="N34" s="25">
        <v>1.8</v>
      </c>
      <c r="O34" s="25"/>
      <c r="P34" s="25"/>
      <c r="Q34" s="25"/>
    </row>
    <row r="35" spans="1:17" x14ac:dyDescent="0.25">
      <c r="A35" s="25">
        <v>6</v>
      </c>
      <c r="B35" s="25" t="s">
        <v>91</v>
      </c>
      <c r="C35" s="25" t="s">
        <v>92</v>
      </c>
      <c r="D35" s="25" t="s">
        <v>92</v>
      </c>
      <c r="E35" s="25" t="s">
        <v>93</v>
      </c>
      <c r="F35" s="25" t="s">
        <v>94</v>
      </c>
      <c r="G35" s="25">
        <v>-7.5</v>
      </c>
      <c r="H35" s="25">
        <v>-4.5</v>
      </c>
      <c r="I35" s="30">
        <v>3</v>
      </c>
      <c r="J35" s="25">
        <v>-6.3</v>
      </c>
      <c r="K35" s="25">
        <v>-6.7</v>
      </c>
      <c r="L35" s="25">
        <v>52.1</v>
      </c>
      <c r="M35" s="25">
        <v>47</v>
      </c>
      <c r="N35" s="30">
        <v>5.0999999999999996</v>
      </c>
      <c r="O35" s="25"/>
      <c r="P35" s="25"/>
      <c r="Q35" s="25"/>
    </row>
    <row r="36" spans="1:17" x14ac:dyDescent="0.25">
      <c r="A36" s="25">
        <v>6</v>
      </c>
      <c r="B36" s="25" t="s">
        <v>91</v>
      </c>
      <c r="C36" s="25" t="s">
        <v>92</v>
      </c>
      <c r="D36" s="25" t="s">
        <v>92</v>
      </c>
      <c r="E36" s="25" t="s">
        <v>95</v>
      </c>
      <c r="F36" s="25" t="s">
        <v>96</v>
      </c>
      <c r="G36" s="25">
        <v>1.5</v>
      </c>
      <c r="H36" s="25">
        <v>2.8</v>
      </c>
      <c r="I36" s="25">
        <v>1.2</v>
      </c>
      <c r="J36" s="25">
        <v>7.8</v>
      </c>
      <c r="K36" s="25">
        <v>-1.8</v>
      </c>
      <c r="L36" s="25">
        <v>54.2</v>
      </c>
      <c r="M36" s="25">
        <v>49.2</v>
      </c>
      <c r="N36" s="30">
        <v>5</v>
      </c>
      <c r="O36" s="25"/>
      <c r="P36" s="25"/>
      <c r="Q36" s="25"/>
    </row>
    <row r="37" spans="1:17" x14ac:dyDescent="0.25">
      <c r="A37" s="25">
        <v>6</v>
      </c>
      <c r="B37" s="25" t="s">
        <v>41</v>
      </c>
      <c r="C37" s="25" t="s">
        <v>92</v>
      </c>
      <c r="D37" s="25" t="s">
        <v>92</v>
      </c>
      <c r="E37" s="25" t="s">
        <v>97</v>
      </c>
      <c r="F37" s="25" t="s">
        <v>98</v>
      </c>
      <c r="G37" s="25">
        <v>-17.3</v>
      </c>
      <c r="H37" s="25">
        <v>-14</v>
      </c>
      <c r="I37" s="30">
        <v>3.3</v>
      </c>
      <c r="J37" s="25">
        <v>-14.8</v>
      </c>
      <c r="K37" s="25">
        <v>-12.7</v>
      </c>
      <c r="L37" s="25">
        <v>52.1</v>
      </c>
      <c r="M37" s="25">
        <v>52.5</v>
      </c>
      <c r="N37" s="25">
        <v>-0.4</v>
      </c>
      <c r="O37" s="25"/>
      <c r="P37" s="25"/>
      <c r="Q37" s="25"/>
    </row>
    <row r="38" spans="1:17" x14ac:dyDescent="0.25">
      <c r="A38" s="25">
        <v>6</v>
      </c>
      <c r="B38" s="25" t="s">
        <v>41</v>
      </c>
      <c r="C38" s="25" t="s">
        <v>92</v>
      </c>
      <c r="D38" s="25" t="s">
        <v>92</v>
      </c>
      <c r="E38" s="25" t="s">
        <v>99</v>
      </c>
      <c r="F38" s="25" t="s">
        <v>100</v>
      </c>
      <c r="G38" s="25">
        <v>-4.4000000000000004</v>
      </c>
      <c r="H38" s="25">
        <v>-2.5</v>
      </c>
      <c r="I38" s="25">
        <v>1.9</v>
      </c>
      <c r="J38" s="25">
        <v>-8.1999999999999993</v>
      </c>
      <c r="K38" s="25">
        <v>0.5</v>
      </c>
      <c r="L38" s="25">
        <v>55.9</v>
      </c>
      <c r="M38" s="25">
        <v>55.5</v>
      </c>
      <c r="N38" s="25">
        <v>0.4</v>
      </c>
      <c r="O38" s="25"/>
      <c r="P38" s="25"/>
      <c r="Q38" s="25"/>
    </row>
    <row r="39" spans="1:17" x14ac:dyDescent="0.25">
      <c r="A39" s="25">
        <v>6</v>
      </c>
      <c r="B39" s="25" t="s">
        <v>30</v>
      </c>
      <c r="C39" s="25" t="s">
        <v>55</v>
      </c>
      <c r="D39" s="25" t="s">
        <v>27</v>
      </c>
      <c r="E39" s="25" t="s">
        <v>101</v>
      </c>
      <c r="F39" s="25" t="s">
        <v>102</v>
      </c>
      <c r="G39" s="25">
        <v>-34.6</v>
      </c>
      <c r="H39" s="25">
        <v>-38</v>
      </c>
      <c r="I39" s="30">
        <v>-3.4</v>
      </c>
      <c r="J39" s="25">
        <v>-38.799999999999997</v>
      </c>
      <c r="K39" s="25">
        <v>-38.200000000000003</v>
      </c>
      <c r="L39" s="25">
        <v>54.6</v>
      </c>
      <c r="M39" s="25">
        <v>54.5</v>
      </c>
      <c r="N39" s="25">
        <v>0.1</v>
      </c>
      <c r="O39" s="25"/>
      <c r="P39" s="25"/>
      <c r="Q39" s="25"/>
    </row>
    <row r="40" spans="1:17" x14ac:dyDescent="0.25">
      <c r="A40" s="25">
        <v>6</v>
      </c>
      <c r="B40" s="25" t="s">
        <v>30</v>
      </c>
      <c r="C40" s="25" t="s">
        <v>78</v>
      </c>
      <c r="D40" s="25" t="s">
        <v>78</v>
      </c>
      <c r="E40" s="25" t="s">
        <v>103</v>
      </c>
      <c r="F40" s="25" t="s">
        <v>104</v>
      </c>
      <c r="G40" s="25">
        <v>-0.4</v>
      </c>
      <c r="H40" s="25">
        <v>7</v>
      </c>
      <c r="I40" s="30">
        <v>7.4</v>
      </c>
      <c r="J40" s="25">
        <v>3.6</v>
      </c>
      <c r="K40" s="25">
        <v>2.8</v>
      </c>
      <c r="L40" s="25">
        <v>47.4</v>
      </c>
      <c r="M40" s="25">
        <v>51</v>
      </c>
      <c r="N40" s="30">
        <v>-3.6</v>
      </c>
      <c r="O40" s="25"/>
      <c r="P40" s="25"/>
      <c r="Q40" s="25"/>
    </row>
    <row r="41" spans="1:17" x14ac:dyDescent="0.25">
      <c r="A41" s="25">
        <v>6</v>
      </c>
      <c r="B41" s="25" t="s">
        <v>30</v>
      </c>
      <c r="C41" s="25" t="s">
        <v>78</v>
      </c>
      <c r="D41" s="25" t="s">
        <v>78</v>
      </c>
      <c r="E41" s="25" t="s">
        <v>105</v>
      </c>
      <c r="F41" s="25" t="s">
        <v>106</v>
      </c>
      <c r="G41" s="25">
        <v>-12.1</v>
      </c>
      <c r="H41" s="25">
        <v>-7</v>
      </c>
      <c r="I41" s="30">
        <v>5.0999999999999996</v>
      </c>
      <c r="J41" s="25">
        <v>-3.7</v>
      </c>
      <c r="K41" s="25">
        <v>-1.8</v>
      </c>
      <c r="L41" s="25">
        <v>45.7</v>
      </c>
      <c r="M41" s="25">
        <v>43</v>
      </c>
      <c r="N41" s="30">
        <v>2.7</v>
      </c>
      <c r="O41" s="25"/>
      <c r="P41" s="25"/>
      <c r="Q41" s="25"/>
    </row>
    <row r="42" spans="1:17" x14ac:dyDescent="0.25">
      <c r="A42" s="25">
        <v>6</v>
      </c>
      <c r="B42" s="25" t="s">
        <v>30</v>
      </c>
      <c r="C42" s="25" t="s">
        <v>78</v>
      </c>
      <c r="D42" s="25" t="s">
        <v>78</v>
      </c>
      <c r="E42" s="25" t="s">
        <v>107</v>
      </c>
      <c r="F42" s="25" t="s">
        <v>108</v>
      </c>
      <c r="G42" s="25">
        <v>14.5</v>
      </c>
      <c r="H42" s="25">
        <v>2.5</v>
      </c>
      <c r="I42" s="30">
        <v>-12</v>
      </c>
      <c r="J42" s="25">
        <v>8.1999999999999993</v>
      </c>
      <c r="K42" s="25">
        <v>-10.5</v>
      </c>
      <c r="L42" s="25">
        <v>53</v>
      </c>
      <c r="M42" s="25">
        <v>48</v>
      </c>
      <c r="N42" s="30">
        <v>5</v>
      </c>
      <c r="O42" s="25"/>
      <c r="P42" s="25"/>
      <c r="Q42" s="25"/>
    </row>
    <row r="43" spans="1:17" x14ac:dyDescent="0.25">
      <c r="A43" s="25">
        <v>6</v>
      </c>
      <c r="B43" s="25" t="s">
        <v>30</v>
      </c>
      <c r="C43" s="25" t="s">
        <v>78</v>
      </c>
      <c r="D43" s="25" t="s">
        <v>78</v>
      </c>
      <c r="E43" s="25" t="s">
        <v>109</v>
      </c>
      <c r="F43" s="25" t="s">
        <v>110</v>
      </c>
      <c r="G43" s="25">
        <v>-8</v>
      </c>
      <c r="H43" s="25">
        <v>-3.5</v>
      </c>
      <c r="I43" s="30">
        <v>4.5</v>
      </c>
      <c r="J43" s="25">
        <v>-12.1</v>
      </c>
      <c r="K43" s="25">
        <v>-6.9</v>
      </c>
      <c r="L43" s="25">
        <v>51.4</v>
      </c>
      <c r="M43" s="25">
        <v>47</v>
      </c>
      <c r="N43" s="30">
        <v>4.4000000000000004</v>
      </c>
      <c r="O43" s="25"/>
      <c r="P43" s="25"/>
      <c r="Q43" s="25"/>
    </row>
    <row r="44" spans="1:17" x14ac:dyDescent="0.25">
      <c r="A44" s="25">
        <v>6</v>
      </c>
      <c r="B44" s="25" t="s">
        <v>30</v>
      </c>
      <c r="C44" s="25" t="s">
        <v>78</v>
      </c>
      <c r="D44" s="25" t="s">
        <v>78</v>
      </c>
      <c r="E44" s="25" t="s">
        <v>111</v>
      </c>
      <c r="F44" s="25" t="s">
        <v>112</v>
      </c>
      <c r="G44" s="25">
        <v>-18.899999999999999</v>
      </c>
      <c r="H44" s="25">
        <v>-19.5</v>
      </c>
      <c r="I44" s="25">
        <v>-0.6</v>
      </c>
      <c r="J44" s="25">
        <v>-14.1</v>
      </c>
      <c r="K44" s="25">
        <v>-21</v>
      </c>
      <c r="L44" s="25">
        <v>47.5</v>
      </c>
      <c r="M44" s="25">
        <v>55</v>
      </c>
      <c r="N44" s="30">
        <v>-7.5</v>
      </c>
      <c r="O44" s="25"/>
      <c r="P44" s="25"/>
      <c r="Q44" s="25"/>
    </row>
    <row r="45" spans="1:17" x14ac:dyDescent="0.25">
      <c r="A45" s="25">
        <v>6</v>
      </c>
      <c r="B45" s="25" t="s">
        <v>30</v>
      </c>
      <c r="C45" s="25" t="s">
        <v>78</v>
      </c>
      <c r="D45" s="25" t="s">
        <v>78</v>
      </c>
      <c r="E45" s="25" t="s">
        <v>113</v>
      </c>
      <c r="F45" s="25" t="s">
        <v>114</v>
      </c>
      <c r="G45" s="25">
        <v>-20.7</v>
      </c>
      <c r="H45" s="25">
        <v>-14</v>
      </c>
      <c r="I45" s="30">
        <v>6.7</v>
      </c>
      <c r="J45" s="25">
        <v>-18.8</v>
      </c>
      <c r="K45" s="25">
        <v>-17.2</v>
      </c>
      <c r="L45" s="25">
        <v>47.5</v>
      </c>
      <c r="M45" s="25">
        <v>43.5</v>
      </c>
      <c r="N45" s="30">
        <v>4</v>
      </c>
      <c r="O45" s="25"/>
      <c r="P45" s="25"/>
      <c r="Q45" s="25"/>
    </row>
    <row r="46" spans="1:17" x14ac:dyDescent="0.25">
      <c r="A46" s="25">
        <v>6</v>
      </c>
      <c r="B46" s="25" t="s">
        <v>30</v>
      </c>
      <c r="C46" s="25" t="s">
        <v>68</v>
      </c>
      <c r="D46" s="25" t="s">
        <v>68</v>
      </c>
      <c r="E46" s="25" t="s">
        <v>115</v>
      </c>
      <c r="F46" s="25" t="s">
        <v>116</v>
      </c>
      <c r="G46" s="25">
        <v>13.6</v>
      </c>
      <c r="H46" s="25">
        <v>10</v>
      </c>
      <c r="I46" s="30">
        <v>-3.6</v>
      </c>
      <c r="J46" s="25">
        <v>9.4</v>
      </c>
      <c r="K46" s="25">
        <v>7.9</v>
      </c>
      <c r="L46" s="25">
        <v>43.5</v>
      </c>
      <c r="M46" s="25">
        <v>47.5</v>
      </c>
      <c r="N46" s="30">
        <v>-4</v>
      </c>
      <c r="O46" s="25"/>
      <c r="P46" s="25"/>
      <c r="Q46" s="25"/>
    </row>
    <row r="47" spans="1:17" x14ac:dyDescent="0.25">
      <c r="A47" s="25">
        <v>6</v>
      </c>
      <c r="B47" s="25" t="s">
        <v>30</v>
      </c>
      <c r="C47" s="25" t="s">
        <v>68</v>
      </c>
      <c r="D47" s="25" t="s">
        <v>68</v>
      </c>
      <c r="E47" s="25" t="s">
        <v>117</v>
      </c>
      <c r="F47" s="25" t="s">
        <v>118</v>
      </c>
      <c r="G47" s="25">
        <v>-5.7</v>
      </c>
      <c r="H47" s="25">
        <v>-6.5</v>
      </c>
      <c r="I47" s="25">
        <v>-0.8</v>
      </c>
      <c r="J47" s="25">
        <v>1.5</v>
      </c>
      <c r="K47" s="25">
        <v>-8.8000000000000007</v>
      </c>
      <c r="L47" s="25">
        <v>46.8</v>
      </c>
      <c r="M47" s="25">
        <v>43.5</v>
      </c>
      <c r="N47" s="30">
        <v>3.3</v>
      </c>
      <c r="O47" s="25"/>
      <c r="P47" s="25"/>
      <c r="Q47" s="25"/>
    </row>
    <row r="48" spans="1:17" x14ac:dyDescent="0.25">
      <c r="A48" s="25">
        <v>6</v>
      </c>
      <c r="B48" s="25" t="s">
        <v>30</v>
      </c>
      <c r="C48" s="25" t="s">
        <v>68</v>
      </c>
      <c r="D48" s="25" t="s">
        <v>68</v>
      </c>
      <c r="E48" s="25" t="s">
        <v>119</v>
      </c>
      <c r="F48" s="25" t="s">
        <v>120</v>
      </c>
      <c r="G48" s="25">
        <v>10.4</v>
      </c>
      <c r="H48" s="25">
        <v>3</v>
      </c>
      <c r="I48" s="30">
        <v>-7.4</v>
      </c>
      <c r="J48" s="25">
        <v>8.1</v>
      </c>
      <c r="K48" s="25">
        <v>7.7</v>
      </c>
      <c r="L48" s="25">
        <v>44.2</v>
      </c>
      <c r="M48" s="25">
        <v>49.5</v>
      </c>
      <c r="N48" s="30">
        <v>-5.3</v>
      </c>
      <c r="O48" s="25"/>
      <c r="P48" s="25"/>
      <c r="Q48" s="25"/>
    </row>
    <row r="49" spans="1:17" x14ac:dyDescent="0.25">
      <c r="A49" s="25">
        <v>6</v>
      </c>
      <c r="B49" s="25" t="s">
        <v>30</v>
      </c>
      <c r="C49" s="25" t="s">
        <v>68</v>
      </c>
      <c r="D49" s="25" t="s">
        <v>68</v>
      </c>
      <c r="E49" s="25" t="s">
        <v>121</v>
      </c>
      <c r="F49" s="25" t="s">
        <v>122</v>
      </c>
      <c r="G49" s="25">
        <v>8.5</v>
      </c>
      <c r="H49" s="25">
        <v>9</v>
      </c>
      <c r="I49" s="25">
        <v>0.5</v>
      </c>
      <c r="J49" s="25">
        <v>5</v>
      </c>
      <c r="K49" s="25">
        <v>9.9</v>
      </c>
      <c r="L49" s="25">
        <v>45.4</v>
      </c>
      <c r="M49" s="25">
        <v>49.5</v>
      </c>
      <c r="N49" s="30">
        <v>-4.0999999999999996</v>
      </c>
      <c r="O49" s="25"/>
      <c r="P49" s="25"/>
      <c r="Q49" s="25"/>
    </row>
    <row r="50" spans="1:17" x14ac:dyDescent="0.25">
      <c r="A50" s="25">
        <v>6</v>
      </c>
      <c r="B50" s="25" t="s">
        <v>30</v>
      </c>
      <c r="C50" s="25" t="s">
        <v>123</v>
      </c>
      <c r="D50" s="25" t="s">
        <v>123</v>
      </c>
      <c r="E50" s="25" t="s">
        <v>124</v>
      </c>
      <c r="F50" s="25" t="s">
        <v>125</v>
      </c>
      <c r="G50" s="25">
        <v>-5.0999999999999996</v>
      </c>
      <c r="H50" s="25">
        <v>-14</v>
      </c>
      <c r="I50" s="30">
        <v>-8.9</v>
      </c>
      <c r="J50" s="25">
        <v>-1.6</v>
      </c>
      <c r="K50" s="25">
        <v>-16.100000000000001</v>
      </c>
      <c r="L50" s="25">
        <v>47.2</v>
      </c>
      <c r="M50" s="25">
        <v>56</v>
      </c>
      <c r="N50" s="30">
        <v>-8.8000000000000007</v>
      </c>
      <c r="O50" s="25"/>
      <c r="P50" s="25"/>
      <c r="Q50" s="25"/>
    </row>
    <row r="51" spans="1:17" x14ac:dyDescent="0.25">
      <c r="A51" s="25">
        <v>6</v>
      </c>
      <c r="B51" s="25" t="s">
        <v>30</v>
      </c>
      <c r="C51" s="25" t="s">
        <v>123</v>
      </c>
      <c r="D51" s="25" t="s">
        <v>123</v>
      </c>
      <c r="E51" s="25" t="s">
        <v>126</v>
      </c>
      <c r="F51" s="25" t="s">
        <v>127</v>
      </c>
      <c r="G51" s="25">
        <v>-3.2</v>
      </c>
      <c r="H51" s="25">
        <v>-3.5</v>
      </c>
      <c r="I51" s="25">
        <v>-0.3</v>
      </c>
      <c r="J51" s="25">
        <v>-0.2</v>
      </c>
      <c r="K51" s="25">
        <v>-5.3</v>
      </c>
      <c r="L51" s="25">
        <v>41</v>
      </c>
      <c r="M51" s="25">
        <v>43.5</v>
      </c>
      <c r="N51" s="30">
        <v>-2.5</v>
      </c>
      <c r="O51" s="25"/>
      <c r="P51" s="25"/>
      <c r="Q51" s="25"/>
    </row>
    <row r="52" spans="1:17" x14ac:dyDescent="0.25">
      <c r="A52" s="25">
        <v>6</v>
      </c>
      <c r="B52" s="25" t="s">
        <v>67</v>
      </c>
      <c r="C52" s="25" t="s">
        <v>123</v>
      </c>
      <c r="D52" s="25" t="s">
        <v>123</v>
      </c>
      <c r="E52" s="25" t="s">
        <v>128</v>
      </c>
      <c r="F52" s="25" t="s">
        <v>129</v>
      </c>
      <c r="G52" s="25">
        <v>6.3</v>
      </c>
      <c r="H52" s="25">
        <v>6.5</v>
      </c>
      <c r="I52" s="25">
        <v>0.2</v>
      </c>
      <c r="J52" s="25">
        <v>3.1</v>
      </c>
      <c r="K52" s="25">
        <v>1.6</v>
      </c>
      <c r="L52" s="25">
        <v>49.9</v>
      </c>
      <c r="M52" s="25">
        <v>48.5</v>
      </c>
      <c r="N52" s="25">
        <v>1.4</v>
      </c>
      <c r="O52" s="25"/>
      <c r="P52" s="25"/>
      <c r="Q52" s="25"/>
    </row>
    <row r="53" spans="1:17" x14ac:dyDescent="0.25">
      <c r="A53" s="25">
        <v>6</v>
      </c>
      <c r="B53" s="25" t="s">
        <v>30</v>
      </c>
      <c r="C53" s="25" t="s">
        <v>130</v>
      </c>
      <c r="D53" s="25" t="s">
        <v>130</v>
      </c>
      <c r="E53" s="25" t="s">
        <v>131</v>
      </c>
      <c r="F53" s="25" t="s">
        <v>132</v>
      </c>
      <c r="G53" s="25">
        <v>-0.6</v>
      </c>
      <c r="H53" s="25">
        <v>0.8</v>
      </c>
      <c r="I53" s="25">
        <v>1.3</v>
      </c>
      <c r="J53" s="25">
        <v>2.6</v>
      </c>
      <c r="K53" s="25">
        <v>-6.4</v>
      </c>
      <c r="L53" s="25">
        <v>51.1</v>
      </c>
      <c r="M53" s="25">
        <v>56</v>
      </c>
      <c r="N53" s="30">
        <v>-4.9000000000000004</v>
      </c>
      <c r="O53" s="25"/>
      <c r="P53" s="25"/>
      <c r="Q53" s="25"/>
    </row>
    <row r="54" spans="1:17" x14ac:dyDescent="0.25">
      <c r="A54" s="25">
        <v>6</v>
      </c>
      <c r="B54" s="25" t="s">
        <v>30</v>
      </c>
      <c r="C54" s="25" t="s">
        <v>130</v>
      </c>
      <c r="D54" s="25" t="s">
        <v>130</v>
      </c>
      <c r="E54" s="25" t="s">
        <v>133</v>
      </c>
      <c r="F54" s="25" t="s">
        <v>134</v>
      </c>
      <c r="G54" s="25">
        <v>11.7</v>
      </c>
      <c r="H54" s="25">
        <v>13.5</v>
      </c>
      <c r="I54" s="25">
        <v>1.8</v>
      </c>
      <c r="J54" s="25">
        <v>14.4</v>
      </c>
      <c r="K54" s="25">
        <v>10.8</v>
      </c>
      <c r="L54" s="25">
        <v>53.2</v>
      </c>
      <c r="M54" s="25">
        <v>50</v>
      </c>
      <c r="N54" s="30">
        <v>3.2</v>
      </c>
      <c r="O54" s="25"/>
      <c r="P54" s="25"/>
      <c r="Q54" s="25"/>
    </row>
    <row r="55" spans="1:17" x14ac:dyDescent="0.25">
      <c r="A55" s="25">
        <v>6</v>
      </c>
      <c r="B55" s="25" t="s">
        <v>30</v>
      </c>
      <c r="C55" s="25" t="s">
        <v>130</v>
      </c>
      <c r="D55" s="25" t="s">
        <v>130</v>
      </c>
      <c r="E55" s="25" t="s">
        <v>135</v>
      </c>
      <c r="F55" s="25" t="s">
        <v>136</v>
      </c>
      <c r="G55" s="25">
        <v>0.3</v>
      </c>
      <c r="H55" s="25">
        <v>-14.2</v>
      </c>
      <c r="I55" s="30">
        <v>-14.5</v>
      </c>
      <c r="J55" s="25">
        <v>-9.1999999999999993</v>
      </c>
      <c r="K55" s="25">
        <v>-10.8</v>
      </c>
      <c r="L55" s="25">
        <v>53.9</v>
      </c>
      <c r="M55" s="25">
        <v>59.8</v>
      </c>
      <c r="N55" s="30">
        <v>-5.8</v>
      </c>
      <c r="O55" s="25"/>
      <c r="P55" s="25"/>
      <c r="Q55" s="25"/>
    </row>
    <row r="56" spans="1:17" x14ac:dyDescent="0.25">
      <c r="A56" s="25">
        <v>6</v>
      </c>
      <c r="B56" s="25" t="s">
        <v>30</v>
      </c>
      <c r="C56" s="25" t="s">
        <v>130</v>
      </c>
      <c r="D56" s="25" t="s">
        <v>130</v>
      </c>
      <c r="E56" s="25" t="s">
        <v>137</v>
      </c>
      <c r="F56" s="25" t="s">
        <v>138</v>
      </c>
      <c r="G56" s="25">
        <v>10.1</v>
      </c>
      <c r="H56" s="25">
        <v>10.199999999999999</v>
      </c>
      <c r="I56" s="25">
        <v>0.2</v>
      </c>
      <c r="J56" s="25">
        <v>6.8</v>
      </c>
      <c r="K56" s="25">
        <v>6.7</v>
      </c>
      <c r="L56" s="25">
        <v>46.2</v>
      </c>
      <c r="M56" s="25">
        <v>52.5</v>
      </c>
      <c r="N56" s="30">
        <v>-6.3</v>
      </c>
      <c r="O56" s="25"/>
      <c r="P56" s="25"/>
      <c r="Q56" s="25"/>
    </row>
    <row r="57" spans="1:17" x14ac:dyDescent="0.25">
      <c r="A57" s="25">
        <v>6</v>
      </c>
      <c r="B57" s="25" t="s">
        <v>30</v>
      </c>
      <c r="C57" s="25" t="s">
        <v>130</v>
      </c>
      <c r="D57" s="25" t="s">
        <v>130</v>
      </c>
      <c r="E57" s="25" t="s">
        <v>139</v>
      </c>
      <c r="F57" s="25" t="s">
        <v>140</v>
      </c>
      <c r="G57" s="25">
        <v>0.6</v>
      </c>
      <c r="H57" s="25">
        <v>-2.5</v>
      </c>
      <c r="I57" s="30">
        <v>-3.1</v>
      </c>
      <c r="J57" s="25">
        <v>0.2</v>
      </c>
      <c r="K57" s="25">
        <v>-9.1</v>
      </c>
      <c r="L57" s="25">
        <v>45.6</v>
      </c>
      <c r="M57" s="25">
        <v>49.2</v>
      </c>
      <c r="N57" s="30">
        <v>-3.7</v>
      </c>
      <c r="O57" s="25"/>
      <c r="P57" s="25"/>
      <c r="Q57" s="25"/>
    </row>
    <row r="58" spans="1:17" x14ac:dyDescent="0.25">
      <c r="A58" s="25">
        <v>6</v>
      </c>
      <c r="B58" s="25" t="s">
        <v>30</v>
      </c>
      <c r="C58" s="25" t="s">
        <v>130</v>
      </c>
      <c r="D58" s="25" t="s">
        <v>130</v>
      </c>
      <c r="E58" s="25" t="s">
        <v>141</v>
      </c>
      <c r="F58" s="25" t="s">
        <v>142</v>
      </c>
      <c r="G58" s="25">
        <v>8.1</v>
      </c>
      <c r="H58" s="25">
        <v>9</v>
      </c>
      <c r="I58" s="25">
        <v>0.9</v>
      </c>
      <c r="J58" s="25">
        <v>16.899999999999999</v>
      </c>
      <c r="K58" s="25">
        <v>10.4</v>
      </c>
      <c r="L58" s="25">
        <v>35.5</v>
      </c>
      <c r="M58" s="25">
        <v>40.200000000000003</v>
      </c>
      <c r="N58" s="30">
        <v>-4.7</v>
      </c>
      <c r="O58" s="25"/>
      <c r="P58" s="25"/>
      <c r="Q58" s="25"/>
    </row>
    <row r="59" spans="1:17" x14ac:dyDescent="0.25">
      <c r="A59" s="25">
        <v>6</v>
      </c>
      <c r="B59" s="25" t="s">
        <v>30</v>
      </c>
      <c r="C59" s="25" t="s">
        <v>130</v>
      </c>
      <c r="D59" s="25" t="s">
        <v>130</v>
      </c>
      <c r="E59" s="25" t="s">
        <v>143</v>
      </c>
      <c r="F59" s="25" t="s">
        <v>144</v>
      </c>
      <c r="G59" s="25">
        <v>-0.3</v>
      </c>
      <c r="H59" s="25">
        <v>10</v>
      </c>
      <c r="I59" s="30">
        <v>10.3</v>
      </c>
      <c r="J59" s="25">
        <v>5.2</v>
      </c>
      <c r="K59" s="25">
        <v>-0.9</v>
      </c>
      <c r="L59" s="25">
        <v>52.5</v>
      </c>
      <c r="M59" s="25">
        <v>59</v>
      </c>
      <c r="N59" s="30">
        <v>-6.5</v>
      </c>
      <c r="O59" s="25"/>
      <c r="P59" s="25"/>
      <c r="Q59" s="25"/>
    </row>
    <row r="60" spans="1:17" x14ac:dyDescent="0.25">
      <c r="A60" s="25">
        <v>6</v>
      </c>
      <c r="B60" s="25" t="s">
        <v>91</v>
      </c>
      <c r="C60" s="25" t="s">
        <v>145</v>
      </c>
      <c r="D60" s="25" t="s">
        <v>145</v>
      </c>
      <c r="E60" s="25" t="s">
        <v>146</v>
      </c>
      <c r="F60" s="25" t="s">
        <v>147</v>
      </c>
      <c r="G60" s="25">
        <v>-7</v>
      </c>
      <c r="H60" s="25">
        <v>-10</v>
      </c>
      <c r="I60" s="30">
        <v>-3</v>
      </c>
      <c r="J60" s="25">
        <v>-10.4</v>
      </c>
      <c r="K60" s="25">
        <v>-9.5</v>
      </c>
      <c r="L60" s="25">
        <v>49.5</v>
      </c>
      <c r="M60" s="25">
        <v>49</v>
      </c>
      <c r="N60" s="25">
        <v>0.5</v>
      </c>
      <c r="O60" s="25"/>
      <c r="P60" s="25"/>
      <c r="Q60" s="25"/>
    </row>
    <row r="61" spans="1:17" x14ac:dyDescent="0.25">
      <c r="A61" s="25">
        <v>6</v>
      </c>
      <c r="B61" s="25" t="s">
        <v>41</v>
      </c>
      <c r="C61" s="25" t="s">
        <v>145</v>
      </c>
      <c r="D61" s="25" t="s">
        <v>145</v>
      </c>
      <c r="E61" s="25" t="s">
        <v>148</v>
      </c>
      <c r="F61" s="25" t="s">
        <v>149</v>
      </c>
      <c r="G61" s="25">
        <v>-7.7</v>
      </c>
      <c r="H61" s="25">
        <v>-2</v>
      </c>
      <c r="I61" s="30">
        <v>5.7</v>
      </c>
      <c r="J61" s="25">
        <v>-0.2</v>
      </c>
      <c r="K61" s="25">
        <v>-5</v>
      </c>
      <c r="L61" s="25">
        <v>59.4</v>
      </c>
      <c r="M61" s="25">
        <v>57.5</v>
      </c>
      <c r="N61" s="25">
        <v>1.9</v>
      </c>
      <c r="O61" s="25"/>
      <c r="P61" s="25"/>
      <c r="Q61" s="25"/>
    </row>
    <row r="62" spans="1:17" x14ac:dyDescent="0.25">
      <c r="A62" s="25">
        <v>6</v>
      </c>
      <c r="B62" s="25" t="s">
        <v>30</v>
      </c>
      <c r="C62" s="25" t="s">
        <v>145</v>
      </c>
      <c r="D62" s="25" t="s">
        <v>145</v>
      </c>
      <c r="E62" s="25" t="s">
        <v>150</v>
      </c>
      <c r="F62" s="25" t="s">
        <v>151</v>
      </c>
      <c r="G62" s="25">
        <v>5.6</v>
      </c>
      <c r="H62" s="25">
        <v>-10</v>
      </c>
      <c r="I62" s="30">
        <v>-15.6</v>
      </c>
      <c r="J62" s="25">
        <v>-8.6</v>
      </c>
      <c r="K62" s="25">
        <v>-14.9</v>
      </c>
      <c r="L62" s="25">
        <v>49</v>
      </c>
      <c r="M62" s="25">
        <v>51</v>
      </c>
      <c r="N62" s="30">
        <v>-2</v>
      </c>
      <c r="O62" s="25"/>
      <c r="P62" s="25"/>
      <c r="Q62" s="25"/>
    </row>
    <row r="63" spans="1:17" x14ac:dyDescent="0.25">
      <c r="A63" s="25">
        <v>6</v>
      </c>
      <c r="B63" s="25" t="s">
        <v>30</v>
      </c>
      <c r="C63" s="25" t="s">
        <v>145</v>
      </c>
      <c r="D63" s="25" t="s">
        <v>145</v>
      </c>
      <c r="E63" s="25" t="s">
        <v>152</v>
      </c>
      <c r="F63" s="25" t="s">
        <v>153</v>
      </c>
      <c r="G63" s="25">
        <v>16.399999999999999</v>
      </c>
      <c r="H63" s="25">
        <v>9.5</v>
      </c>
      <c r="I63" s="30">
        <v>-6.9</v>
      </c>
      <c r="J63" s="25">
        <v>15.4</v>
      </c>
      <c r="K63" s="25">
        <v>10.6</v>
      </c>
      <c r="L63" s="25">
        <v>52.5</v>
      </c>
      <c r="M63" s="25">
        <v>53.5</v>
      </c>
      <c r="N63" s="25">
        <v>-1</v>
      </c>
      <c r="O63" s="25"/>
      <c r="P63" s="25"/>
      <c r="Q63" s="25"/>
    </row>
    <row r="64" spans="1:17" x14ac:dyDescent="0.25">
      <c r="A64" s="25">
        <v>6</v>
      </c>
      <c r="B64" s="25" t="s">
        <v>30</v>
      </c>
      <c r="C64" s="25" t="s">
        <v>145</v>
      </c>
      <c r="D64" s="25" t="s">
        <v>145</v>
      </c>
      <c r="E64" s="25" t="s">
        <v>154</v>
      </c>
      <c r="F64" s="25" t="s">
        <v>155</v>
      </c>
      <c r="G64" s="25">
        <v>-3.5</v>
      </c>
      <c r="H64" s="25">
        <v>-3</v>
      </c>
      <c r="I64" s="25">
        <v>0.5</v>
      </c>
      <c r="J64" s="25">
        <v>4.3</v>
      </c>
      <c r="K64" s="25">
        <v>-8</v>
      </c>
      <c r="L64" s="25">
        <v>45.2</v>
      </c>
      <c r="M64" s="25">
        <v>48.5</v>
      </c>
      <c r="N64" s="30">
        <v>-3.3</v>
      </c>
      <c r="O64" s="25"/>
      <c r="P64" s="25"/>
      <c r="Q64" s="25"/>
    </row>
    <row r="65" spans="1:17" x14ac:dyDescent="0.25">
      <c r="A65" s="25">
        <v>6</v>
      </c>
      <c r="B65" s="25" t="s">
        <v>30</v>
      </c>
      <c r="C65" s="25" t="s">
        <v>145</v>
      </c>
      <c r="D65" s="25" t="s">
        <v>145</v>
      </c>
      <c r="E65" s="25" t="s">
        <v>156</v>
      </c>
      <c r="F65" s="25" t="s">
        <v>157</v>
      </c>
      <c r="G65" s="25">
        <v>-3.3</v>
      </c>
      <c r="H65" s="25"/>
      <c r="I65" s="25"/>
      <c r="J65" s="25">
        <v>-15.7</v>
      </c>
      <c r="K65" s="25">
        <v>1.7</v>
      </c>
      <c r="L65" s="25">
        <v>59.5</v>
      </c>
      <c r="M65" s="25"/>
      <c r="N65" s="25"/>
      <c r="O65" s="25"/>
      <c r="P65" s="25"/>
      <c r="Q65" s="25"/>
    </row>
    <row r="67" spans="1:17" ht="15.75" customHeight="1" x14ac:dyDescent="0.25">
      <c r="A67" s="24" t="s">
        <v>158</v>
      </c>
    </row>
    <row r="68" spans="1:17" ht="26.25" customHeight="1" x14ac:dyDescent="0.25">
      <c r="A68" s="29" t="s">
        <v>9</v>
      </c>
      <c r="B68" s="29" t="s">
        <v>10</v>
      </c>
      <c r="C68" s="29" t="s">
        <v>11</v>
      </c>
      <c r="D68" s="29" t="s">
        <v>12</v>
      </c>
      <c r="E68" s="29" t="s">
        <v>13</v>
      </c>
      <c r="F68" s="29" t="s">
        <v>14</v>
      </c>
      <c r="G68" s="29" t="s">
        <v>15</v>
      </c>
      <c r="H68" s="29" t="s">
        <v>16</v>
      </c>
      <c r="I68" s="29" t="s">
        <v>17</v>
      </c>
      <c r="J68" s="29" t="s">
        <v>18</v>
      </c>
      <c r="K68" s="29" t="s">
        <v>19</v>
      </c>
      <c r="L68" s="29" t="s">
        <v>20</v>
      </c>
      <c r="M68" s="29" t="s">
        <v>21</v>
      </c>
      <c r="N68" s="29" t="s">
        <v>22</v>
      </c>
      <c r="O68" s="29" t="s">
        <v>23</v>
      </c>
      <c r="P68" s="29" t="s">
        <v>24</v>
      </c>
      <c r="Q68" s="29" t="s">
        <v>25</v>
      </c>
    </row>
    <row r="69" spans="1:17" x14ac:dyDescent="0.25">
      <c r="A69" s="25">
        <v>5</v>
      </c>
      <c r="B69" s="25" t="s">
        <v>159</v>
      </c>
      <c r="C69" s="25" t="s">
        <v>27</v>
      </c>
      <c r="D69" s="25" t="s">
        <v>27</v>
      </c>
      <c r="E69" s="25" t="s">
        <v>38</v>
      </c>
      <c r="F69" s="25" t="s">
        <v>31</v>
      </c>
      <c r="G69" s="25">
        <v>5.2</v>
      </c>
      <c r="H69" s="25">
        <v>-1.5</v>
      </c>
      <c r="I69" s="30">
        <v>-6.7</v>
      </c>
      <c r="J69" s="25">
        <v>-1.3</v>
      </c>
      <c r="K69" s="25">
        <v>1</v>
      </c>
      <c r="L69" s="25">
        <v>51.2</v>
      </c>
      <c r="M69" s="25">
        <v>53.2</v>
      </c>
      <c r="N69" s="30">
        <v>-2.1</v>
      </c>
      <c r="O69" s="25">
        <v>35</v>
      </c>
      <c r="P69" s="25">
        <v>33</v>
      </c>
      <c r="Q69" s="30" t="s">
        <v>160</v>
      </c>
    </row>
    <row r="70" spans="1:17" x14ac:dyDescent="0.25">
      <c r="A70" s="25">
        <v>5</v>
      </c>
      <c r="B70" s="25" t="s">
        <v>161</v>
      </c>
      <c r="C70" s="25" t="s">
        <v>27</v>
      </c>
      <c r="D70" s="25" t="s">
        <v>27</v>
      </c>
      <c r="E70" s="25" t="s">
        <v>162</v>
      </c>
      <c r="F70" s="25" t="s">
        <v>163</v>
      </c>
      <c r="G70" s="25">
        <v>17</v>
      </c>
      <c r="H70" s="25">
        <v>14.8</v>
      </c>
      <c r="I70" s="30">
        <v>-2.2000000000000002</v>
      </c>
      <c r="J70" s="25">
        <v>8.1999999999999993</v>
      </c>
      <c r="K70" s="25">
        <v>17.3</v>
      </c>
      <c r="L70" s="25">
        <v>47.3</v>
      </c>
      <c r="M70" s="25">
        <v>48.5</v>
      </c>
      <c r="N70" s="25">
        <v>-1.2</v>
      </c>
      <c r="O70" s="25">
        <v>41</v>
      </c>
      <c r="P70" s="25">
        <v>13</v>
      </c>
      <c r="Q70" s="30" t="s">
        <v>160</v>
      </c>
    </row>
    <row r="71" spans="1:17" x14ac:dyDescent="0.25">
      <c r="A71" s="25">
        <v>5</v>
      </c>
      <c r="B71" s="25" t="s">
        <v>161</v>
      </c>
      <c r="C71" s="25" t="s">
        <v>27</v>
      </c>
      <c r="D71" s="25" t="s">
        <v>27</v>
      </c>
      <c r="E71" s="25" t="s">
        <v>40</v>
      </c>
      <c r="F71" s="25" t="s">
        <v>28</v>
      </c>
      <c r="G71" s="25">
        <v>8.1999999999999993</v>
      </c>
      <c r="H71" s="25">
        <v>1.2</v>
      </c>
      <c r="I71" s="30">
        <v>-6.9</v>
      </c>
      <c r="J71" s="25">
        <v>-0.7</v>
      </c>
      <c r="K71" s="25">
        <v>7.4</v>
      </c>
      <c r="L71" s="25">
        <v>51.6</v>
      </c>
      <c r="M71" s="25">
        <v>51.5</v>
      </c>
      <c r="N71" s="25">
        <v>0.1</v>
      </c>
      <c r="O71" s="25">
        <v>7</v>
      </c>
      <c r="P71" s="25">
        <v>38</v>
      </c>
      <c r="Q71" s="31" t="s">
        <v>164</v>
      </c>
    </row>
    <row r="72" spans="1:17" x14ac:dyDescent="0.25">
      <c r="A72" s="25">
        <v>5</v>
      </c>
      <c r="B72" s="25" t="s">
        <v>161</v>
      </c>
      <c r="C72" s="25" t="s">
        <v>27</v>
      </c>
      <c r="D72" s="25" t="s">
        <v>27</v>
      </c>
      <c r="E72" s="25" t="s">
        <v>29</v>
      </c>
      <c r="F72" s="25" t="s">
        <v>36</v>
      </c>
      <c r="G72" s="25">
        <v>2.4</v>
      </c>
      <c r="H72" s="25">
        <v>4.2</v>
      </c>
      <c r="I72" s="25">
        <v>1.9</v>
      </c>
      <c r="J72" s="25">
        <v>1.4</v>
      </c>
      <c r="K72" s="25">
        <v>-6.3</v>
      </c>
      <c r="L72" s="25">
        <v>57.3</v>
      </c>
      <c r="M72" s="25">
        <v>57</v>
      </c>
      <c r="N72" s="25">
        <v>0.3</v>
      </c>
      <c r="O72" s="25">
        <v>28</v>
      </c>
      <c r="P72" s="25">
        <v>31</v>
      </c>
      <c r="Q72" s="31" t="s">
        <v>164</v>
      </c>
    </row>
    <row r="73" spans="1:17" x14ac:dyDescent="0.25">
      <c r="A73" s="25">
        <v>5</v>
      </c>
      <c r="B73" s="25" t="s">
        <v>161</v>
      </c>
      <c r="C73" s="25" t="s">
        <v>27</v>
      </c>
      <c r="D73" s="25" t="s">
        <v>55</v>
      </c>
      <c r="E73" s="25" t="s">
        <v>102</v>
      </c>
      <c r="F73" s="25" t="s">
        <v>37</v>
      </c>
      <c r="G73" s="25">
        <v>23.1</v>
      </c>
      <c r="H73" s="25">
        <v>21</v>
      </c>
      <c r="I73" s="30">
        <v>-2.1</v>
      </c>
      <c r="J73" s="25">
        <v>11.2</v>
      </c>
      <c r="K73" s="25">
        <v>12.6</v>
      </c>
      <c r="L73" s="25">
        <v>48.3</v>
      </c>
      <c r="M73" s="25">
        <v>46.5</v>
      </c>
      <c r="N73" s="25">
        <v>1.8</v>
      </c>
      <c r="O73" s="25">
        <v>37</v>
      </c>
      <c r="P73" s="25">
        <v>26</v>
      </c>
      <c r="Q73" s="30" t="s">
        <v>160</v>
      </c>
    </row>
    <row r="74" spans="1:17" x14ac:dyDescent="0.25">
      <c r="A74" s="25">
        <v>5</v>
      </c>
      <c r="B74" s="25" t="s">
        <v>161</v>
      </c>
      <c r="C74" s="25" t="s">
        <v>27</v>
      </c>
      <c r="D74" s="25" t="s">
        <v>27</v>
      </c>
      <c r="E74" s="25" t="s">
        <v>165</v>
      </c>
      <c r="F74" s="25" t="s">
        <v>166</v>
      </c>
      <c r="G74" s="25">
        <v>-23</v>
      </c>
      <c r="H74" s="25">
        <v>-21.5</v>
      </c>
      <c r="I74" s="25">
        <v>1.5</v>
      </c>
      <c r="J74" s="25">
        <v>-19.399999999999999</v>
      </c>
      <c r="K74" s="25">
        <v>-12</v>
      </c>
      <c r="L74" s="25">
        <v>48.2</v>
      </c>
      <c r="M74" s="25">
        <v>55.2</v>
      </c>
      <c r="N74" s="30">
        <v>-7</v>
      </c>
      <c r="O74" s="25">
        <v>16</v>
      </c>
      <c r="P74" s="25">
        <v>25</v>
      </c>
      <c r="Q74" s="30" t="s">
        <v>160</v>
      </c>
    </row>
    <row r="75" spans="1:17" x14ac:dyDescent="0.25">
      <c r="A75" s="25">
        <v>5</v>
      </c>
      <c r="B75" s="25" t="s">
        <v>161</v>
      </c>
      <c r="C75" s="25" t="s">
        <v>27</v>
      </c>
      <c r="D75" s="25" t="s">
        <v>27</v>
      </c>
      <c r="E75" s="25" t="s">
        <v>101</v>
      </c>
      <c r="F75" s="25" t="s">
        <v>35</v>
      </c>
      <c r="G75" s="25">
        <v>-16.5</v>
      </c>
      <c r="H75" s="25">
        <v>-14.5</v>
      </c>
      <c r="I75" s="30">
        <v>2</v>
      </c>
      <c r="J75" s="25">
        <v>-7.6</v>
      </c>
      <c r="K75" s="25">
        <v>-15.2</v>
      </c>
      <c r="L75" s="25">
        <v>56.1</v>
      </c>
      <c r="M75" s="25">
        <v>54.2</v>
      </c>
      <c r="N75" s="25">
        <v>1.9</v>
      </c>
      <c r="O75" s="25">
        <v>3</v>
      </c>
      <c r="P75" s="25">
        <v>57</v>
      </c>
      <c r="Q75" s="30" t="s">
        <v>160</v>
      </c>
    </row>
    <row r="76" spans="1:17" x14ac:dyDescent="0.25">
      <c r="A76" s="25">
        <v>5</v>
      </c>
      <c r="B76" s="25" t="s">
        <v>159</v>
      </c>
      <c r="C76" s="25" t="s">
        <v>42</v>
      </c>
      <c r="D76" s="25" t="s">
        <v>42</v>
      </c>
      <c r="E76" s="25" t="s">
        <v>54</v>
      </c>
      <c r="F76" s="25" t="s">
        <v>51</v>
      </c>
      <c r="G76" s="25">
        <v>6.8</v>
      </c>
      <c r="H76" s="25">
        <v>2</v>
      </c>
      <c r="I76" s="30">
        <v>-4.8</v>
      </c>
      <c r="J76" s="25">
        <v>4.4000000000000004</v>
      </c>
      <c r="K76" s="25">
        <v>-4.5</v>
      </c>
      <c r="L76" s="25">
        <v>56.4</v>
      </c>
      <c r="M76" s="25">
        <v>56.8</v>
      </c>
      <c r="N76" s="25">
        <v>-0.4</v>
      </c>
      <c r="O76" s="25">
        <v>45</v>
      </c>
      <c r="P76" s="25">
        <v>44</v>
      </c>
      <c r="Q76" s="30" t="s">
        <v>160</v>
      </c>
    </row>
    <row r="77" spans="1:17" x14ac:dyDescent="0.25">
      <c r="A77" s="25">
        <v>5</v>
      </c>
      <c r="B77" s="25" t="s">
        <v>161</v>
      </c>
      <c r="C77" s="25" t="s">
        <v>42</v>
      </c>
      <c r="D77" s="25" t="s">
        <v>42</v>
      </c>
      <c r="E77" s="25" t="s">
        <v>50</v>
      </c>
      <c r="F77" s="25" t="s">
        <v>53</v>
      </c>
      <c r="G77" s="25">
        <v>18</v>
      </c>
      <c r="H77" s="25">
        <v>19.5</v>
      </c>
      <c r="I77" s="25">
        <v>1.5</v>
      </c>
      <c r="J77" s="25">
        <v>17.399999999999999</v>
      </c>
      <c r="K77" s="25">
        <v>8.6</v>
      </c>
      <c r="L77" s="25">
        <v>54.4</v>
      </c>
      <c r="M77" s="25">
        <v>52.2</v>
      </c>
      <c r="N77" s="30">
        <v>2.2000000000000002</v>
      </c>
      <c r="O77" s="25">
        <v>59</v>
      </c>
      <c r="P77" s="25">
        <v>8</v>
      </c>
      <c r="Q77" s="30" t="s">
        <v>160</v>
      </c>
    </row>
    <row r="78" spans="1:17" x14ac:dyDescent="0.25">
      <c r="A78" s="25">
        <v>5</v>
      </c>
      <c r="B78" s="25" t="s">
        <v>161</v>
      </c>
      <c r="C78" s="25" t="s">
        <v>42</v>
      </c>
      <c r="D78" s="25" t="s">
        <v>167</v>
      </c>
      <c r="E78" s="25" t="s">
        <v>168</v>
      </c>
      <c r="F78" s="25" t="s">
        <v>169</v>
      </c>
      <c r="G78" s="25">
        <v>-31.6</v>
      </c>
      <c r="H78" s="25">
        <v>-45.8</v>
      </c>
      <c r="I78" s="30">
        <v>-14.2</v>
      </c>
      <c r="J78" s="25">
        <v>-18.2</v>
      </c>
      <c r="K78" s="25">
        <v>-21.1</v>
      </c>
      <c r="L78" s="25">
        <v>56.5</v>
      </c>
      <c r="M78" s="25">
        <v>62</v>
      </c>
      <c r="N78" s="30">
        <v>-5.5</v>
      </c>
      <c r="O78" s="25">
        <v>10</v>
      </c>
      <c r="P78" s="25">
        <v>66</v>
      </c>
      <c r="Q78" s="30" t="s">
        <v>160</v>
      </c>
    </row>
    <row r="79" spans="1:17" x14ac:dyDescent="0.25">
      <c r="A79" s="25">
        <v>5</v>
      </c>
      <c r="B79" s="25" t="s">
        <v>161</v>
      </c>
      <c r="C79" s="25" t="s">
        <v>42</v>
      </c>
      <c r="D79" s="25" t="s">
        <v>42</v>
      </c>
      <c r="E79" s="25" t="s">
        <v>44</v>
      </c>
      <c r="F79" s="25" t="s">
        <v>47</v>
      </c>
      <c r="G79" s="25">
        <v>12.8</v>
      </c>
      <c r="H79" s="25">
        <v>12</v>
      </c>
      <c r="I79" s="25">
        <v>-0.8</v>
      </c>
      <c r="J79" s="25">
        <v>10.3</v>
      </c>
      <c r="K79" s="25">
        <v>8.4</v>
      </c>
      <c r="L79" s="25">
        <v>55</v>
      </c>
      <c r="M79" s="25">
        <v>56.2</v>
      </c>
      <c r="N79" s="25">
        <v>-1.2</v>
      </c>
      <c r="O79" s="25">
        <v>16</v>
      </c>
      <c r="P79" s="25">
        <v>14</v>
      </c>
      <c r="Q79" s="30" t="s">
        <v>160</v>
      </c>
    </row>
    <row r="80" spans="1:17" x14ac:dyDescent="0.25">
      <c r="A80" s="25">
        <v>5</v>
      </c>
      <c r="B80" s="25" t="s">
        <v>161</v>
      </c>
      <c r="C80" s="25" t="s">
        <v>42</v>
      </c>
      <c r="D80" s="25" t="s">
        <v>42</v>
      </c>
      <c r="E80" s="25" t="s">
        <v>57</v>
      </c>
      <c r="F80" s="25" t="s">
        <v>43</v>
      </c>
      <c r="G80" s="25">
        <v>-13.2</v>
      </c>
      <c r="H80" s="25">
        <v>-5.5</v>
      </c>
      <c r="I80" s="30">
        <v>7.7</v>
      </c>
      <c r="J80" s="25">
        <v>-14.1</v>
      </c>
      <c r="K80" s="25">
        <v>-8.8000000000000007</v>
      </c>
      <c r="L80" s="25">
        <v>58.3</v>
      </c>
      <c r="M80" s="25">
        <v>49.5</v>
      </c>
      <c r="N80" s="30">
        <v>8.8000000000000007</v>
      </c>
      <c r="O80" s="25">
        <v>17</v>
      </c>
      <c r="P80" s="25">
        <v>13</v>
      </c>
      <c r="Q80" s="31" t="s">
        <v>164</v>
      </c>
    </row>
    <row r="81" spans="1:17" x14ac:dyDescent="0.25">
      <c r="A81" s="25">
        <v>5</v>
      </c>
      <c r="B81" s="25" t="s">
        <v>161</v>
      </c>
      <c r="C81" s="25" t="s">
        <v>42</v>
      </c>
      <c r="D81" s="25" t="s">
        <v>170</v>
      </c>
      <c r="E81" s="25" t="s">
        <v>171</v>
      </c>
      <c r="F81" s="25" t="s">
        <v>49</v>
      </c>
      <c r="G81" s="25">
        <v>-32.299999999999997</v>
      </c>
      <c r="H81" s="25">
        <v>-30.5</v>
      </c>
      <c r="I81" s="25">
        <v>1.8</v>
      </c>
      <c r="J81" s="25">
        <v>-18</v>
      </c>
      <c r="K81" s="25">
        <v>-2</v>
      </c>
      <c r="L81" s="25">
        <v>57.5</v>
      </c>
      <c r="M81" s="25">
        <v>54.2</v>
      </c>
      <c r="N81" s="30">
        <v>3.2</v>
      </c>
      <c r="O81" s="25">
        <v>14</v>
      </c>
      <c r="P81" s="25">
        <v>33</v>
      </c>
      <c r="Q81" s="30" t="s">
        <v>160</v>
      </c>
    </row>
    <row r="82" spans="1:17" x14ac:dyDescent="0.25">
      <c r="A82" s="25">
        <v>5</v>
      </c>
      <c r="B82" s="25" t="s">
        <v>161</v>
      </c>
      <c r="C82" s="25" t="s">
        <v>58</v>
      </c>
      <c r="D82" s="25" t="s">
        <v>58</v>
      </c>
      <c r="E82" s="25" t="s">
        <v>172</v>
      </c>
      <c r="F82" s="25" t="s">
        <v>173</v>
      </c>
      <c r="G82" s="25">
        <v>17.8</v>
      </c>
      <c r="H82" s="25">
        <v>13.5</v>
      </c>
      <c r="I82" s="30">
        <v>-4.3</v>
      </c>
      <c r="J82" s="25">
        <v>18.899999999999999</v>
      </c>
      <c r="K82" s="25">
        <v>9.1999999999999993</v>
      </c>
      <c r="L82" s="25">
        <v>48.9</v>
      </c>
      <c r="M82" s="25">
        <v>50</v>
      </c>
      <c r="N82" s="25">
        <v>-1.1000000000000001</v>
      </c>
      <c r="O82" s="25">
        <v>29</v>
      </c>
      <c r="P82" s="25">
        <v>7</v>
      </c>
      <c r="Q82" s="30" t="s">
        <v>160</v>
      </c>
    </row>
    <row r="83" spans="1:17" x14ac:dyDescent="0.25">
      <c r="A83" s="25">
        <v>5</v>
      </c>
      <c r="B83" s="25" t="s">
        <v>161</v>
      </c>
      <c r="C83" s="25" t="s">
        <v>58</v>
      </c>
      <c r="D83" s="25" t="s">
        <v>58</v>
      </c>
      <c r="E83" s="25" t="s">
        <v>63</v>
      </c>
      <c r="F83" s="25" t="s">
        <v>61</v>
      </c>
      <c r="G83" s="25">
        <v>-12.6</v>
      </c>
      <c r="H83" s="25">
        <v>-10.5</v>
      </c>
      <c r="I83" s="30">
        <v>2.1</v>
      </c>
      <c r="J83" s="25">
        <v>-11.9</v>
      </c>
      <c r="K83" s="25">
        <v>-4</v>
      </c>
      <c r="L83" s="25">
        <v>53.8</v>
      </c>
      <c r="M83" s="25">
        <v>50.8</v>
      </c>
      <c r="N83" s="30">
        <v>3.1</v>
      </c>
      <c r="O83" s="25">
        <v>17</v>
      </c>
      <c r="P83" s="25">
        <v>27</v>
      </c>
      <c r="Q83" s="30" t="s">
        <v>160</v>
      </c>
    </row>
    <row r="84" spans="1:17" x14ac:dyDescent="0.25">
      <c r="A84" s="25">
        <v>5</v>
      </c>
      <c r="B84" s="25" t="s">
        <v>161</v>
      </c>
      <c r="C84" s="25" t="s">
        <v>58</v>
      </c>
      <c r="D84" s="25" t="s">
        <v>58</v>
      </c>
      <c r="E84" s="25" t="s">
        <v>66</v>
      </c>
      <c r="F84" s="25" t="s">
        <v>59</v>
      </c>
      <c r="G84" s="25">
        <v>-14.8</v>
      </c>
      <c r="H84" s="25">
        <v>-3</v>
      </c>
      <c r="I84" s="30">
        <v>11.8</v>
      </c>
      <c r="J84" s="25">
        <v>-5.5</v>
      </c>
      <c r="K84" s="25">
        <v>-6.3</v>
      </c>
      <c r="L84" s="25">
        <v>49</v>
      </c>
      <c r="M84" s="25">
        <v>53.2</v>
      </c>
      <c r="N84" s="30">
        <v>-4.2</v>
      </c>
      <c r="O84" s="25">
        <v>42</v>
      </c>
      <c r="P84" s="25">
        <v>45</v>
      </c>
      <c r="Q84" s="30" t="s">
        <v>160</v>
      </c>
    </row>
    <row r="85" spans="1:17" x14ac:dyDescent="0.25">
      <c r="A85" s="25">
        <v>5</v>
      </c>
      <c r="B85" s="25" t="s">
        <v>161</v>
      </c>
      <c r="C85" s="25" t="s">
        <v>58</v>
      </c>
      <c r="D85" s="25" t="s">
        <v>92</v>
      </c>
      <c r="E85" s="25" t="s">
        <v>174</v>
      </c>
      <c r="F85" s="25" t="s">
        <v>71</v>
      </c>
      <c r="G85" s="25">
        <v>-21.2</v>
      </c>
      <c r="H85" s="25">
        <v>-21</v>
      </c>
      <c r="I85" s="25">
        <v>0.2</v>
      </c>
      <c r="J85" s="25">
        <v>-19.5</v>
      </c>
      <c r="K85" s="25">
        <v>-7.1</v>
      </c>
      <c r="L85" s="25">
        <v>54.2</v>
      </c>
      <c r="M85" s="25">
        <v>51</v>
      </c>
      <c r="N85" s="30">
        <v>3.2</v>
      </c>
      <c r="O85" s="25">
        <v>0</v>
      </c>
      <c r="P85" s="25">
        <v>55</v>
      </c>
      <c r="Q85" s="30" t="s">
        <v>160</v>
      </c>
    </row>
    <row r="86" spans="1:17" x14ac:dyDescent="0.25">
      <c r="A86" s="25">
        <v>5</v>
      </c>
      <c r="B86" s="25" t="s">
        <v>161</v>
      </c>
      <c r="C86" s="25" t="s">
        <v>58</v>
      </c>
      <c r="D86" s="25" t="s">
        <v>58</v>
      </c>
      <c r="E86" s="25" t="s">
        <v>60</v>
      </c>
      <c r="F86" s="25" t="s">
        <v>175</v>
      </c>
      <c r="G86" s="25">
        <v>2.4</v>
      </c>
      <c r="H86" s="25">
        <v>5.8</v>
      </c>
      <c r="I86" s="30">
        <v>3.3</v>
      </c>
      <c r="J86" s="25">
        <v>8.8000000000000007</v>
      </c>
      <c r="K86" s="25">
        <v>0</v>
      </c>
      <c r="L86" s="25">
        <v>52.3</v>
      </c>
      <c r="M86" s="25">
        <v>48.2</v>
      </c>
      <c r="N86" s="30">
        <v>4</v>
      </c>
      <c r="O86" s="25">
        <v>17</v>
      </c>
      <c r="P86" s="25">
        <v>10</v>
      </c>
      <c r="Q86" s="30" t="s">
        <v>160</v>
      </c>
    </row>
    <row r="87" spans="1:17" x14ac:dyDescent="0.25">
      <c r="A87" s="25">
        <v>5</v>
      </c>
      <c r="B87" s="25" t="s">
        <v>176</v>
      </c>
      <c r="C87" s="25" t="s">
        <v>58</v>
      </c>
      <c r="D87" s="25" t="s">
        <v>58</v>
      </c>
      <c r="E87" s="25" t="s">
        <v>177</v>
      </c>
      <c r="F87" s="25" t="s">
        <v>65</v>
      </c>
      <c r="G87" s="25">
        <v>-6.1</v>
      </c>
      <c r="H87" s="25">
        <v>-6.8</v>
      </c>
      <c r="I87" s="25">
        <v>-0.7</v>
      </c>
      <c r="J87" s="25">
        <v>-11</v>
      </c>
      <c r="K87" s="25">
        <v>-2</v>
      </c>
      <c r="L87" s="25">
        <v>55.7</v>
      </c>
      <c r="M87" s="25">
        <v>56</v>
      </c>
      <c r="N87" s="25">
        <v>-0.3</v>
      </c>
      <c r="O87" s="25">
        <v>7</v>
      </c>
      <c r="P87" s="25">
        <v>34</v>
      </c>
      <c r="Q87" s="30" t="s">
        <v>160</v>
      </c>
    </row>
    <row r="88" spans="1:17" x14ac:dyDescent="0.25">
      <c r="A88" s="25">
        <v>5</v>
      </c>
      <c r="B88" s="25" t="s">
        <v>176</v>
      </c>
      <c r="C88" s="25" t="s">
        <v>58</v>
      </c>
      <c r="D88" s="25" t="s">
        <v>58</v>
      </c>
      <c r="E88" s="25" t="s">
        <v>178</v>
      </c>
      <c r="F88" s="25" t="s">
        <v>70</v>
      </c>
      <c r="G88" s="25">
        <v>0.2</v>
      </c>
      <c r="H88" s="25">
        <v>-3.5</v>
      </c>
      <c r="I88" s="30">
        <v>-3.7</v>
      </c>
      <c r="J88" s="25">
        <v>-3.9</v>
      </c>
      <c r="K88" s="25">
        <v>-0.9</v>
      </c>
      <c r="L88" s="25">
        <v>46.7</v>
      </c>
      <c r="M88" s="25">
        <v>49</v>
      </c>
      <c r="N88" s="30">
        <v>-2.2999999999999998</v>
      </c>
      <c r="O88" s="25">
        <v>55</v>
      </c>
      <c r="P88" s="25">
        <v>19</v>
      </c>
      <c r="Q88" s="30" t="s">
        <v>160</v>
      </c>
    </row>
    <row r="89" spans="1:17" x14ac:dyDescent="0.25">
      <c r="A89" s="25">
        <v>5</v>
      </c>
      <c r="B89" s="25" t="s">
        <v>161</v>
      </c>
      <c r="C89" s="25" t="s">
        <v>73</v>
      </c>
      <c r="D89" s="25" t="s">
        <v>73</v>
      </c>
      <c r="E89" s="25" t="s">
        <v>90</v>
      </c>
      <c r="F89" s="25" t="s">
        <v>74</v>
      </c>
      <c r="G89" s="25">
        <v>-19.2</v>
      </c>
      <c r="H89" s="25">
        <v>-9.8000000000000007</v>
      </c>
      <c r="I89" s="30">
        <v>9.4</v>
      </c>
      <c r="J89" s="25">
        <v>-16.5</v>
      </c>
      <c r="K89" s="25">
        <v>-10.9</v>
      </c>
      <c r="L89" s="25">
        <v>60.4</v>
      </c>
      <c r="M89" s="25">
        <v>62.5</v>
      </c>
      <c r="N89" s="30">
        <v>-2.1</v>
      </c>
      <c r="O89" s="25">
        <v>24</v>
      </c>
      <c r="P89" s="25">
        <v>17</v>
      </c>
      <c r="Q89" s="31" t="s">
        <v>164</v>
      </c>
    </row>
    <row r="90" spans="1:17" x14ac:dyDescent="0.25">
      <c r="A90" s="25">
        <v>5</v>
      </c>
      <c r="B90" s="25" t="s">
        <v>161</v>
      </c>
      <c r="C90" s="25" t="s">
        <v>73</v>
      </c>
      <c r="D90" s="25" t="s">
        <v>73</v>
      </c>
      <c r="E90" s="25" t="s">
        <v>82</v>
      </c>
      <c r="F90" s="25" t="s">
        <v>87</v>
      </c>
      <c r="G90" s="25">
        <v>8.4</v>
      </c>
      <c r="H90" s="25">
        <v>14.2</v>
      </c>
      <c r="I90" s="30">
        <v>5.8</v>
      </c>
      <c r="J90" s="25">
        <v>7.1</v>
      </c>
      <c r="K90" s="25">
        <v>2.6</v>
      </c>
      <c r="L90" s="25">
        <v>45.9</v>
      </c>
      <c r="M90" s="25">
        <v>46</v>
      </c>
      <c r="N90" s="25">
        <v>-0.1</v>
      </c>
      <c r="O90" s="25">
        <v>31</v>
      </c>
      <c r="P90" s="25">
        <v>14</v>
      </c>
      <c r="Q90" s="30" t="s">
        <v>160</v>
      </c>
    </row>
    <row r="91" spans="1:17" x14ac:dyDescent="0.25">
      <c r="A91" s="25">
        <v>5</v>
      </c>
      <c r="B91" s="25" t="s">
        <v>161</v>
      </c>
      <c r="C91" s="25" t="s">
        <v>73</v>
      </c>
      <c r="D91" s="25" t="s">
        <v>73</v>
      </c>
      <c r="E91" s="25" t="s">
        <v>179</v>
      </c>
      <c r="F91" s="25" t="s">
        <v>89</v>
      </c>
      <c r="G91" s="25">
        <v>0.1</v>
      </c>
      <c r="H91" s="25">
        <v>6.2</v>
      </c>
      <c r="I91" s="30">
        <v>6.1</v>
      </c>
      <c r="J91" s="25">
        <v>4.9000000000000004</v>
      </c>
      <c r="K91" s="25">
        <v>-6.4</v>
      </c>
      <c r="L91" s="25">
        <v>43.8</v>
      </c>
      <c r="M91" s="25">
        <v>42.2</v>
      </c>
      <c r="N91" s="25">
        <v>1.6</v>
      </c>
      <c r="O91" s="25">
        <v>14</v>
      </c>
      <c r="P91" s="25">
        <v>20</v>
      </c>
      <c r="Q91" s="31" t="s">
        <v>164</v>
      </c>
    </row>
    <row r="92" spans="1:17" x14ac:dyDescent="0.25">
      <c r="A92" s="25">
        <v>5</v>
      </c>
      <c r="B92" s="25" t="s">
        <v>161</v>
      </c>
      <c r="C92" s="25" t="s">
        <v>73</v>
      </c>
      <c r="D92" s="25" t="s">
        <v>73</v>
      </c>
      <c r="E92" s="25" t="s">
        <v>81</v>
      </c>
      <c r="F92" s="25" t="s">
        <v>77</v>
      </c>
      <c r="G92" s="25">
        <v>-18.600000000000001</v>
      </c>
      <c r="H92" s="25">
        <v>-15</v>
      </c>
      <c r="I92" s="30">
        <v>3.6</v>
      </c>
      <c r="J92" s="25">
        <v>-12.9</v>
      </c>
      <c r="K92" s="25">
        <v>-14.9</v>
      </c>
      <c r="L92" s="25">
        <v>52.2</v>
      </c>
      <c r="M92" s="25">
        <v>52.5</v>
      </c>
      <c r="N92" s="25">
        <v>-0.3</v>
      </c>
      <c r="O92" s="25">
        <v>23</v>
      </c>
      <c r="P92" s="25">
        <v>48</v>
      </c>
      <c r="Q92" s="30" t="s">
        <v>160</v>
      </c>
    </row>
    <row r="93" spans="1:17" x14ac:dyDescent="0.25">
      <c r="A93" s="25">
        <v>5</v>
      </c>
      <c r="B93" s="25" t="s">
        <v>161</v>
      </c>
      <c r="C93" s="25" t="s">
        <v>73</v>
      </c>
      <c r="D93" s="25" t="s">
        <v>73</v>
      </c>
      <c r="E93" s="25" t="s">
        <v>86</v>
      </c>
      <c r="F93" s="25" t="s">
        <v>80</v>
      </c>
      <c r="G93" s="25">
        <v>3.5</v>
      </c>
      <c r="H93" s="25">
        <v>2.8</v>
      </c>
      <c r="I93" s="25">
        <v>-0.7</v>
      </c>
      <c r="J93" s="25">
        <v>0.7</v>
      </c>
      <c r="K93" s="25">
        <v>0.3</v>
      </c>
      <c r="L93" s="25">
        <v>49.9</v>
      </c>
      <c r="M93" s="25">
        <v>46.8</v>
      </c>
      <c r="N93" s="30">
        <v>3.1</v>
      </c>
      <c r="O93" s="25">
        <v>13</v>
      </c>
      <c r="P93" s="25">
        <v>34</v>
      </c>
      <c r="Q93" s="31" t="s">
        <v>164</v>
      </c>
    </row>
    <row r="94" spans="1:17" x14ac:dyDescent="0.25">
      <c r="A94" s="25">
        <v>5</v>
      </c>
      <c r="B94" s="25" t="s">
        <v>161</v>
      </c>
      <c r="C94" s="25" t="s">
        <v>73</v>
      </c>
      <c r="D94" s="25" t="s">
        <v>73</v>
      </c>
      <c r="E94" s="25" t="s">
        <v>88</v>
      </c>
      <c r="F94" s="25" t="s">
        <v>85</v>
      </c>
      <c r="G94" s="25">
        <v>-4.4000000000000004</v>
      </c>
      <c r="H94" s="25">
        <v>-8.1999999999999993</v>
      </c>
      <c r="I94" s="30">
        <v>-3.9</v>
      </c>
      <c r="J94" s="25">
        <v>-5.4</v>
      </c>
      <c r="K94" s="25">
        <v>-11.6</v>
      </c>
      <c r="L94" s="25">
        <v>51.4</v>
      </c>
      <c r="M94" s="25">
        <v>58.2</v>
      </c>
      <c r="N94" s="30">
        <v>-6.8</v>
      </c>
      <c r="O94" s="25">
        <v>21</v>
      </c>
      <c r="P94" s="25">
        <v>25</v>
      </c>
      <c r="Q94" s="30" t="s">
        <v>160</v>
      </c>
    </row>
    <row r="95" spans="1:17" x14ac:dyDescent="0.25">
      <c r="A95" s="25">
        <v>5</v>
      </c>
      <c r="B95" s="25" t="s">
        <v>161</v>
      </c>
      <c r="C95" s="25" t="s">
        <v>73</v>
      </c>
      <c r="D95" s="25" t="s">
        <v>73</v>
      </c>
      <c r="E95" s="25" t="s">
        <v>75</v>
      </c>
      <c r="F95" s="25" t="s">
        <v>180</v>
      </c>
      <c r="G95" s="25">
        <v>-4.5</v>
      </c>
      <c r="H95" s="25">
        <v>-8.8000000000000007</v>
      </c>
      <c r="I95" s="30">
        <v>-4.3</v>
      </c>
      <c r="J95" s="25">
        <v>-9.5</v>
      </c>
      <c r="K95" s="25">
        <v>-9.4</v>
      </c>
      <c r="L95" s="25">
        <v>44.8</v>
      </c>
      <c r="M95" s="25">
        <v>43.2</v>
      </c>
      <c r="N95" s="25">
        <v>1.5</v>
      </c>
      <c r="O95" s="25">
        <v>3</v>
      </c>
      <c r="P95" s="25">
        <v>31</v>
      </c>
      <c r="Q95" s="30" t="s">
        <v>160</v>
      </c>
    </row>
    <row r="96" spans="1:17" x14ac:dyDescent="0.25">
      <c r="A96" s="25">
        <v>5</v>
      </c>
      <c r="B96" s="25" t="s">
        <v>176</v>
      </c>
      <c r="C96" s="25" t="s">
        <v>73</v>
      </c>
      <c r="D96" s="25" t="s">
        <v>73</v>
      </c>
      <c r="E96" s="25" t="s">
        <v>76</v>
      </c>
      <c r="F96" s="25" t="s">
        <v>181</v>
      </c>
      <c r="G96" s="25">
        <v>26.9</v>
      </c>
      <c r="H96" s="25">
        <v>24.2</v>
      </c>
      <c r="I96" s="30">
        <v>-2.7</v>
      </c>
      <c r="J96" s="25">
        <v>18.7</v>
      </c>
      <c r="K96" s="25">
        <v>11.1</v>
      </c>
      <c r="L96" s="25">
        <v>53.8</v>
      </c>
      <c r="M96" s="25">
        <v>56.8</v>
      </c>
      <c r="N96" s="30">
        <v>-2.9</v>
      </c>
      <c r="O96" s="25">
        <v>47</v>
      </c>
      <c r="P96" s="25">
        <v>15</v>
      </c>
      <c r="Q96" s="30" t="s">
        <v>160</v>
      </c>
    </row>
    <row r="97" spans="1:17" x14ac:dyDescent="0.25">
      <c r="A97" s="25">
        <v>5</v>
      </c>
      <c r="B97" s="25" t="s">
        <v>159</v>
      </c>
      <c r="C97" s="25" t="s">
        <v>92</v>
      </c>
      <c r="D97" s="25" t="s">
        <v>92</v>
      </c>
      <c r="E97" s="25" t="s">
        <v>98</v>
      </c>
      <c r="F97" s="25" t="s">
        <v>182</v>
      </c>
      <c r="G97" s="25">
        <v>-0.7</v>
      </c>
      <c r="H97" s="25">
        <v>7</v>
      </c>
      <c r="I97" s="30">
        <v>7.7</v>
      </c>
      <c r="J97" s="25">
        <v>-0.5</v>
      </c>
      <c r="K97" s="25">
        <v>4.3</v>
      </c>
      <c r="L97" s="25">
        <v>50.9</v>
      </c>
      <c r="M97" s="25">
        <v>51.5</v>
      </c>
      <c r="N97" s="25">
        <v>-0.6</v>
      </c>
      <c r="O97" s="25">
        <v>30</v>
      </c>
      <c r="P97" s="25">
        <v>14</v>
      </c>
      <c r="Q97" s="31" t="s">
        <v>164</v>
      </c>
    </row>
    <row r="98" spans="1:17" x14ac:dyDescent="0.25">
      <c r="A98" s="25">
        <v>5</v>
      </c>
      <c r="B98" s="25" t="s">
        <v>159</v>
      </c>
      <c r="C98" s="25" t="s">
        <v>92</v>
      </c>
      <c r="D98" s="25" t="s">
        <v>92</v>
      </c>
      <c r="E98" s="25" t="s">
        <v>100</v>
      </c>
      <c r="F98" s="25" t="s">
        <v>93</v>
      </c>
      <c r="G98" s="25">
        <v>4.2</v>
      </c>
      <c r="H98" s="25">
        <v>-1.5</v>
      </c>
      <c r="I98" s="30">
        <v>-5.7</v>
      </c>
      <c r="J98" s="25">
        <v>9.8000000000000007</v>
      </c>
      <c r="K98" s="25">
        <v>-8</v>
      </c>
      <c r="L98" s="25">
        <v>55.6</v>
      </c>
      <c r="M98" s="25">
        <v>55.8</v>
      </c>
      <c r="N98" s="25">
        <v>-0.2</v>
      </c>
      <c r="O98" s="25">
        <v>13</v>
      </c>
      <c r="P98" s="25">
        <v>34</v>
      </c>
      <c r="Q98" s="31" t="s">
        <v>164</v>
      </c>
    </row>
    <row r="99" spans="1:17" x14ac:dyDescent="0.25">
      <c r="A99" s="25">
        <v>5</v>
      </c>
      <c r="B99" s="25" t="s">
        <v>161</v>
      </c>
      <c r="C99" s="25" t="s">
        <v>55</v>
      </c>
      <c r="D99" s="25" t="s">
        <v>27</v>
      </c>
      <c r="E99" s="25" t="s">
        <v>39</v>
      </c>
      <c r="F99" s="25" t="s">
        <v>56</v>
      </c>
      <c r="G99" s="25">
        <v>-0.8</v>
      </c>
      <c r="H99" s="25">
        <v>6.5</v>
      </c>
      <c r="I99" s="30">
        <v>7.3</v>
      </c>
      <c r="J99" s="25">
        <v>-9.9</v>
      </c>
      <c r="K99" s="25">
        <v>-1.9</v>
      </c>
      <c r="L99" s="25">
        <v>47.9</v>
      </c>
      <c r="M99" s="25">
        <v>51</v>
      </c>
      <c r="N99" s="30">
        <v>-3.1</v>
      </c>
      <c r="O99" s="25">
        <v>42</v>
      </c>
      <c r="P99" s="25">
        <v>41</v>
      </c>
      <c r="Q99" s="31" t="s">
        <v>164</v>
      </c>
    </row>
    <row r="100" spans="1:17" x14ac:dyDescent="0.25">
      <c r="A100" s="25">
        <v>5</v>
      </c>
      <c r="B100" s="25" t="s">
        <v>161</v>
      </c>
      <c r="C100" s="25" t="s">
        <v>78</v>
      </c>
      <c r="D100" s="25" t="s">
        <v>78</v>
      </c>
      <c r="E100" s="25" t="s">
        <v>112</v>
      </c>
      <c r="F100" s="25" t="s">
        <v>79</v>
      </c>
      <c r="G100" s="25">
        <v>21</v>
      </c>
      <c r="H100" s="25">
        <v>20.8</v>
      </c>
      <c r="I100" s="25">
        <v>-0.3</v>
      </c>
      <c r="J100" s="25">
        <v>12</v>
      </c>
      <c r="K100" s="25">
        <v>15.6</v>
      </c>
      <c r="L100" s="25">
        <v>52.3</v>
      </c>
      <c r="M100" s="25">
        <v>52.2</v>
      </c>
      <c r="N100" s="25">
        <v>0.1</v>
      </c>
      <c r="O100" s="25">
        <v>39</v>
      </c>
      <c r="P100" s="25">
        <v>24</v>
      </c>
      <c r="Q100" s="30" t="s">
        <v>160</v>
      </c>
    </row>
    <row r="101" spans="1:17" x14ac:dyDescent="0.25">
      <c r="A101" s="25">
        <v>5</v>
      </c>
      <c r="B101" s="25" t="s">
        <v>161</v>
      </c>
      <c r="C101" s="25" t="s">
        <v>78</v>
      </c>
      <c r="D101" s="25" t="s">
        <v>78</v>
      </c>
      <c r="E101" s="25" t="s">
        <v>114</v>
      </c>
      <c r="F101" s="25" t="s">
        <v>111</v>
      </c>
      <c r="G101" s="25">
        <v>12.4</v>
      </c>
      <c r="H101" s="25">
        <v>13.2</v>
      </c>
      <c r="I101" s="25">
        <v>0.8</v>
      </c>
      <c r="J101" s="25">
        <v>10.3</v>
      </c>
      <c r="K101" s="25">
        <v>7.3</v>
      </c>
      <c r="L101" s="25">
        <v>45.3</v>
      </c>
      <c r="M101" s="25">
        <v>46.2</v>
      </c>
      <c r="N101" s="25">
        <v>-0.9</v>
      </c>
      <c r="O101" s="25">
        <v>20</v>
      </c>
      <c r="P101" s="25">
        <v>17</v>
      </c>
      <c r="Q101" s="30" t="s">
        <v>160</v>
      </c>
    </row>
    <row r="102" spans="1:17" x14ac:dyDescent="0.25">
      <c r="A102" s="25">
        <v>5</v>
      </c>
      <c r="B102" s="25" t="s">
        <v>161</v>
      </c>
      <c r="C102" s="25" t="s">
        <v>78</v>
      </c>
      <c r="D102" s="25" t="s">
        <v>78</v>
      </c>
      <c r="E102" s="25" t="s">
        <v>104</v>
      </c>
      <c r="F102" s="25" t="s">
        <v>109</v>
      </c>
      <c r="G102" s="25">
        <v>-9.6999999999999993</v>
      </c>
      <c r="H102" s="25">
        <v>-6.8</v>
      </c>
      <c r="I102" s="30">
        <v>3</v>
      </c>
      <c r="J102" s="25">
        <v>-6.3</v>
      </c>
      <c r="K102" s="25">
        <v>-6.4</v>
      </c>
      <c r="L102" s="25">
        <v>47</v>
      </c>
      <c r="M102" s="25">
        <v>47.2</v>
      </c>
      <c r="N102" s="25">
        <v>-0.3</v>
      </c>
      <c r="O102" s="25">
        <v>17</v>
      </c>
      <c r="P102" s="25">
        <v>41</v>
      </c>
      <c r="Q102" s="30" t="s">
        <v>160</v>
      </c>
    </row>
    <row r="103" spans="1:17" x14ac:dyDescent="0.25">
      <c r="A103" s="25">
        <v>5</v>
      </c>
      <c r="B103" s="25" t="s">
        <v>161</v>
      </c>
      <c r="C103" s="25" t="s">
        <v>78</v>
      </c>
      <c r="D103" s="25" t="s">
        <v>78</v>
      </c>
      <c r="E103" s="25" t="s">
        <v>110</v>
      </c>
      <c r="F103" s="25" t="s">
        <v>113</v>
      </c>
      <c r="G103" s="25">
        <v>9.6</v>
      </c>
      <c r="H103" s="25">
        <v>3.5</v>
      </c>
      <c r="I103" s="30">
        <v>-6.1</v>
      </c>
      <c r="J103" s="25">
        <v>10.9</v>
      </c>
      <c r="K103" s="25">
        <v>9.4</v>
      </c>
      <c r="L103" s="25">
        <v>53.3</v>
      </c>
      <c r="M103" s="25">
        <v>50.8</v>
      </c>
      <c r="N103" s="30">
        <v>2.6</v>
      </c>
      <c r="O103" s="25">
        <v>13</v>
      </c>
      <c r="P103" s="25">
        <v>10</v>
      </c>
      <c r="Q103" s="30" t="s">
        <v>160</v>
      </c>
    </row>
    <row r="104" spans="1:17" x14ac:dyDescent="0.25">
      <c r="A104" s="25">
        <v>5</v>
      </c>
      <c r="B104" s="25" t="s">
        <v>161</v>
      </c>
      <c r="C104" s="25" t="s">
        <v>78</v>
      </c>
      <c r="D104" s="25" t="s">
        <v>78</v>
      </c>
      <c r="E104" s="25" t="s">
        <v>103</v>
      </c>
      <c r="F104" s="25" t="s">
        <v>108</v>
      </c>
      <c r="G104" s="25">
        <v>-2.2000000000000002</v>
      </c>
      <c r="H104" s="25">
        <v>-5.8</v>
      </c>
      <c r="I104" s="30">
        <v>-3.6</v>
      </c>
      <c r="J104" s="25">
        <v>1.4</v>
      </c>
      <c r="K104" s="25">
        <v>-24.6</v>
      </c>
      <c r="L104" s="25">
        <v>48.3</v>
      </c>
      <c r="M104" s="25">
        <v>49.2</v>
      </c>
      <c r="N104" s="25">
        <v>-1</v>
      </c>
      <c r="O104" s="25">
        <v>38</v>
      </c>
      <c r="P104" s="25">
        <v>14</v>
      </c>
      <c r="Q104" s="31" t="s">
        <v>164</v>
      </c>
    </row>
    <row r="105" spans="1:17" x14ac:dyDescent="0.25">
      <c r="A105" s="25">
        <v>5</v>
      </c>
      <c r="B105" s="25" t="s">
        <v>161</v>
      </c>
      <c r="C105" s="25" t="s">
        <v>78</v>
      </c>
      <c r="D105" s="25" t="s">
        <v>78</v>
      </c>
      <c r="E105" s="25" t="s">
        <v>106</v>
      </c>
      <c r="F105" s="25" t="s">
        <v>107</v>
      </c>
      <c r="G105" s="25">
        <v>-20.100000000000001</v>
      </c>
      <c r="H105" s="25">
        <v>-11.2</v>
      </c>
      <c r="I105" s="30">
        <v>8.8000000000000007</v>
      </c>
      <c r="J105" s="25">
        <v>-13.7</v>
      </c>
      <c r="K105" s="25">
        <v>-19.899999999999999</v>
      </c>
      <c r="L105" s="25">
        <v>48.6</v>
      </c>
      <c r="M105" s="25">
        <v>42.2</v>
      </c>
      <c r="N105" s="30">
        <v>6.4</v>
      </c>
      <c r="O105" s="25">
        <v>24</v>
      </c>
      <c r="P105" s="25">
        <v>20</v>
      </c>
      <c r="Q105" s="31" t="s">
        <v>164</v>
      </c>
    </row>
    <row r="106" spans="1:17" x14ac:dyDescent="0.25">
      <c r="A106" s="25">
        <v>5</v>
      </c>
      <c r="B106" s="25" t="s">
        <v>161</v>
      </c>
      <c r="C106" s="25" t="s">
        <v>68</v>
      </c>
      <c r="D106" s="25" t="s">
        <v>42</v>
      </c>
      <c r="E106" s="25" t="s">
        <v>52</v>
      </c>
      <c r="F106" s="25" t="s">
        <v>115</v>
      </c>
      <c r="G106" s="25">
        <v>5</v>
      </c>
      <c r="H106" s="25">
        <v>-2.8</v>
      </c>
      <c r="I106" s="30">
        <v>-7.7</v>
      </c>
      <c r="J106" s="25">
        <v>-8.5</v>
      </c>
      <c r="K106" s="25">
        <v>-7.7</v>
      </c>
      <c r="L106" s="25">
        <v>55.1</v>
      </c>
      <c r="M106" s="25">
        <v>45.2</v>
      </c>
      <c r="N106" s="30">
        <v>9.8000000000000007</v>
      </c>
      <c r="O106" s="25">
        <v>9</v>
      </c>
      <c r="P106" s="25">
        <v>14</v>
      </c>
      <c r="Q106" s="31" t="s">
        <v>164</v>
      </c>
    </row>
    <row r="107" spans="1:17" x14ac:dyDescent="0.25">
      <c r="A107" s="25">
        <v>5</v>
      </c>
      <c r="B107" s="25" t="s">
        <v>161</v>
      </c>
      <c r="C107" s="25" t="s">
        <v>68</v>
      </c>
      <c r="D107" s="25" t="s">
        <v>68</v>
      </c>
      <c r="E107" s="25" t="s">
        <v>122</v>
      </c>
      <c r="F107" s="25" t="s">
        <v>183</v>
      </c>
      <c r="G107" s="25">
        <v>-32.299999999999997</v>
      </c>
      <c r="H107" s="25">
        <v>-23.2</v>
      </c>
      <c r="I107" s="30">
        <v>9.1</v>
      </c>
      <c r="J107" s="25">
        <v>-22.1</v>
      </c>
      <c r="K107" s="25">
        <v>-28.2</v>
      </c>
      <c r="L107" s="25">
        <v>43.7</v>
      </c>
      <c r="M107" s="25">
        <v>47.8</v>
      </c>
      <c r="N107" s="30">
        <v>-4.0999999999999996</v>
      </c>
      <c r="O107" s="25">
        <v>7</v>
      </c>
      <c r="P107" s="25">
        <v>61</v>
      </c>
      <c r="Q107" s="30" t="s">
        <v>160</v>
      </c>
    </row>
    <row r="108" spans="1:17" x14ac:dyDescent="0.25">
      <c r="A108" s="25">
        <v>5</v>
      </c>
      <c r="B108" s="25" t="s">
        <v>161</v>
      </c>
      <c r="C108" s="25" t="s">
        <v>68</v>
      </c>
      <c r="D108" s="25" t="s">
        <v>68</v>
      </c>
      <c r="E108" s="25" t="s">
        <v>117</v>
      </c>
      <c r="F108" s="25" t="s">
        <v>119</v>
      </c>
      <c r="G108" s="25">
        <v>-30.4</v>
      </c>
      <c r="H108" s="25">
        <v>-17.2</v>
      </c>
      <c r="I108" s="30">
        <v>13.1</v>
      </c>
      <c r="J108" s="25">
        <v>-22</v>
      </c>
      <c r="K108" s="25">
        <v>-20.8</v>
      </c>
      <c r="L108" s="25">
        <v>46.7</v>
      </c>
      <c r="M108" s="25">
        <v>44.5</v>
      </c>
      <c r="N108" s="30">
        <v>2.2000000000000002</v>
      </c>
      <c r="O108" s="25">
        <v>0</v>
      </c>
      <c r="P108" s="25">
        <v>28</v>
      </c>
      <c r="Q108" s="30" t="s">
        <v>160</v>
      </c>
    </row>
    <row r="109" spans="1:17" x14ac:dyDescent="0.25">
      <c r="A109" s="25">
        <v>5</v>
      </c>
      <c r="B109" s="25" t="s">
        <v>161</v>
      </c>
      <c r="C109" s="25" t="s">
        <v>68</v>
      </c>
      <c r="D109" s="25" t="s">
        <v>27</v>
      </c>
      <c r="E109" s="25" t="s">
        <v>32</v>
      </c>
      <c r="F109" s="25" t="s">
        <v>120</v>
      </c>
      <c r="G109" s="25">
        <v>-5.9</v>
      </c>
      <c r="H109" s="25">
        <v>-1.8</v>
      </c>
      <c r="I109" s="30">
        <v>4.2</v>
      </c>
      <c r="J109" s="25">
        <v>-15.5</v>
      </c>
      <c r="K109" s="25">
        <v>-3.1</v>
      </c>
      <c r="L109" s="25">
        <v>45.6</v>
      </c>
      <c r="M109" s="25">
        <v>52.2</v>
      </c>
      <c r="N109" s="30">
        <v>-6.7</v>
      </c>
      <c r="O109" s="25">
        <v>31</v>
      </c>
      <c r="P109" s="25">
        <v>39</v>
      </c>
      <c r="Q109" s="30" t="s">
        <v>160</v>
      </c>
    </row>
    <row r="110" spans="1:17" x14ac:dyDescent="0.25">
      <c r="A110" s="25">
        <v>5</v>
      </c>
      <c r="B110" s="25" t="s">
        <v>176</v>
      </c>
      <c r="C110" s="25" t="s">
        <v>68</v>
      </c>
      <c r="D110" s="25" t="s">
        <v>68</v>
      </c>
      <c r="E110" s="25" t="s">
        <v>118</v>
      </c>
      <c r="F110" s="25" t="s">
        <v>69</v>
      </c>
      <c r="G110" s="25">
        <v>-6.9</v>
      </c>
      <c r="H110" s="25">
        <v>-2.8</v>
      </c>
      <c r="I110" s="30">
        <v>4.2</v>
      </c>
      <c r="J110" s="25">
        <v>-6.7</v>
      </c>
      <c r="K110" s="25">
        <v>2.1</v>
      </c>
      <c r="L110" s="25">
        <v>48.5</v>
      </c>
      <c r="M110" s="25">
        <v>51.2</v>
      </c>
      <c r="N110" s="30">
        <v>-2.7</v>
      </c>
      <c r="O110" s="25">
        <v>20</v>
      </c>
      <c r="P110" s="25">
        <v>16</v>
      </c>
      <c r="Q110" s="31" t="s">
        <v>164</v>
      </c>
    </row>
    <row r="111" spans="1:17" x14ac:dyDescent="0.25">
      <c r="A111" s="25">
        <v>5</v>
      </c>
      <c r="B111" s="25" t="s">
        <v>161</v>
      </c>
      <c r="C111" s="25" t="s">
        <v>123</v>
      </c>
      <c r="D111" s="25" t="s">
        <v>123</v>
      </c>
      <c r="E111" s="25" t="s">
        <v>127</v>
      </c>
      <c r="F111" s="25" t="s">
        <v>128</v>
      </c>
      <c r="G111" s="25">
        <v>-14.9</v>
      </c>
      <c r="H111" s="25">
        <v>-19.5</v>
      </c>
      <c r="I111" s="30">
        <v>-4.5999999999999996</v>
      </c>
      <c r="J111" s="25">
        <v>-18.399999999999999</v>
      </c>
      <c r="K111" s="25">
        <v>-17.600000000000001</v>
      </c>
      <c r="L111" s="25">
        <v>49.5</v>
      </c>
      <c r="M111" s="25">
        <v>51</v>
      </c>
      <c r="N111" s="25">
        <v>-1.5</v>
      </c>
      <c r="O111" s="25">
        <v>18</v>
      </c>
      <c r="P111" s="25">
        <v>37</v>
      </c>
      <c r="Q111" s="30" t="s">
        <v>160</v>
      </c>
    </row>
    <row r="112" spans="1:17" x14ac:dyDescent="0.25">
      <c r="A112" s="25">
        <v>5</v>
      </c>
      <c r="B112" s="25" t="s">
        <v>161</v>
      </c>
      <c r="C112" s="25" t="s">
        <v>123</v>
      </c>
      <c r="D112" s="25" t="s">
        <v>123</v>
      </c>
      <c r="E112" s="25" t="s">
        <v>125</v>
      </c>
      <c r="F112" s="25" t="s">
        <v>184</v>
      </c>
      <c r="G112" s="25">
        <v>1.7</v>
      </c>
      <c r="H112" s="25">
        <v>7</v>
      </c>
      <c r="I112" s="30">
        <v>5.3</v>
      </c>
      <c r="J112" s="25">
        <v>-1.3</v>
      </c>
      <c r="K112" s="25">
        <v>-0.1</v>
      </c>
      <c r="L112" s="25">
        <v>56.2</v>
      </c>
      <c r="M112" s="25">
        <v>61.5</v>
      </c>
      <c r="N112" s="30">
        <v>-5.3</v>
      </c>
      <c r="O112" s="25">
        <v>56</v>
      </c>
      <c r="P112" s="25">
        <v>26</v>
      </c>
      <c r="Q112" s="30" t="s">
        <v>160</v>
      </c>
    </row>
    <row r="113" spans="1:17" x14ac:dyDescent="0.25">
      <c r="A113" s="25">
        <v>5</v>
      </c>
      <c r="B113" s="25" t="s">
        <v>176</v>
      </c>
      <c r="C113" s="25" t="s">
        <v>123</v>
      </c>
      <c r="D113" s="25" t="s">
        <v>123</v>
      </c>
      <c r="E113" s="25" t="s">
        <v>185</v>
      </c>
      <c r="F113" s="25" t="s">
        <v>124</v>
      </c>
      <c r="G113" s="25">
        <v>4.5</v>
      </c>
      <c r="H113" s="25">
        <v>9.8000000000000007</v>
      </c>
      <c r="I113" s="30">
        <v>5.3</v>
      </c>
      <c r="J113" s="25">
        <v>2.8</v>
      </c>
      <c r="K113" s="25">
        <v>-0.7</v>
      </c>
      <c r="L113" s="25">
        <v>53.5</v>
      </c>
      <c r="M113" s="25">
        <v>57.5</v>
      </c>
      <c r="N113" s="30">
        <v>-4</v>
      </c>
      <c r="O113" s="25">
        <v>29</v>
      </c>
      <c r="P113" s="25">
        <v>31</v>
      </c>
      <c r="Q113" s="31" t="s">
        <v>164</v>
      </c>
    </row>
    <row r="114" spans="1:17" x14ac:dyDescent="0.25">
      <c r="A114" s="25">
        <v>5</v>
      </c>
      <c r="B114" s="25" t="s">
        <v>176</v>
      </c>
      <c r="C114" s="25" t="s">
        <v>123</v>
      </c>
      <c r="D114" s="25" t="s">
        <v>123</v>
      </c>
      <c r="E114" s="25" t="s">
        <v>129</v>
      </c>
      <c r="F114" s="25" t="s">
        <v>126</v>
      </c>
      <c r="G114" s="25">
        <v>-7.7</v>
      </c>
      <c r="H114" s="25">
        <v>-2.2000000000000002</v>
      </c>
      <c r="I114" s="30">
        <v>5.5</v>
      </c>
      <c r="J114" s="25">
        <v>2.5</v>
      </c>
      <c r="K114" s="25">
        <v>1.7</v>
      </c>
      <c r="L114" s="25">
        <v>41.4</v>
      </c>
      <c r="M114" s="25">
        <v>45</v>
      </c>
      <c r="N114" s="30">
        <v>-3.6</v>
      </c>
      <c r="O114" s="25">
        <v>26</v>
      </c>
      <c r="P114" s="25">
        <v>6</v>
      </c>
      <c r="Q114" s="31" t="s">
        <v>164</v>
      </c>
    </row>
    <row r="115" spans="1:17" x14ac:dyDescent="0.25">
      <c r="A115" s="25">
        <v>5</v>
      </c>
      <c r="B115" s="25" t="s">
        <v>161</v>
      </c>
      <c r="C115" s="25" t="s">
        <v>130</v>
      </c>
      <c r="D115" s="25" t="s">
        <v>130</v>
      </c>
      <c r="E115" s="25" t="s">
        <v>144</v>
      </c>
      <c r="F115" s="25" t="s">
        <v>131</v>
      </c>
      <c r="G115" s="25">
        <v>-15.4</v>
      </c>
      <c r="H115" s="25">
        <v>-25.5</v>
      </c>
      <c r="I115" s="30">
        <v>-10.1</v>
      </c>
      <c r="J115" s="25">
        <v>-20.6</v>
      </c>
      <c r="K115" s="25">
        <v>-23.4</v>
      </c>
      <c r="L115" s="25">
        <v>48.9</v>
      </c>
      <c r="M115" s="25">
        <v>50.2</v>
      </c>
      <c r="N115" s="25">
        <v>-1.4</v>
      </c>
      <c r="O115" s="25">
        <v>14</v>
      </c>
      <c r="P115" s="25">
        <v>38</v>
      </c>
      <c r="Q115" s="30" t="s">
        <v>160</v>
      </c>
    </row>
    <row r="116" spans="1:17" x14ac:dyDescent="0.25">
      <c r="A116" s="25">
        <v>5</v>
      </c>
      <c r="B116" s="25" t="s">
        <v>161</v>
      </c>
      <c r="C116" s="25" t="s">
        <v>130</v>
      </c>
      <c r="D116" s="25" t="s">
        <v>186</v>
      </c>
      <c r="E116" s="25" t="s">
        <v>187</v>
      </c>
      <c r="F116" s="25" t="s">
        <v>137</v>
      </c>
      <c r="G116" s="25">
        <v>-61.5</v>
      </c>
      <c r="H116" s="25">
        <v>-53.2</v>
      </c>
      <c r="I116" s="30">
        <v>8.1999999999999993</v>
      </c>
      <c r="J116" s="25">
        <v>-39</v>
      </c>
      <c r="K116" s="25">
        <v>-23.6</v>
      </c>
      <c r="L116" s="25">
        <v>57.7</v>
      </c>
      <c r="M116" s="25">
        <v>62</v>
      </c>
      <c r="N116" s="30">
        <v>-4.3</v>
      </c>
      <c r="O116" s="25">
        <v>14</v>
      </c>
      <c r="P116" s="25">
        <v>63</v>
      </c>
      <c r="Q116" s="30" t="s">
        <v>160</v>
      </c>
    </row>
    <row r="117" spans="1:17" x14ac:dyDescent="0.25">
      <c r="A117" s="25">
        <v>5</v>
      </c>
      <c r="B117" s="25" t="s">
        <v>161</v>
      </c>
      <c r="C117" s="25" t="s">
        <v>130</v>
      </c>
      <c r="D117" s="25" t="s">
        <v>130</v>
      </c>
      <c r="E117" s="25" t="s">
        <v>132</v>
      </c>
      <c r="F117" s="25" t="s">
        <v>188</v>
      </c>
      <c r="G117" s="25">
        <v>8.4</v>
      </c>
      <c r="H117" s="25">
        <v>5.5</v>
      </c>
      <c r="I117" s="30">
        <v>-2.9</v>
      </c>
      <c r="J117" s="25">
        <v>12.2</v>
      </c>
      <c r="K117" s="25">
        <v>-0.2</v>
      </c>
      <c r="L117" s="25">
        <v>55.3</v>
      </c>
      <c r="M117" s="25">
        <v>62</v>
      </c>
      <c r="N117" s="30">
        <v>-6.7</v>
      </c>
      <c r="O117" s="25">
        <v>56</v>
      </c>
      <c r="P117" s="25">
        <v>23</v>
      </c>
      <c r="Q117" s="30" t="s">
        <v>160</v>
      </c>
    </row>
    <row r="118" spans="1:17" x14ac:dyDescent="0.25">
      <c r="A118" s="25">
        <v>5</v>
      </c>
      <c r="B118" s="25" t="s">
        <v>161</v>
      </c>
      <c r="C118" s="25" t="s">
        <v>130</v>
      </c>
      <c r="D118" s="25" t="s">
        <v>130</v>
      </c>
      <c r="E118" s="25" t="s">
        <v>136</v>
      </c>
      <c r="F118" s="25" t="s">
        <v>140</v>
      </c>
      <c r="G118" s="25">
        <v>3</v>
      </c>
      <c r="H118" s="25">
        <v>5.5</v>
      </c>
      <c r="I118" s="30">
        <v>2.5</v>
      </c>
      <c r="J118" s="25">
        <v>0.9</v>
      </c>
      <c r="K118" s="25">
        <v>4.7</v>
      </c>
      <c r="L118" s="25">
        <v>51</v>
      </c>
      <c r="M118" s="25">
        <v>57.8</v>
      </c>
      <c r="N118" s="30">
        <v>-6.7</v>
      </c>
      <c r="O118" s="25">
        <v>17</v>
      </c>
      <c r="P118" s="25">
        <v>45</v>
      </c>
      <c r="Q118" s="31" t="s">
        <v>164</v>
      </c>
    </row>
    <row r="119" spans="1:17" x14ac:dyDescent="0.25">
      <c r="A119" s="25">
        <v>5</v>
      </c>
      <c r="B119" s="25" t="s">
        <v>161</v>
      </c>
      <c r="C119" s="25" t="s">
        <v>130</v>
      </c>
      <c r="D119" s="25" t="s">
        <v>130</v>
      </c>
      <c r="E119" s="25" t="s">
        <v>138</v>
      </c>
      <c r="F119" s="25" t="s">
        <v>135</v>
      </c>
      <c r="G119" s="25">
        <v>-15.8</v>
      </c>
      <c r="H119" s="25">
        <v>-2.5</v>
      </c>
      <c r="I119" s="30">
        <v>13.3</v>
      </c>
      <c r="J119" s="25">
        <v>-4</v>
      </c>
      <c r="K119" s="25">
        <v>-5.3</v>
      </c>
      <c r="L119" s="25">
        <v>51.8</v>
      </c>
      <c r="M119" s="25">
        <v>53</v>
      </c>
      <c r="N119" s="25">
        <v>-1.2</v>
      </c>
      <c r="O119" s="25">
        <v>35</v>
      </c>
      <c r="P119" s="25">
        <v>34</v>
      </c>
      <c r="Q119" s="31" t="s">
        <v>164</v>
      </c>
    </row>
    <row r="120" spans="1:17" x14ac:dyDescent="0.25">
      <c r="A120" s="25">
        <v>5</v>
      </c>
      <c r="B120" s="25" t="s">
        <v>161</v>
      </c>
      <c r="C120" s="25" t="s">
        <v>130</v>
      </c>
      <c r="D120" s="25" t="s">
        <v>130</v>
      </c>
      <c r="E120" s="25" t="s">
        <v>189</v>
      </c>
      <c r="F120" s="25" t="s">
        <v>133</v>
      </c>
      <c r="G120" s="25">
        <v>-11.1</v>
      </c>
      <c r="H120" s="25">
        <v>-6.2</v>
      </c>
      <c r="I120" s="30">
        <v>4.8</v>
      </c>
      <c r="J120" s="25">
        <v>-14.1</v>
      </c>
      <c r="K120" s="25">
        <v>-11</v>
      </c>
      <c r="L120" s="25">
        <v>48</v>
      </c>
      <c r="M120" s="25">
        <v>54.2</v>
      </c>
      <c r="N120" s="30">
        <v>-6.3</v>
      </c>
      <c r="O120" s="25">
        <v>14</v>
      </c>
      <c r="P120" s="25">
        <v>24</v>
      </c>
      <c r="Q120" s="30" t="s">
        <v>160</v>
      </c>
    </row>
    <row r="121" spans="1:17" x14ac:dyDescent="0.25">
      <c r="A121" s="25">
        <v>5</v>
      </c>
      <c r="B121" s="25" t="s">
        <v>161</v>
      </c>
      <c r="C121" s="25" t="s">
        <v>130</v>
      </c>
      <c r="D121" s="25" t="s">
        <v>130</v>
      </c>
      <c r="E121" s="25" t="s">
        <v>134</v>
      </c>
      <c r="F121" s="25" t="s">
        <v>139</v>
      </c>
      <c r="G121" s="25">
        <v>-17.100000000000001</v>
      </c>
      <c r="H121" s="25">
        <v>-13.8</v>
      </c>
      <c r="I121" s="30">
        <v>3.3</v>
      </c>
      <c r="J121" s="25">
        <v>-17</v>
      </c>
      <c r="K121" s="25">
        <v>-9.6999999999999993</v>
      </c>
      <c r="L121" s="25">
        <v>48.9</v>
      </c>
      <c r="M121" s="25">
        <v>50.8</v>
      </c>
      <c r="N121" s="25">
        <v>-1.8</v>
      </c>
      <c r="O121" s="25">
        <v>7</v>
      </c>
      <c r="P121" s="25">
        <v>34</v>
      </c>
      <c r="Q121" s="30" t="s">
        <v>160</v>
      </c>
    </row>
    <row r="122" spans="1:17" x14ac:dyDescent="0.25">
      <c r="A122" s="25">
        <v>5</v>
      </c>
      <c r="B122" s="25" t="s">
        <v>161</v>
      </c>
      <c r="C122" s="25" t="s">
        <v>145</v>
      </c>
      <c r="D122" s="25" t="s">
        <v>145</v>
      </c>
      <c r="E122" s="25" t="s">
        <v>153</v>
      </c>
      <c r="F122" s="25" t="s">
        <v>156</v>
      </c>
      <c r="G122" s="25">
        <v>0.2</v>
      </c>
      <c r="H122" s="25">
        <v>2.2000000000000002</v>
      </c>
      <c r="I122" s="30">
        <v>2</v>
      </c>
      <c r="J122" s="25">
        <v>0.4</v>
      </c>
      <c r="K122" s="25">
        <v>-3.7</v>
      </c>
      <c r="L122" s="25">
        <v>55.6</v>
      </c>
      <c r="M122" s="25">
        <v>53.5</v>
      </c>
      <c r="N122" s="30">
        <v>2.1</v>
      </c>
      <c r="O122" s="25">
        <v>31</v>
      </c>
      <c r="P122" s="25">
        <v>24</v>
      </c>
      <c r="Q122" s="30" t="s">
        <v>160</v>
      </c>
    </row>
    <row r="123" spans="1:17" x14ac:dyDescent="0.25">
      <c r="A123" s="25">
        <v>5</v>
      </c>
      <c r="B123" s="25" t="s">
        <v>161</v>
      </c>
      <c r="C123" s="25" t="s">
        <v>145</v>
      </c>
      <c r="D123" s="25" t="s">
        <v>145</v>
      </c>
      <c r="E123" s="25" t="s">
        <v>150</v>
      </c>
      <c r="F123" s="25" t="s">
        <v>190</v>
      </c>
      <c r="G123" s="25">
        <v>11.1</v>
      </c>
      <c r="H123" s="25">
        <v>-2</v>
      </c>
      <c r="I123" s="30">
        <v>-13.1</v>
      </c>
      <c r="J123" s="25">
        <v>-0.2</v>
      </c>
      <c r="K123" s="25">
        <v>-18.2</v>
      </c>
      <c r="L123" s="25">
        <v>48.5</v>
      </c>
      <c r="M123" s="25">
        <v>51.5</v>
      </c>
      <c r="N123" s="30">
        <v>-3</v>
      </c>
      <c r="O123" s="25">
        <v>10</v>
      </c>
      <c r="P123" s="25">
        <v>42</v>
      </c>
      <c r="Q123" s="31" t="s">
        <v>164</v>
      </c>
    </row>
    <row r="124" spans="1:17" x14ac:dyDescent="0.25">
      <c r="A124" s="25">
        <v>5</v>
      </c>
      <c r="B124" s="25" t="s">
        <v>161</v>
      </c>
      <c r="C124" s="25" t="s">
        <v>145</v>
      </c>
      <c r="D124" s="25" t="s">
        <v>145</v>
      </c>
      <c r="E124" s="25" t="s">
        <v>157</v>
      </c>
      <c r="F124" s="25" t="s">
        <v>152</v>
      </c>
      <c r="G124" s="25">
        <v>-28.6</v>
      </c>
      <c r="H124" s="25">
        <v>-16.2</v>
      </c>
      <c r="I124" s="30">
        <v>12.4</v>
      </c>
      <c r="J124" s="25">
        <v>-12.3</v>
      </c>
      <c r="K124" s="25">
        <v>-26.5</v>
      </c>
      <c r="L124" s="25">
        <v>56.1</v>
      </c>
      <c r="M124" s="25">
        <v>55.8</v>
      </c>
      <c r="N124" s="25">
        <v>0.4</v>
      </c>
      <c r="O124" s="25">
        <v>17</v>
      </c>
      <c r="P124" s="25">
        <v>45</v>
      </c>
      <c r="Q124" s="30" t="s">
        <v>160</v>
      </c>
    </row>
    <row r="125" spans="1:17" x14ac:dyDescent="0.25">
      <c r="A125" s="25">
        <v>5</v>
      </c>
      <c r="B125" s="25" t="s">
        <v>161</v>
      </c>
      <c r="C125" s="25" t="s">
        <v>145</v>
      </c>
      <c r="D125" s="25" t="s">
        <v>42</v>
      </c>
      <c r="E125" s="25" t="s">
        <v>46</v>
      </c>
      <c r="F125" s="25" t="s">
        <v>155</v>
      </c>
      <c r="G125" s="25">
        <v>4.8</v>
      </c>
      <c r="H125" s="25">
        <v>-0.2</v>
      </c>
      <c r="I125" s="30">
        <v>-5.0999999999999996</v>
      </c>
      <c r="J125" s="25">
        <v>-8.1</v>
      </c>
      <c r="K125" s="25">
        <v>-1.8</v>
      </c>
      <c r="L125" s="25">
        <v>53.3</v>
      </c>
      <c r="M125" s="25">
        <v>46.8</v>
      </c>
      <c r="N125" s="30">
        <v>6.5</v>
      </c>
      <c r="O125" s="25">
        <v>29</v>
      </c>
      <c r="P125" s="25">
        <v>31</v>
      </c>
      <c r="Q125" s="31" t="s">
        <v>164</v>
      </c>
    </row>
    <row r="126" spans="1:17" x14ac:dyDescent="0.25">
      <c r="A126" s="25">
        <v>5</v>
      </c>
      <c r="B126" s="25" t="s">
        <v>161</v>
      </c>
      <c r="C126" s="25" t="s">
        <v>145</v>
      </c>
      <c r="D126" s="25" t="s">
        <v>145</v>
      </c>
      <c r="E126" s="25" t="s">
        <v>191</v>
      </c>
      <c r="F126" s="25" t="s">
        <v>148</v>
      </c>
      <c r="G126" s="25">
        <v>-15.6</v>
      </c>
      <c r="H126" s="25">
        <v>-13.2</v>
      </c>
      <c r="I126" s="30">
        <v>2.4</v>
      </c>
      <c r="J126" s="25">
        <v>-21</v>
      </c>
      <c r="K126" s="25">
        <v>-18</v>
      </c>
      <c r="L126" s="25">
        <v>56.6</v>
      </c>
      <c r="M126" s="25">
        <v>57</v>
      </c>
      <c r="N126" s="25">
        <v>-0.4</v>
      </c>
      <c r="O126" s="25">
        <v>35</v>
      </c>
      <c r="P126" s="25">
        <v>52</v>
      </c>
      <c r="Q126" s="30" t="s">
        <v>160</v>
      </c>
    </row>
    <row r="127" spans="1:17" x14ac:dyDescent="0.25">
      <c r="A127" s="25">
        <v>5</v>
      </c>
      <c r="B127" s="25" t="s">
        <v>176</v>
      </c>
      <c r="C127" s="25" t="s">
        <v>145</v>
      </c>
      <c r="D127" s="25" t="s">
        <v>145</v>
      </c>
      <c r="E127" s="25" t="s">
        <v>149</v>
      </c>
      <c r="F127" s="25" t="s">
        <v>154</v>
      </c>
      <c r="G127" s="25">
        <v>-4.7</v>
      </c>
      <c r="H127" s="25">
        <v>-5.2</v>
      </c>
      <c r="I127" s="25">
        <v>-0.6</v>
      </c>
      <c r="J127" s="25">
        <v>-7.4</v>
      </c>
      <c r="K127" s="25">
        <v>-10.4</v>
      </c>
      <c r="L127" s="25">
        <v>51.4</v>
      </c>
      <c r="M127" s="25">
        <v>49</v>
      </c>
      <c r="N127" s="30">
        <v>2.4</v>
      </c>
      <c r="O127" s="25">
        <v>20</v>
      </c>
      <c r="P127" s="25">
        <v>23</v>
      </c>
      <c r="Q127" s="30" t="s">
        <v>160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6"/>
  <sheetViews>
    <sheetView showGridLines="0" workbookViewId="0">
      <selection activeCell="Q27" sqref="Q27"/>
    </sheetView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484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485</v>
      </c>
      <c r="C3" s="28">
        <v>0.59</v>
      </c>
    </row>
    <row r="4" spans="1:6" x14ac:dyDescent="0.25">
      <c r="A4" s="25" t="s">
        <v>6</v>
      </c>
      <c r="B4" s="25" t="s">
        <v>486</v>
      </c>
      <c r="C4" s="28">
        <v>0.66700000000000004</v>
      </c>
    </row>
    <row r="6" spans="1:6" ht="15.6" customHeight="1" x14ac:dyDescent="0.25">
      <c r="A6" s="24" t="s">
        <v>487</v>
      </c>
    </row>
    <row r="7" spans="1:6" x14ac:dyDescent="0.25">
      <c r="A7" s="34" t="s">
        <v>313</v>
      </c>
      <c r="B7" s="34" t="s">
        <v>488</v>
      </c>
      <c r="C7" s="34" t="s">
        <v>489</v>
      </c>
      <c r="D7" s="34" t="s">
        <v>490</v>
      </c>
      <c r="E7" s="34" t="s">
        <v>491</v>
      </c>
      <c r="F7" s="34" t="s">
        <v>492</v>
      </c>
    </row>
    <row r="8" spans="1:6" x14ac:dyDescent="0.25">
      <c r="A8" s="25" t="s">
        <v>162</v>
      </c>
      <c r="B8" s="25">
        <v>3</v>
      </c>
      <c r="C8" s="25">
        <v>0</v>
      </c>
      <c r="D8" s="25">
        <v>1</v>
      </c>
      <c r="E8" s="25">
        <v>5</v>
      </c>
      <c r="F8" s="25">
        <v>0</v>
      </c>
    </row>
    <row r="9" spans="1:6" x14ac:dyDescent="0.25">
      <c r="A9" s="25" t="s">
        <v>38</v>
      </c>
      <c r="B9" s="25">
        <v>2</v>
      </c>
      <c r="C9" s="25">
        <v>0</v>
      </c>
      <c r="D9" s="25">
        <v>1</v>
      </c>
      <c r="E9" s="25">
        <v>5</v>
      </c>
      <c r="F9" s="25">
        <v>0</v>
      </c>
    </row>
    <row r="10" spans="1:6" x14ac:dyDescent="0.25">
      <c r="A10" s="25" t="s">
        <v>33</v>
      </c>
      <c r="B10" s="25">
        <v>1</v>
      </c>
      <c r="C10" s="25">
        <v>0</v>
      </c>
      <c r="D10" s="25">
        <v>1</v>
      </c>
      <c r="E10" s="25">
        <v>4</v>
      </c>
      <c r="F10" s="25">
        <v>0</v>
      </c>
    </row>
    <row r="11" spans="1:6" x14ac:dyDescent="0.25">
      <c r="A11" s="25" t="s">
        <v>166</v>
      </c>
      <c r="B11" s="25">
        <v>2</v>
      </c>
      <c r="C11" s="25">
        <v>1</v>
      </c>
      <c r="D11" s="25">
        <v>0.66700000000000004</v>
      </c>
      <c r="E11" s="25">
        <v>4</v>
      </c>
      <c r="F11" s="25">
        <v>1</v>
      </c>
    </row>
    <row r="12" spans="1:6" x14ac:dyDescent="0.25">
      <c r="A12" s="25" t="s">
        <v>35</v>
      </c>
      <c r="B12" s="25">
        <v>2</v>
      </c>
      <c r="C12" s="25">
        <v>1</v>
      </c>
      <c r="D12" s="25">
        <v>0.66700000000000004</v>
      </c>
      <c r="E12" s="25">
        <v>4</v>
      </c>
      <c r="F12" s="25">
        <v>1</v>
      </c>
    </row>
    <row r="13" spans="1:6" x14ac:dyDescent="0.25">
      <c r="A13" s="25" t="s">
        <v>163</v>
      </c>
      <c r="B13" s="25">
        <v>2</v>
      </c>
      <c r="C13" s="25">
        <v>1</v>
      </c>
      <c r="D13" s="25">
        <v>0.66700000000000004</v>
      </c>
      <c r="E13" s="25">
        <v>3</v>
      </c>
      <c r="F13" s="25">
        <v>2</v>
      </c>
    </row>
    <row r="14" spans="1:6" x14ac:dyDescent="0.25">
      <c r="A14" s="25" t="s">
        <v>31</v>
      </c>
      <c r="B14" s="25">
        <v>1</v>
      </c>
      <c r="C14" s="25">
        <v>1</v>
      </c>
      <c r="D14" s="25">
        <v>0.5</v>
      </c>
      <c r="E14" s="25">
        <v>4</v>
      </c>
      <c r="F14" s="25">
        <v>1</v>
      </c>
    </row>
    <row r="15" spans="1:6" x14ac:dyDescent="0.25">
      <c r="A15" s="25" t="s">
        <v>28</v>
      </c>
      <c r="B15" s="25">
        <v>1</v>
      </c>
      <c r="C15" s="25">
        <v>1</v>
      </c>
      <c r="D15" s="25">
        <v>0.5</v>
      </c>
      <c r="E15" s="25">
        <v>3</v>
      </c>
      <c r="F15" s="25">
        <v>2</v>
      </c>
    </row>
    <row r="16" spans="1:6" x14ac:dyDescent="0.25">
      <c r="A16" s="25" t="s">
        <v>36</v>
      </c>
      <c r="B16" s="25">
        <v>1</v>
      </c>
      <c r="C16" s="25">
        <v>1</v>
      </c>
      <c r="D16" s="25">
        <v>0.5</v>
      </c>
      <c r="E16" s="25">
        <v>3</v>
      </c>
      <c r="F16" s="25">
        <v>2</v>
      </c>
    </row>
    <row r="17" spans="1:17" x14ac:dyDescent="0.25">
      <c r="A17" s="25" t="s">
        <v>40</v>
      </c>
      <c r="B17" s="25">
        <v>1</v>
      </c>
      <c r="C17" s="25">
        <v>1</v>
      </c>
      <c r="D17" s="25">
        <v>0.5</v>
      </c>
      <c r="E17" s="25">
        <v>3</v>
      </c>
      <c r="F17" s="25">
        <v>2</v>
      </c>
    </row>
    <row r="18" spans="1:17" x14ac:dyDescent="0.25">
      <c r="A18" s="25" t="s">
        <v>32</v>
      </c>
      <c r="B18" s="25">
        <v>1</v>
      </c>
      <c r="C18" s="25">
        <v>1</v>
      </c>
      <c r="D18" s="25">
        <v>0.5</v>
      </c>
      <c r="E18" s="25">
        <v>2</v>
      </c>
      <c r="F18" s="25">
        <v>3</v>
      </c>
    </row>
    <row r="19" spans="1:17" x14ac:dyDescent="0.25">
      <c r="A19" s="25" t="s">
        <v>29</v>
      </c>
      <c r="B19" s="25">
        <v>1</v>
      </c>
      <c r="C19" s="25">
        <v>2</v>
      </c>
      <c r="D19" s="25">
        <v>0.33300000000000002</v>
      </c>
      <c r="E19" s="25">
        <v>2</v>
      </c>
      <c r="F19" s="25">
        <v>3</v>
      </c>
    </row>
    <row r="20" spans="1:17" x14ac:dyDescent="0.25">
      <c r="A20" s="25" t="s">
        <v>101</v>
      </c>
      <c r="B20" s="25">
        <v>1</v>
      </c>
      <c r="C20" s="25">
        <v>3</v>
      </c>
      <c r="D20" s="25">
        <v>0.25</v>
      </c>
      <c r="E20" s="25">
        <v>2</v>
      </c>
      <c r="F20" s="25">
        <v>3</v>
      </c>
    </row>
    <row r="21" spans="1:17" ht="26.45" customHeight="1" x14ac:dyDescent="0.25">
      <c r="A21" s="25" t="s">
        <v>37</v>
      </c>
      <c r="B21" s="25">
        <v>0</v>
      </c>
      <c r="C21" s="25">
        <v>1</v>
      </c>
      <c r="D21" s="25">
        <v>0</v>
      </c>
      <c r="E21" s="25">
        <v>2</v>
      </c>
      <c r="F21" s="25">
        <v>2</v>
      </c>
    </row>
    <row r="22" spans="1:17" x14ac:dyDescent="0.25">
      <c r="A22" s="25" t="s">
        <v>39</v>
      </c>
      <c r="B22" s="25">
        <v>0</v>
      </c>
      <c r="C22" s="25">
        <v>2</v>
      </c>
      <c r="D22" s="25">
        <v>0</v>
      </c>
      <c r="E22" s="25">
        <v>2</v>
      </c>
      <c r="F22" s="25">
        <v>2</v>
      </c>
    </row>
    <row r="23" spans="1:17" x14ac:dyDescent="0.25">
      <c r="A23" s="25" t="s">
        <v>165</v>
      </c>
      <c r="B23" s="25">
        <v>0</v>
      </c>
      <c r="C23" s="25">
        <v>2</v>
      </c>
      <c r="D23" s="25">
        <v>0</v>
      </c>
      <c r="E23" s="25">
        <v>2</v>
      </c>
      <c r="F23" s="25">
        <v>3</v>
      </c>
    </row>
    <row r="24" spans="1:17" x14ac:dyDescent="0.25">
      <c r="A24" s="25" t="s">
        <v>34</v>
      </c>
      <c r="B24" s="25">
        <v>0</v>
      </c>
      <c r="C24" s="25">
        <v>1</v>
      </c>
      <c r="D24" s="25">
        <v>0</v>
      </c>
      <c r="E24" s="25">
        <v>1</v>
      </c>
      <c r="F24" s="25">
        <v>3</v>
      </c>
    </row>
    <row r="26" spans="1:17" ht="26.45" customHeight="1" x14ac:dyDescent="0.25">
      <c r="A26" s="24" t="s">
        <v>8</v>
      </c>
    </row>
    <row r="27" spans="1:17" ht="26.25" customHeight="1" x14ac:dyDescent="0.25">
      <c r="A27" s="29" t="s">
        <v>9</v>
      </c>
      <c r="B27" s="29" t="s">
        <v>10</v>
      </c>
      <c r="C27" s="29" t="s">
        <v>11</v>
      </c>
      <c r="D27" s="29" t="s">
        <v>12</v>
      </c>
      <c r="E27" s="29" t="s">
        <v>13</v>
      </c>
      <c r="F27" s="29" t="s">
        <v>14</v>
      </c>
      <c r="G27" s="29" t="s">
        <v>15</v>
      </c>
      <c r="H27" s="29" t="s">
        <v>16</v>
      </c>
      <c r="I27" s="29" t="s">
        <v>17</v>
      </c>
      <c r="J27" s="29" t="s">
        <v>18</v>
      </c>
      <c r="K27" s="29" t="s">
        <v>19</v>
      </c>
      <c r="L27" s="29" t="s">
        <v>20</v>
      </c>
      <c r="M27" s="29" t="s">
        <v>21</v>
      </c>
      <c r="N27" s="29" t="s">
        <v>22</v>
      </c>
      <c r="O27" s="29" t="s">
        <v>23</v>
      </c>
      <c r="P27" s="29" t="s">
        <v>24</v>
      </c>
      <c r="Q27" s="29" t="s">
        <v>25</v>
      </c>
    </row>
    <row r="28" spans="1:17" x14ac:dyDescent="0.25">
      <c r="A28" s="25">
        <v>6</v>
      </c>
      <c r="B28" s="25" t="s">
        <v>26</v>
      </c>
      <c r="C28" s="25" t="s">
        <v>27</v>
      </c>
      <c r="D28" s="25" t="s">
        <v>27</v>
      </c>
      <c r="E28" s="25" t="s">
        <v>28</v>
      </c>
      <c r="F28" s="25" t="s">
        <v>29</v>
      </c>
      <c r="G28" s="25">
        <v>-10.1</v>
      </c>
      <c r="H28" s="25">
        <v>-6</v>
      </c>
      <c r="I28" s="30">
        <v>4.0999999999999996</v>
      </c>
      <c r="J28" s="25">
        <v>-6.4</v>
      </c>
      <c r="K28" s="25">
        <v>-0.8</v>
      </c>
      <c r="L28" s="25">
        <v>57.8</v>
      </c>
      <c r="M28" s="25">
        <v>59.5</v>
      </c>
      <c r="N28" s="25">
        <v>-1.7</v>
      </c>
      <c r="O28" s="25"/>
      <c r="P28" s="25"/>
      <c r="Q28" s="25"/>
    </row>
    <row r="29" spans="1:17" x14ac:dyDescent="0.25">
      <c r="A29" s="25">
        <v>6</v>
      </c>
      <c r="B29" s="25" t="s">
        <v>30</v>
      </c>
      <c r="C29" s="25" t="s">
        <v>27</v>
      </c>
      <c r="D29" s="25" t="s">
        <v>27</v>
      </c>
      <c r="E29" s="25" t="s">
        <v>31</v>
      </c>
      <c r="F29" s="25" t="s">
        <v>32</v>
      </c>
      <c r="G29" s="25">
        <v>4.5</v>
      </c>
      <c r="H29" s="25">
        <v>9.5</v>
      </c>
      <c r="I29" s="30">
        <v>5</v>
      </c>
      <c r="J29" s="25">
        <v>6.7</v>
      </c>
      <c r="K29" s="25">
        <v>9.9</v>
      </c>
      <c r="L29" s="25">
        <v>47.1</v>
      </c>
      <c r="M29" s="25">
        <v>53</v>
      </c>
      <c r="N29" s="30">
        <v>-5.9</v>
      </c>
      <c r="O29" s="25"/>
      <c r="P29" s="25"/>
      <c r="Q29" s="25"/>
    </row>
    <row r="30" spans="1:17" x14ac:dyDescent="0.25">
      <c r="A30" s="25">
        <v>6</v>
      </c>
      <c r="B30" s="25" t="s">
        <v>30</v>
      </c>
      <c r="C30" s="25" t="s">
        <v>27</v>
      </c>
      <c r="D30" s="25" t="s">
        <v>27</v>
      </c>
      <c r="E30" s="25" t="s">
        <v>33</v>
      </c>
      <c r="F30" s="25" t="s">
        <v>34</v>
      </c>
      <c r="G30" s="25">
        <v>8.4</v>
      </c>
      <c r="H30" s="25">
        <v>7</v>
      </c>
      <c r="I30" s="25">
        <v>-1.4</v>
      </c>
      <c r="J30" s="25">
        <v>7.6</v>
      </c>
      <c r="K30" s="25">
        <v>9.8000000000000007</v>
      </c>
      <c r="L30" s="25">
        <v>54.5</v>
      </c>
      <c r="M30" s="25">
        <v>50</v>
      </c>
      <c r="N30" s="30">
        <v>4.5</v>
      </c>
      <c r="O30" s="25"/>
      <c r="P30" s="25"/>
      <c r="Q30" s="25"/>
    </row>
    <row r="31" spans="1:17" x14ac:dyDescent="0.25">
      <c r="A31" s="25">
        <v>6</v>
      </c>
      <c r="B31" s="25" t="s">
        <v>30</v>
      </c>
      <c r="C31" s="25" t="s">
        <v>27</v>
      </c>
      <c r="D31" s="25" t="s">
        <v>27</v>
      </c>
      <c r="E31" s="25" t="s">
        <v>35</v>
      </c>
      <c r="F31" s="25" t="s">
        <v>36</v>
      </c>
      <c r="G31" s="25">
        <v>3.8</v>
      </c>
      <c r="H31" s="25">
        <v>3.5</v>
      </c>
      <c r="I31" s="25">
        <v>-0.3</v>
      </c>
      <c r="J31" s="25">
        <v>-5.7</v>
      </c>
      <c r="K31" s="25">
        <v>-0.7</v>
      </c>
      <c r="L31" s="25">
        <v>56.2</v>
      </c>
      <c r="M31" s="25">
        <v>60</v>
      </c>
      <c r="N31" s="30">
        <v>-3.8</v>
      </c>
      <c r="O31" s="25"/>
      <c r="P31" s="25"/>
      <c r="Q31" s="25"/>
    </row>
    <row r="32" spans="1:17" x14ac:dyDescent="0.25">
      <c r="A32" s="25">
        <v>6</v>
      </c>
      <c r="B32" s="25" t="s">
        <v>30</v>
      </c>
      <c r="C32" s="25" t="s">
        <v>27</v>
      </c>
      <c r="D32" s="25" t="s">
        <v>27</v>
      </c>
      <c r="E32" s="25" t="s">
        <v>37</v>
      </c>
      <c r="F32" s="25" t="s">
        <v>38</v>
      </c>
      <c r="G32" s="25">
        <v>-17</v>
      </c>
      <c r="H32" s="25">
        <v>-4</v>
      </c>
      <c r="I32" s="30">
        <v>13</v>
      </c>
      <c r="J32" s="25">
        <v>-10.6</v>
      </c>
      <c r="K32" s="25">
        <v>-16.3</v>
      </c>
      <c r="L32" s="25">
        <v>47.5</v>
      </c>
      <c r="M32" s="25">
        <v>47</v>
      </c>
      <c r="N32" s="25">
        <v>0.5</v>
      </c>
      <c r="O32" s="25"/>
      <c r="P32" s="25"/>
      <c r="Q32" s="25"/>
    </row>
    <row r="33" spans="1:17" x14ac:dyDescent="0.25">
      <c r="A33" s="25">
        <v>6</v>
      </c>
      <c r="B33" s="25" t="s">
        <v>30</v>
      </c>
      <c r="C33" s="25" t="s">
        <v>27</v>
      </c>
      <c r="D33" s="25" t="s">
        <v>27</v>
      </c>
      <c r="E33" s="25" t="s">
        <v>39</v>
      </c>
      <c r="F33" s="25" t="s">
        <v>40</v>
      </c>
      <c r="G33" s="25">
        <v>-22.1</v>
      </c>
      <c r="H33" s="25">
        <v>-9.5</v>
      </c>
      <c r="I33" s="30">
        <v>12.6</v>
      </c>
      <c r="J33" s="25">
        <v>-4.2</v>
      </c>
      <c r="K33" s="25">
        <v>-6.6</v>
      </c>
      <c r="L33" s="25">
        <v>43.2</v>
      </c>
      <c r="M33" s="25">
        <v>49.5</v>
      </c>
      <c r="N33" s="30">
        <v>-6.3</v>
      </c>
      <c r="O33" s="25"/>
      <c r="P33" s="25"/>
      <c r="Q33" s="25"/>
    </row>
    <row r="34" spans="1:17" x14ac:dyDescent="0.25">
      <c r="A34" s="25">
        <v>6</v>
      </c>
      <c r="B34" s="25" t="s">
        <v>30</v>
      </c>
      <c r="C34" s="25" t="s">
        <v>55</v>
      </c>
      <c r="D34" s="25" t="s">
        <v>27</v>
      </c>
      <c r="E34" s="25" t="s">
        <v>101</v>
      </c>
      <c r="F34" s="25" t="s">
        <v>102</v>
      </c>
      <c r="G34" s="25">
        <v>-34.6</v>
      </c>
      <c r="H34" s="25">
        <v>-38</v>
      </c>
      <c r="I34" s="30">
        <v>-3.4</v>
      </c>
      <c r="J34" s="25">
        <v>-38.799999999999997</v>
      </c>
      <c r="K34" s="25">
        <v>-38.200000000000003</v>
      </c>
      <c r="L34" s="25">
        <v>54.6</v>
      </c>
      <c r="M34" s="25">
        <v>54.5</v>
      </c>
      <c r="N34" s="25">
        <v>0.1</v>
      </c>
      <c r="O34" s="25"/>
      <c r="P34" s="25"/>
      <c r="Q34" s="25"/>
    </row>
    <row r="36" spans="1:17" ht="15.75" customHeight="1" x14ac:dyDescent="0.25">
      <c r="A36" s="24" t="s">
        <v>158</v>
      </c>
    </row>
    <row r="37" spans="1:17" ht="26.25" customHeight="1" x14ac:dyDescent="0.25">
      <c r="A37" s="29" t="s">
        <v>9</v>
      </c>
      <c r="B37" s="29" t="s">
        <v>10</v>
      </c>
      <c r="C37" s="29" t="s">
        <v>11</v>
      </c>
      <c r="D37" s="29" t="s">
        <v>12</v>
      </c>
      <c r="E37" s="29" t="s">
        <v>13</v>
      </c>
      <c r="F37" s="29" t="s">
        <v>14</v>
      </c>
      <c r="G37" s="29" t="s">
        <v>15</v>
      </c>
      <c r="H37" s="29" t="s">
        <v>16</v>
      </c>
      <c r="I37" s="29" t="s">
        <v>17</v>
      </c>
      <c r="J37" s="29" t="s">
        <v>18</v>
      </c>
      <c r="K37" s="29" t="s">
        <v>19</v>
      </c>
      <c r="L37" s="29" t="s">
        <v>20</v>
      </c>
      <c r="M37" s="29" t="s">
        <v>21</v>
      </c>
      <c r="N37" s="29" t="s">
        <v>22</v>
      </c>
      <c r="O37" s="29" t="s">
        <v>23</v>
      </c>
      <c r="P37" s="29" t="s">
        <v>24</v>
      </c>
      <c r="Q37" s="29" t="s">
        <v>25</v>
      </c>
    </row>
    <row r="38" spans="1:17" x14ac:dyDescent="0.25">
      <c r="A38" s="25">
        <v>5</v>
      </c>
      <c r="B38" s="25" t="s">
        <v>159</v>
      </c>
      <c r="C38" s="25" t="s">
        <v>27</v>
      </c>
      <c r="D38" s="25" t="s">
        <v>27</v>
      </c>
      <c r="E38" s="25" t="s">
        <v>38</v>
      </c>
      <c r="F38" s="25" t="s">
        <v>31</v>
      </c>
      <c r="G38" s="25">
        <v>5.2</v>
      </c>
      <c r="H38" s="25">
        <v>-1.5</v>
      </c>
      <c r="I38" s="30">
        <v>-6.7</v>
      </c>
      <c r="J38" s="25">
        <v>-1.3</v>
      </c>
      <c r="K38" s="25">
        <v>1</v>
      </c>
      <c r="L38" s="25">
        <v>51.2</v>
      </c>
      <c r="M38" s="25">
        <v>53.2</v>
      </c>
      <c r="N38" s="30">
        <v>-2.1</v>
      </c>
      <c r="O38" s="25">
        <v>35</v>
      </c>
      <c r="P38" s="25">
        <v>33</v>
      </c>
      <c r="Q38" s="30" t="s">
        <v>160</v>
      </c>
    </row>
    <row r="39" spans="1:17" x14ac:dyDescent="0.25">
      <c r="A39" s="25">
        <v>5</v>
      </c>
      <c r="B39" s="25" t="s">
        <v>161</v>
      </c>
      <c r="C39" s="25" t="s">
        <v>27</v>
      </c>
      <c r="D39" s="25" t="s">
        <v>27</v>
      </c>
      <c r="E39" s="25" t="s">
        <v>162</v>
      </c>
      <c r="F39" s="25" t="s">
        <v>163</v>
      </c>
      <c r="G39" s="25">
        <v>17</v>
      </c>
      <c r="H39" s="25">
        <v>14.8</v>
      </c>
      <c r="I39" s="30">
        <v>-2.2000000000000002</v>
      </c>
      <c r="J39" s="25">
        <v>8.1999999999999993</v>
      </c>
      <c r="K39" s="25">
        <v>17.3</v>
      </c>
      <c r="L39" s="25">
        <v>47.3</v>
      </c>
      <c r="M39" s="25">
        <v>48.5</v>
      </c>
      <c r="N39" s="25">
        <v>-1.2</v>
      </c>
      <c r="O39" s="25">
        <v>41</v>
      </c>
      <c r="P39" s="25">
        <v>13</v>
      </c>
      <c r="Q39" s="30" t="s">
        <v>160</v>
      </c>
    </row>
    <row r="40" spans="1:17" x14ac:dyDescent="0.25">
      <c r="A40" s="25">
        <v>5</v>
      </c>
      <c r="B40" s="25" t="s">
        <v>161</v>
      </c>
      <c r="C40" s="25" t="s">
        <v>27</v>
      </c>
      <c r="D40" s="25" t="s">
        <v>27</v>
      </c>
      <c r="E40" s="25" t="s">
        <v>40</v>
      </c>
      <c r="F40" s="25" t="s">
        <v>28</v>
      </c>
      <c r="G40" s="25">
        <v>8.1999999999999993</v>
      </c>
      <c r="H40" s="25">
        <v>1.2</v>
      </c>
      <c r="I40" s="30">
        <v>-6.9</v>
      </c>
      <c r="J40" s="25">
        <v>-0.7</v>
      </c>
      <c r="K40" s="25">
        <v>7.4</v>
      </c>
      <c r="L40" s="25">
        <v>51.6</v>
      </c>
      <c r="M40" s="25">
        <v>51.5</v>
      </c>
      <c r="N40" s="25">
        <v>0.1</v>
      </c>
      <c r="O40" s="25">
        <v>7</v>
      </c>
      <c r="P40" s="25">
        <v>38</v>
      </c>
      <c r="Q40" s="31" t="s">
        <v>164</v>
      </c>
    </row>
    <row r="41" spans="1:17" x14ac:dyDescent="0.25">
      <c r="A41" s="25">
        <v>5</v>
      </c>
      <c r="B41" s="25" t="s">
        <v>161</v>
      </c>
      <c r="C41" s="25" t="s">
        <v>27</v>
      </c>
      <c r="D41" s="25" t="s">
        <v>27</v>
      </c>
      <c r="E41" s="25" t="s">
        <v>29</v>
      </c>
      <c r="F41" s="25" t="s">
        <v>36</v>
      </c>
      <c r="G41" s="25">
        <v>2.4</v>
      </c>
      <c r="H41" s="25">
        <v>4.2</v>
      </c>
      <c r="I41" s="25">
        <v>1.9</v>
      </c>
      <c r="J41" s="25">
        <v>1.4</v>
      </c>
      <c r="K41" s="25">
        <v>-6.3</v>
      </c>
      <c r="L41" s="25">
        <v>57.3</v>
      </c>
      <c r="M41" s="25">
        <v>57</v>
      </c>
      <c r="N41" s="25">
        <v>0.3</v>
      </c>
      <c r="O41" s="25">
        <v>28</v>
      </c>
      <c r="P41" s="25">
        <v>31</v>
      </c>
      <c r="Q41" s="31" t="s">
        <v>164</v>
      </c>
    </row>
    <row r="42" spans="1:17" x14ac:dyDescent="0.25">
      <c r="A42" s="25">
        <v>5</v>
      </c>
      <c r="B42" s="25" t="s">
        <v>161</v>
      </c>
      <c r="C42" s="25" t="s">
        <v>27</v>
      </c>
      <c r="D42" s="25" t="s">
        <v>55</v>
      </c>
      <c r="E42" s="25" t="s">
        <v>102</v>
      </c>
      <c r="F42" s="25" t="s">
        <v>37</v>
      </c>
      <c r="G42" s="25">
        <v>23.1</v>
      </c>
      <c r="H42" s="25">
        <v>21</v>
      </c>
      <c r="I42" s="30">
        <v>-2.1</v>
      </c>
      <c r="J42" s="25">
        <v>11.2</v>
      </c>
      <c r="K42" s="25">
        <v>12.6</v>
      </c>
      <c r="L42" s="25">
        <v>48.3</v>
      </c>
      <c r="M42" s="25">
        <v>46.5</v>
      </c>
      <c r="N42" s="25">
        <v>1.8</v>
      </c>
      <c r="O42" s="25">
        <v>37</v>
      </c>
      <c r="P42" s="25">
        <v>26</v>
      </c>
      <c r="Q42" s="30" t="s">
        <v>160</v>
      </c>
    </row>
    <row r="43" spans="1:17" x14ac:dyDescent="0.25">
      <c r="A43" s="25">
        <v>5</v>
      </c>
      <c r="B43" s="25" t="s">
        <v>161</v>
      </c>
      <c r="C43" s="25" t="s">
        <v>27</v>
      </c>
      <c r="D43" s="25" t="s">
        <v>27</v>
      </c>
      <c r="E43" s="25" t="s">
        <v>165</v>
      </c>
      <c r="F43" s="25" t="s">
        <v>166</v>
      </c>
      <c r="G43" s="25">
        <v>-23</v>
      </c>
      <c r="H43" s="25">
        <v>-21.5</v>
      </c>
      <c r="I43" s="25">
        <v>1.5</v>
      </c>
      <c r="J43" s="25">
        <v>-19.399999999999999</v>
      </c>
      <c r="K43" s="25">
        <v>-12</v>
      </c>
      <c r="L43" s="25">
        <v>48.2</v>
      </c>
      <c r="M43" s="25">
        <v>55.2</v>
      </c>
      <c r="N43" s="30">
        <v>-7</v>
      </c>
      <c r="O43" s="25">
        <v>16</v>
      </c>
      <c r="P43" s="25">
        <v>25</v>
      </c>
      <c r="Q43" s="30" t="s">
        <v>160</v>
      </c>
    </row>
    <row r="44" spans="1:17" x14ac:dyDescent="0.25">
      <c r="A44" s="25">
        <v>5</v>
      </c>
      <c r="B44" s="25" t="s">
        <v>161</v>
      </c>
      <c r="C44" s="25" t="s">
        <v>27</v>
      </c>
      <c r="D44" s="25" t="s">
        <v>27</v>
      </c>
      <c r="E44" s="25" t="s">
        <v>101</v>
      </c>
      <c r="F44" s="25" t="s">
        <v>35</v>
      </c>
      <c r="G44" s="25">
        <v>-16.5</v>
      </c>
      <c r="H44" s="25">
        <v>-14.5</v>
      </c>
      <c r="I44" s="30">
        <v>2</v>
      </c>
      <c r="J44" s="25">
        <v>-7.6</v>
      </c>
      <c r="K44" s="25">
        <v>-15.2</v>
      </c>
      <c r="L44" s="25">
        <v>56.1</v>
      </c>
      <c r="M44" s="25">
        <v>54.2</v>
      </c>
      <c r="N44" s="25">
        <v>1.9</v>
      </c>
      <c r="O44" s="25">
        <v>3</v>
      </c>
      <c r="P44" s="25">
        <v>57</v>
      </c>
      <c r="Q44" s="30" t="s">
        <v>160</v>
      </c>
    </row>
    <row r="45" spans="1:17" x14ac:dyDescent="0.25">
      <c r="A45" s="25">
        <v>5</v>
      </c>
      <c r="B45" s="25" t="s">
        <v>161</v>
      </c>
      <c r="C45" s="25" t="s">
        <v>55</v>
      </c>
      <c r="D45" s="25" t="s">
        <v>27</v>
      </c>
      <c r="E45" s="25" t="s">
        <v>39</v>
      </c>
      <c r="F45" s="25" t="s">
        <v>56</v>
      </c>
      <c r="G45" s="25">
        <v>-0.8</v>
      </c>
      <c r="H45" s="25">
        <v>6.5</v>
      </c>
      <c r="I45" s="30">
        <v>7.3</v>
      </c>
      <c r="J45" s="25">
        <v>-9.9</v>
      </c>
      <c r="K45" s="25">
        <v>-1.9</v>
      </c>
      <c r="L45" s="25">
        <v>47.9</v>
      </c>
      <c r="M45" s="25">
        <v>51</v>
      </c>
      <c r="N45" s="30">
        <v>-3.1</v>
      </c>
      <c r="O45" s="25">
        <v>42</v>
      </c>
      <c r="P45" s="25">
        <v>41</v>
      </c>
      <c r="Q45" s="31" t="s">
        <v>164</v>
      </c>
    </row>
    <row r="46" spans="1:17" x14ac:dyDescent="0.25">
      <c r="A46" s="25">
        <v>5</v>
      </c>
      <c r="B46" s="25" t="s">
        <v>161</v>
      </c>
      <c r="C46" s="25" t="s">
        <v>68</v>
      </c>
      <c r="D46" s="25" t="s">
        <v>27</v>
      </c>
      <c r="E46" s="25" t="s">
        <v>32</v>
      </c>
      <c r="F46" s="25" t="s">
        <v>120</v>
      </c>
      <c r="G46" s="25">
        <v>-5.9</v>
      </c>
      <c r="H46" s="25">
        <v>-1.8</v>
      </c>
      <c r="I46" s="30">
        <v>4.2</v>
      </c>
      <c r="J46" s="25">
        <v>-15.5</v>
      </c>
      <c r="K46" s="25">
        <v>-3.1</v>
      </c>
      <c r="L46" s="25">
        <v>45.6</v>
      </c>
      <c r="M46" s="25">
        <v>52.2</v>
      </c>
      <c r="N46" s="30">
        <v>-6.7</v>
      </c>
      <c r="O46" s="25">
        <v>31</v>
      </c>
      <c r="P46" s="25">
        <v>39</v>
      </c>
      <c r="Q46" s="30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42"/>
  <sheetViews>
    <sheetView showGridLines="0" workbookViewId="0">
      <selection activeCell="J21" sqref="J21"/>
    </sheetView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493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494</v>
      </c>
      <c r="C3" s="28">
        <v>0.44600000000000001</v>
      </c>
    </row>
    <row r="4" spans="1:6" x14ac:dyDescent="0.25">
      <c r="A4" s="25" t="s">
        <v>6</v>
      </c>
      <c r="B4" s="25" t="s">
        <v>495</v>
      </c>
      <c r="C4" s="28">
        <v>0</v>
      </c>
    </row>
    <row r="6" spans="1:6" ht="15.6" customHeight="1" x14ac:dyDescent="0.25">
      <c r="A6" s="24" t="s">
        <v>496</v>
      </c>
    </row>
    <row r="7" spans="1:6" x14ac:dyDescent="0.25">
      <c r="A7" s="34" t="s">
        <v>313</v>
      </c>
      <c r="B7" s="34" t="s">
        <v>488</v>
      </c>
      <c r="C7" s="34" t="s">
        <v>489</v>
      </c>
      <c r="D7" s="34" t="s">
        <v>490</v>
      </c>
      <c r="E7" s="34" t="s">
        <v>491</v>
      </c>
      <c r="F7" s="34" t="s">
        <v>492</v>
      </c>
    </row>
    <row r="8" spans="1:6" x14ac:dyDescent="0.25">
      <c r="A8" s="25" t="s">
        <v>169</v>
      </c>
      <c r="B8" s="25">
        <v>1</v>
      </c>
      <c r="C8" s="25">
        <v>0</v>
      </c>
      <c r="D8" s="25">
        <v>1</v>
      </c>
      <c r="E8" s="25">
        <v>4</v>
      </c>
      <c r="F8" s="25">
        <v>1</v>
      </c>
    </row>
    <row r="9" spans="1:6" x14ac:dyDescent="0.25">
      <c r="A9" s="25" t="s">
        <v>50</v>
      </c>
      <c r="B9" s="25">
        <v>1</v>
      </c>
      <c r="C9" s="25">
        <v>0</v>
      </c>
      <c r="D9" s="25">
        <v>1</v>
      </c>
      <c r="E9" s="25">
        <v>4</v>
      </c>
      <c r="F9" s="25">
        <v>1</v>
      </c>
    </row>
    <row r="10" spans="1:6" x14ac:dyDescent="0.25">
      <c r="A10" s="25" t="s">
        <v>44</v>
      </c>
      <c r="B10" s="25">
        <v>1</v>
      </c>
      <c r="C10" s="25">
        <v>0</v>
      </c>
      <c r="D10" s="25">
        <v>1</v>
      </c>
      <c r="E10" s="25">
        <v>4</v>
      </c>
      <c r="F10" s="25">
        <v>1</v>
      </c>
    </row>
    <row r="11" spans="1:6" x14ac:dyDescent="0.25">
      <c r="A11" s="25" t="s">
        <v>54</v>
      </c>
      <c r="B11" s="25">
        <v>1</v>
      </c>
      <c r="C11" s="25">
        <v>0</v>
      </c>
      <c r="D11" s="25">
        <v>1</v>
      </c>
      <c r="E11" s="25">
        <v>3</v>
      </c>
      <c r="F11" s="25">
        <v>2</v>
      </c>
    </row>
    <row r="12" spans="1:6" x14ac:dyDescent="0.25">
      <c r="A12" s="25" t="s">
        <v>49</v>
      </c>
      <c r="B12" s="25">
        <v>1</v>
      </c>
      <c r="C12" s="25">
        <v>0</v>
      </c>
      <c r="D12" s="25">
        <v>1</v>
      </c>
      <c r="E12" s="25">
        <v>3</v>
      </c>
      <c r="F12" s="25">
        <v>2</v>
      </c>
    </row>
    <row r="13" spans="1:6" x14ac:dyDescent="0.25">
      <c r="A13" s="25" t="s">
        <v>43</v>
      </c>
      <c r="B13" s="25">
        <v>1</v>
      </c>
      <c r="C13" s="25">
        <v>1</v>
      </c>
      <c r="D13" s="25">
        <v>0.5</v>
      </c>
      <c r="E13" s="25">
        <v>4</v>
      </c>
      <c r="F13" s="25">
        <v>1</v>
      </c>
    </row>
    <row r="14" spans="1:6" x14ac:dyDescent="0.25">
      <c r="A14" s="25" t="s">
        <v>46</v>
      </c>
      <c r="B14" s="25">
        <v>1</v>
      </c>
      <c r="C14" s="25">
        <v>1</v>
      </c>
      <c r="D14" s="25">
        <v>0.5</v>
      </c>
      <c r="E14" s="25">
        <v>2</v>
      </c>
      <c r="F14" s="25">
        <v>2</v>
      </c>
    </row>
    <row r="15" spans="1:6" x14ac:dyDescent="0.25">
      <c r="A15" s="25" t="s">
        <v>57</v>
      </c>
      <c r="B15" s="25">
        <v>1</v>
      </c>
      <c r="C15" s="25">
        <v>1</v>
      </c>
      <c r="D15" s="25">
        <v>0.5</v>
      </c>
      <c r="E15" s="25">
        <v>2</v>
      </c>
      <c r="F15" s="25">
        <v>3</v>
      </c>
    </row>
    <row r="16" spans="1:6" x14ac:dyDescent="0.25">
      <c r="A16" s="25" t="s">
        <v>51</v>
      </c>
      <c r="B16" s="25">
        <v>0</v>
      </c>
      <c r="C16" s="25">
        <v>1</v>
      </c>
      <c r="D16" s="25">
        <v>0</v>
      </c>
      <c r="E16" s="25">
        <v>3</v>
      </c>
      <c r="F16" s="25">
        <v>2</v>
      </c>
    </row>
    <row r="17" spans="1:17" x14ac:dyDescent="0.25">
      <c r="A17" s="25" t="s">
        <v>48</v>
      </c>
      <c r="B17" s="25">
        <v>0</v>
      </c>
      <c r="C17" s="25">
        <v>0</v>
      </c>
      <c r="D17" s="25"/>
      <c r="E17" s="25">
        <v>2</v>
      </c>
      <c r="F17" s="25">
        <v>2</v>
      </c>
    </row>
    <row r="18" spans="1:17" ht="26.45" customHeight="1" x14ac:dyDescent="0.25">
      <c r="A18" s="25" t="s">
        <v>45</v>
      </c>
      <c r="B18" s="25">
        <v>0</v>
      </c>
      <c r="C18" s="25">
        <v>0</v>
      </c>
      <c r="D18" s="25"/>
      <c r="E18" s="25">
        <v>2</v>
      </c>
      <c r="F18" s="25">
        <v>2</v>
      </c>
    </row>
    <row r="19" spans="1:17" x14ac:dyDescent="0.25">
      <c r="A19" s="25" t="s">
        <v>52</v>
      </c>
      <c r="B19" s="25">
        <v>0</v>
      </c>
      <c r="C19" s="25">
        <v>2</v>
      </c>
      <c r="D19" s="25">
        <v>0</v>
      </c>
      <c r="E19" s="25">
        <v>1</v>
      </c>
      <c r="F19" s="25">
        <v>3</v>
      </c>
    </row>
    <row r="20" spans="1:17" x14ac:dyDescent="0.25">
      <c r="A20" s="25" t="s">
        <v>47</v>
      </c>
      <c r="B20" s="25">
        <v>0</v>
      </c>
      <c r="C20" s="25">
        <v>1</v>
      </c>
      <c r="D20" s="25">
        <v>0</v>
      </c>
      <c r="E20" s="25">
        <v>1</v>
      </c>
      <c r="F20" s="25">
        <v>4</v>
      </c>
    </row>
    <row r="21" spans="1:17" x14ac:dyDescent="0.25">
      <c r="A21" s="25" t="s">
        <v>53</v>
      </c>
      <c r="B21" s="25">
        <v>0</v>
      </c>
      <c r="C21" s="25">
        <v>1</v>
      </c>
      <c r="D21" s="25">
        <v>0</v>
      </c>
      <c r="E21" s="25">
        <v>0</v>
      </c>
      <c r="F21" s="25">
        <v>5</v>
      </c>
    </row>
    <row r="23" spans="1:17" ht="26.45" customHeight="1" x14ac:dyDescent="0.25">
      <c r="A23" s="24" t="s">
        <v>8</v>
      </c>
    </row>
    <row r="24" spans="1:17" ht="26.25" customHeight="1" x14ac:dyDescent="0.25">
      <c r="A24" s="29" t="s">
        <v>9</v>
      </c>
      <c r="B24" s="29" t="s">
        <v>10</v>
      </c>
      <c r="C24" s="29" t="s">
        <v>11</v>
      </c>
      <c r="D24" s="29" t="s">
        <v>12</v>
      </c>
      <c r="E24" s="29" t="s">
        <v>13</v>
      </c>
      <c r="F24" s="29" t="s">
        <v>14</v>
      </c>
      <c r="G24" s="29" t="s">
        <v>15</v>
      </c>
      <c r="H24" s="29" t="s">
        <v>16</v>
      </c>
      <c r="I24" s="29" t="s">
        <v>17</v>
      </c>
      <c r="J24" s="29" t="s">
        <v>18</v>
      </c>
      <c r="K24" s="29" t="s">
        <v>19</v>
      </c>
      <c r="L24" s="29" t="s">
        <v>20</v>
      </c>
      <c r="M24" s="29" t="s">
        <v>21</v>
      </c>
      <c r="N24" s="29" t="s">
        <v>22</v>
      </c>
      <c r="O24" s="29" t="s">
        <v>23</v>
      </c>
      <c r="P24" s="29" t="s">
        <v>24</v>
      </c>
      <c r="Q24" s="29" t="s">
        <v>25</v>
      </c>
    </row>
    <row r="25" spans="1:17" x14ac:dyDescent="0.25">
      <c r="A25" s="25">
        <v>6</v>
      </c>
      <c r="B25" s="25" t="s">
        <v>41</v>
      </c>
      <c r="C25" s="25" t="s">
        <v>42</v>
      </c>
      <c r="D25" s="25" t="s">
        <v>42</v>
      </c>
      <c r="E25" s="25" t="s">
        <v>43</v>
      </c>
      <c r="F25" s="25" t="s">
        <v>44</v>
      </c>
      <c r="G25" s="25">
        <v>-0.2</v>
      </c>
      <c r="H25" s="25">
        <v>-7</v>
      </c>
      <c r="I25" s="30">
        <v>-6.8</v>
      </c>
      <c r="J25" s="25">
        <v>-6.8</v>
      </c>
      <c r="K25" s="25">
        <v>-2.7</v>
      </c>
      <c r="L25" s="25">
        <v>57.9</v>
      </c>
      <c r="M25" s="25">
        <v>52.5</v>
      </c>
      <c r="N25" s="30">
        <v>5.4</v>
      </c>
      <c r="O25" s="25"/>
      <c r="P25" s="25"/>
      <c r="Q25" s="25"/>
    </row>
    <row r="26" spans="1:17" x14ac:dyDescent="0.25">
      <c r="A26" s="25">
        <v>6</v>
      </c>
      <c r="B26" s="25" t="s">
        <v>30</v>
      </c>
      <c r="C26" s="25" t="s">
        <v>42</v>
      </c>
      <c r="D26" s="25" t="s">
        <v>42</v>
      </c>
      <c r="E26" s="25" t="s">
        <v>45</v>
      </c>
      <c r="F26" s="25" t="s">
        <v>46</v>
      </c>
      <c r="G26" s="25">
        <v>-5.0999999999999996</v>
      </c>
      <c r="H26" s="25">
        <v>-3</v>
      </c>
      <c r="I26" s="30">
        <v>2.1</v>
      </c>
      <c r="J26" s="25">
        <v>3.8</v>
      </c>
      <c r="K26" s="25">
        <v>-13.5</v>
      </c>
      <c r="L26" s="25">
        <v>57.7</v>
      </c>
      <c r="M26" s="25">
        <v>47</v>
      </c>
      <c r="N26" s="30">
        <v>10.7</v>
      </c>
      <c r="O26" s="25"/>
      <c r="P26" s="25"/>
      <c r="Q26" s="25"/>
    </row>
    <row r="27" spans="1:17" x14ac:dyDescent="0.25">
      <c r="A27" s="25">
        <v>6</v>
      </c>
      <c r="B27" s="25" t="s">
        <v>30</v>
      </c>
      <c r="C27" s="25" t="s">
        <v>42</v>
      </c>
      <c r="D27" s="25" t="s">
        <v>42</v>
      </c>
      <c r="E27" s="25" t="s">
        <v>47</v>
      </c>
      <c r="F27" s="25" t="s">
        <v>48</v>
      </c>
      <c r="G27" s="25">
        <v>-20.3</v>
      </c>
      <c r="H27" s="25">
        <v>-10</v>
      </c>
      <c r="I27" s="30">
        <v>10.3</v>
      </c>
      <c r="J27" s="25">
        <v>-10.5</v>
      </c>
      <c r="K27" s="25">
        <v>-9.8000000000000007</v>
      </c>
      <c r="L27" s="25">
        <v>48.2</v>
      </c>
      <c r="M27" s="25">
        <v>50</v>
      </c>
      <c r="N27" s="25">
        <v>-1.8</v>
      </c>
      <c r="O27" s="25"/>
      <c r="P27" s="25"/>
      <c r="Q27" s="25"/>
    </row>
    <row r="28" spans="1:17" x14ac:dyDescent="0.25">
      <c r="A28" s="25">
        <v>6</v>
      </c>
      <c r="B28" s="25" t="s">
        <v>30</v>
      </c>
      <c r="C28" s="25" t="s">
        <v>42</v>
      </c>
      <c r="D28" s="25" t="s">
        <v>42</v>
      </c>
      <c r="E28" s="25" t="s">
        <v>49</v>
      </c>
      <c r="F28" s="25" t="s">
        <v>50</v>
      </c>
      <c r="G28" s="25">
        <v>-18.5</v>
      </c>
      <c r="H28" s="25">
        <v>-15.5</v>
      </c>
      <c r="I28" s="30">
        <v>3</v>
      </c>
      <c r="J28" s="25">
        <v>-12.8</v>
      </c>
      <c r="K28" s="25">
        <v>-16.2</v>
      </c>
      <c r="L28" s="25">
        <v>56.6</v>
      </c>
      <c r="M28" s="25">
        <v>58.5</v>
      </c>
      <c r="N28" s="25">
        <v>-1.9</v>
      </c>
      <c r="O28" s="25"/>
      <c r="P28" s="25"/>
      <c r="Q28" s="25"/>
    </row>
    <row r="29" spans="1:17" x14ac:dyDescent="0.25">
      <c r="A29" s="25">
        <v>6</v>
      </c>
      <c r="B29" s="25" t="s">
        <v>30</v>
      </c>
      <c r="C29" s="25" t="s">
        <v>42</v>
      </c>
      <c r="D29" s="25" t="s">
        <v>42</v>
      </c>
      <c r="E29" s="25" t="s">
        <v>51</v>
      </c>
      <c r="F29" s="25" t="s">
        <v>52</v>
      </c>
      <c r="G29" s="25">
        <v>-13.6</v>
      </c>
      <c r="H29" s="25">
        <v>-2.5</v>
      </c>
      <c r="I29" s="30">
        <v>11.1</v>
      </c>
      <c r="J29" s="25">
        <v>-5.8</v>
      </c>
      <c r="K29" s="25">
        <v>-0.1</v>
      </c>
      <c r="L29" s="25">
        <v>52.7</v>
      </c>
      <c r="M29" s="25">
        <v>49</v>
      </c>
      <c r="N29" s="30">
        <v>3.7</v>
      </c>
      <c r="O29" s="25"/>
      <c r="P29" s="25"/>
      <c r="Q29" s="25"/>
    </row>
    <row r="30" spans="1:17" x14ac:dyDescent="0.25">
      <c r="A30" s="25">
        <v>6</v>
      </c>
      <c r="B30" s="25" t="s">
        <v>30</v>
      </c>
      <c r="C30" s="25" t="s">
        <v>42</v>
      </c>
      <c r="D30" s="25" t="s">
        <v>42</v>
      </c>
      <c r="E30" s="25" t="s">
        <v>53</v>
      </c>
      <c r="F30" s="25" t="s">
        <v>54</v>
      </c>
      <c r="G30" s="25">
        <v>-29.2</v>
      </c>
      <c r="H30" s="25">
        <v>-27</v>
      </c>
      <c r="I30" s="30">
        <v>2.2000000000000002</v>
      </c>
      <c r="J30" s="25">
        <v>-21</v>
      </c>
      <c r="K30" s="25">
        <v>-25.6</v>
      </c>
      <c r="L30" s="25">
        <v>56.3</v>
      </c>
      <c r="M30" s="25">
        <v>59.5</v>
      </c>
      <c r="N30" s="30">
        <v>-3.2</v>
      </c>
      <c r="O30" s="25"/>
      <c r="P30" s="25"/>
      <c r="Q30" s="25"/>
    </row>
    <row r="31" spans="1:17" x14ac:dyDescent="0.25">
      <c r="A31" s="25">
        <v>6</v>
      </c>
      <c r="B31" s="25" t="s">
        <v>30</v>
      </c>
      <c r="C31" s="25" t="s">
        <v>42</v>
      </c>
      <c r="D31" s="25" t="s">
        <v>55</v>
      </c>
      <c r="E31" s="25" t="s">
        <v>56</v>
      </c>
      <c r="F31" s="25" t="s">
        <v>57</v>
      </c>
      <c r="G31" s="25">
        <v>-9.1999999999999993</v>
      </c>
      <c r="H31" s="25">
        <v>-4</v>
      </c>
      <c r="I31" s="30">
        <v>5.2</v>
      </c>
      <c r="J31" s="25">
        <v>-7.8</v>
      </c>
      <c r="K31" s="25">
        <v>-3.2</v>
      </c>
      <c r="L31" s="25">
        <v>58.5</v>
      </c>
      <c r="M31" s="25">
        <v>54.5</v>
      </c>
      <c r="N31" s="30">
        <v>4</v>
      </c>
      <c r="O31" s="25"/>
      <c r="P31" s="25"/>
      <c r="Q31" s="25"/>
    </row>
    <row r="33" spans="1:17" ht="15.75" customHeight="1" x14ac:dyDescent="0.25">
      <c r="A33" s="24" t="s">
        <v>158</v>
      </c>
    </row>
    <row r="34" spans="1:17" ht="26.25" customHeight="1" x14ac:dyDescent="0.25">
      <c r="A34" s="29" t="s">
        <v>9</v>
      </c>
      <c r="B34" s="29" t="s">
        <v>10</v>
      </c>
      <c r="C34" s="29" t="s">
        <v>11</v>
      </c>
      <c r="D34" s="29" t="s">
        <v>12</v>
      </c>
      <c r="E34" s="29" t="s">
        <v>13</v>
      </c>
      <c r="F34" s="29" t="s">
        <v>14</v>
      </c>
      <c r="G34" s="29" t="s">
        <v>15</v>
      </c>
      <c r="H34" s="29" t="s">
        <v>16</v>
      </c>
      <c r="I34" s="29" t="s">
        <v>17</v>
      </c>
      <c r="J34" s="29" t="s">
        <v>18</v>
      </c>
      <c r="K34" s="29" t="s">
        <v>19</v>
      </c>
      <c r="L34" s="29" t="s">
        <v>20</v>
      </c>
      <c r="M34" s="29" t="s">
        <v>21</v>
      </c>
      <c r="N34" s="29" t="s">
        <v>22</v>
      </c>
      <c r="O34" s="29" t="s">
        <v>23</v>
      </c>
      <c r="P34" s="29" t="s">
        <v>24</v>
      </c>
      <c r="Q34" s="29" t="s">
        <v>25</v>
      </c>
    </row>
    <row r="35" spans="1:17" x14ac:dyDescent="0.25">
      <c r="A35" s="25">
        <v>5</v>
      </c>
      <c r="B35" s="25" t="s">
        <v>159</v>
      </c>
      <c r="C35" s="25" t="s">
        <v>42</v>
      </c>
      <c r="D35" s="25" t="s">
        <v>42</v>
      </c>
      <c r="E35" s="25" t="s">
        <v>54</v>
      </c>
      <c r="F35" s="25" t="s">
        <v>51</v>
      </c>
      <c r="G35" s="25">
        <v>6.8</v>
      </c>
      <c r="H35" s="25">
        <v>2</v>
      </c>
      <c r="I35" s="30">
        <v>-4.8</v>
      </c>
      <c r="J35" s="25">
        <v>4.4000000000000004</v>
      </c>
      <c r="K35" s="25">
        <v>-4.5</v>
      </c>
      <c r="L35" s="25">
        <v>56.4</v>
      </c>
      <c r="M35" s="25">
        <v>56.8</v>
      </c>
      <c r="N35" s="25">
        <v>-0.4</v>
      </c>
      <c r="O35" s="25">
        <v>45</v>
      </c>
      <c r="P35" s="25">
        <v>44</v>
      </c>
      <c r="Q35" s="30" t="s">
        <v>160</v>
      </c>
    </row>
    <row r="36" spans="1:17" x14ac:dyDescent="0.25">
      <c r="A36" s="25">
        <v>5</v>
      </c>
      <c r="B36" s="25" t="s">
        <v>161</v>
      </c>
      <c r="C36" s="25" t="s">
        <v>42</v>
      </c>
      <c r="D36" s="25" t="s">
        <v>42</v>
      </c>
      <c r="E36" s="25" t="s">
        <v>50</v>
      </c>
      <c r="F36" s="25" t="s">
        <v>53</v>
      </c>
      <c r="G36" s="25">
        <v>18</v>
      </c>
      <c r="H36" s="25">
        <v>19.5</v>
      </c>
      <c r="I36" s="25">
        <v>1.5</v>
      </c>
      <c r="J36" s="25">
        <v>17.399999999999999</v>
      </c>
      <c r="K36" s="25">
        <v>8.6</v>
      </c>
      <c r="L36" s="25">
        <v>54.4</v>
      </c>
      <c r="M36" s="25">
        <v>52.2</v>
      </c>
      <c r="N36" s="30">
        <v>2.2000000000000002</v>
      </c>
      <c r="O36" s="25">
        <v>59</v>
      </c>
      <c r="P36" s="25">
        <v>8</v>
      </c>
      <c r="Q36" s="30" t="s">
        <v>160</v>
      </c>
    </row>
    <row r="37" spans="1:17" x14ac:dyDescent="0.25">
      <c r="A37" s="25">
        <v>5</v>
      </c>
      <c r="B37" s="25" t="s">
        <v>161</v>
      </c>
      <c r="C37" s="25" t="s">
        <v>42</v>
      </c>
      <c r="D37" s="25" t="s">
        <v>167</v>
      </c>
      <c r="E37" s="25" t="s">
        <v>168</v>
      </c>
      <c r="F37" s="25" t="s">
        <v>169</v>
      </c>
      <c r="G37" s="25">
        <v>-31.6</v>
      </c>
      <c r="H37" s="25">
        <v>-45.8</v>
      </c>
      <c r="I37" s="30">
        <v>-14.2</v>
      </c>
      <c r="J37" s="25">
        <v>-18.2</v>
      </c>
      <c r="K37" s="25">
        <v>-21.1</v>
      </c>
      <c r="L37" s="25">
        <v>56.5</v>
      </c>
      <c r="M37" s="25">
        <v>62</v>
      </c>
      <c r="N37" s="30">
        <v>-5.5</v>
      </c>
      <c r="O37" s="25">
        <v>10</v>
      </c>
      <c r="P37" s="25">
        <v>66</v>
      </c>
      <c r="Q37" s="30" t="s">
        <v>160</v>
      </c>
    </row>
    <row r="38" spans="1:17" x14ac:dyDescent="0.25">
      <c r="A38" s="25">
        <v>5</v>
      </c>
      <c r="B38" s="25" t="s">
        <v>161</v>
      </c>
      <c r="C38" s="25" t="s">
        <v>42</v>
      </c>
      <c r="D38" s="25" t="s">
        <v>42</v>
      </c>
      <c r="E38" s="25" t="s">
        <v>44</v>
      </c>
      <c r="F38" s="25" t="s">
        <v>47</v>
      </c>
      <c r="G38" s="25">
        <v>12.8</v>
      </c>
      <c r="H38" s="25">
        <v>12</v>
      </c>
      <c r="I38" s="25">
        <v>-0.8</v>
      </c>
      <c r="J38" s="25">
        <v>10.3</v>
      </c>
      <c r="K38" s="25">
        <v>8.4</v>
      </c>
      <c r="L38" s="25">
        <v>55</v>
      </c>
      <c r="M38" s="25">
        <v>56.2</v>
      </c>
      <c r="N38" s="25">
        <v>-1.2</v>
      </c>
      <c r="O38" s="25">
        <v>16</v>
      </c>
      <c r="P38" s="25">
        <v>14</v>
      </c>
      <c r="Q38" s="30" t="s">
        <v>160</v>
      </c>
    </row>
    <row r="39" spans="1:17" x14ac:dyDescent="0.25">
      <c r="A39" s="25">
        <v>5</v>
      </c>
      <c r="B39" s="25" t="s">
        <v>161</v>
      </c>
      <c r="C39" s="25" t="s">
        <v>42</v>
      </c>
      <c r="D39" s="25" t="s">
        <v>42</v>
      </c>
      <c r="E39" s="25" t="s">
        <v>57</v>
      </c>
      <c r="F39" s="25" t="s">
        <v>43</v>
      </c>
      <c r="G39" s="25">
        <v>-13.2</v>
      </c>
      <c r="H39" s="25">
        <v>-5.5</v>
      </c>
      <c r="I39" s="30">
        <v>7.7</v>
      </c>
      <c r="J39" s="25">
        <v>-14.1</v>
      </c>
      <c r="K39" s="25">
        <v>-8.8000000000000007</v>
      </c>
      <c r="L39" s="25">
        <v>58.3</v>
      </c>
      <c r="M39" s="25">
        <v>49.5</v>
      </c>
      <c r="N39" s="30">
        <v>8.8000000000000007</v>
      </c>
      <c r="O39" s="25">
        <v>17</v>
      </c>
      <c r="P39" s="25">
        <v>13</v>
      </c>
      <c r="Q39" s="31" t="s">
        <v>164</v>
      </c>
    </row>
    <row r="40" spans="1:17" x14ac:dyDescent="0.25">
      <c r="A40" s="25">
        <v>5</v>
      </c>
      <c r="B40" s="25" t="s">
        <v>161</v>
      </c>
      <c r="C40" s="25" t="s">
        <v>42</v>
      </c>
      <c r="D40" s="25" t="s">
        <v>170</v>
      </c>
      <c r="E40" s="25" t="s">
        <v>171</v>
      </c>
      <c r="F40" s="25" t="s">
        <v>49</v>
      </c>
      <c r="G40" s="25">
        <v>-32.299999999999997</v>
      </c>
      <c r="H40" s="25">
        <v>-30.5</v>
      </c>
      <c r="I40" s="25">
        <v>1.8</v>
      </c>
      <c r="J40" s="25">
        <v>-18</v>
      </c>
      <c r="K40" s="25">
        <v>-2</v>
      </c>
      <c r="L40" s="25">
        <v>57.5</v>
      </c>
      <c r="M40" s="25">
        <v>54.2</v>
      </c>
      <c r="N40" s="30">
        <v>3.2</v>
      </c>
      <c r="O40" s="25">
        <v>14</v>
      </c>
      <c r="P40" s="25">
        <v>33</v>
      </c>
      <c r="Q40" s="30" t="s">
        <v>160</v>
      </c>
    </row>
    <row r="41" spans="1:17" x14ac:dyDescent="0.25">
      <c r="A41" s="25">
        <v>5</v>
      </c>
      <c r="B41" s="25" t="s">
        <v>161</v>
      </c>
      <c r="C41" s="25" t="s">
        <v>68</v>
      </c>
      <c r="D41" s="25" t="s">
        <v>42</v>
      </c>
      <c r="E41" s="25" t="s">
        <v>52</v>
      </c>
      <c r="F41" s="25" t="s">
        <v>115</v>
      </c>
      <c r="G41" s="25">
        <v>5</v>
      </c>
      <c r="H41" s="25">
        <v>-2.8</v>
      </c>
      <c r="I41" s="30">
        <v>-7.7</v>
      </c>
      <c r="J41" s="25">
        <v>-8.5</v>
      </c>
      <c r="K41" s="25">
        <v>-7.7</v>
      </c>
      <c r="L41" s="25">
        <v>55.1</v>
      </c>
      <c r="M41" s="25">
        <v>45.2</v>
      </c>
      <c r="N41" s="30">
        <v>9.8000000000000007</v>
      </c>
      <c r="O41" s="25">
        <v>9</v>
      </c>
      <c r="P41" s="25">
        <v>14</v>
      </c>
      <c r="Q41" s="31" t="s">
        <v>164</v>
      </c>
    </row>
    <row r="42" spans="1:17" x14ac:dyDescent="0.25">
      <c r="A42" s="25">
        <v>5</v>
      </c>
      <c r="B42" s="25" t="s">
        <v>161</v>
      </c>
      <c r="C42" s="25" t="s">
        <v>145</v>
      </c>
      <c r="D42" s="25" t="s">
        <v>42</v>
      </c>
      <c r="E42" s="25" t="s">
        <v>46</v>
      </c>
      <c r="F42" s="25" t="s">
        <v>155</v>
      </c>
      <c r="G42" s="25">
        <v>4.8</v>
      </c>
      <c r="H42" s="25">
        <v>-0.2</v>
      </c>
      <c r="I42" s="30">
        <v>-5.0999999999999996</v>
      </c>
      <c r="J42" s="25">
        <v>-8.1</v>
      </c>
      <c r="K42" s="25">
        <v>-1.8</v>
      </c>
      <c r="L42" s="25">
        <v>53.3</v>
      </c>
      <c r="M42" s="25">
        <v>46.8</v>
      </c>
      <c r="N42" s="30">
        <v>6.5</v>
      </c>
      <c r="O42" s="25">
        <v>29</v>
      </c>
      <c r="P42" s="25">
        <v>31</v>
      </c>
      <c r="Q42" s="31" t="s">
        <v>164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42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497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498</v>
      </c>
      <c r="C3" s="28">
        <v>0.55900000000000005</v>
      </c>
    </row>
    <row r="4" spans="1:6" x14ac:dyDescent="0.25">
      <c r="A4" s="25" t="s">
        <v>6</v>
      </c>
      <c r="B4" s="25" t="s">
        <v>499</v>
      </c>
      <c r="C4" s="28">
        <v>0.5</v>
      </c>
    </row>
    <row r="6" spans="1:6" ht="15.6" customHeight="1" x14ac:dyDescent="0.25">
      <c r="A6" s="24" t="s">
        <v>500</v>
      </c>
    </row>
    <row r="7" spans="1:6" x14ac:dyDescent="0.25">
      <c r="A7" s="34" t="s">
        <v>313</v>
      </c>
      <c r="B7" s="34" t="s">
        <v>488</v>
      </c>
      <c r="C7" s="34" t="s">
        <v>489</v>
      </c>
      <c r="D7" s="34" t="s">
        <v>490</v>
      </c>
      <c r="E7" s="34" t="s">
        <v>491</v>
      </c>
      <c r="F7" s="34" t="s">
        <v>492</v>
      </c>
    </row>
    <row r="8" spans="1:6" x14ac:dyDescent="0.25">
      <c r="A8" s="25" t="s">
        <v>60</v>
      </c>
      <c r="B8" s="25">
        <v>2</v>
      </c>
      <c r="C8" s="25">
        <v>0</v>
      </c>
      <c r="D8" s="25">
        <v>1</v>
      </c>
      <c r="E8" s="25">
        <v>4</v>
      </c>
      <c r="F8" s="25">
        <v>0</v>
      </c>
    </row>
    <row r="9" spans="1:6" x14ac:dyDescent="0.25">
      <c r="A9" s="25" t="s">
        <v>172</v>
      </c>
      <c r="B9" s="25">
        <v>2</v>
      </c>
      <c r="C9" s="25">
        <v>0</v>
      </c>
      <c r="D9" s="25">
        <v>1</v>
      </c>
      <c r="E9" s="25">
        <v>5</v>
      </c>
      <c r="F9" s="25">
        <v>0</v>
      </c>
    </row>
    <row r="10" spans="1:6" x14ac:dyDescent="0.25">
      <c r="A10" s="25" t="s">
        <v>178</v>
      </c>
      <c r="B10" s="25">
        <v>2</v>
      </c>
      <c r="C10" s="25">
        <v>0</v>
      </c>
      <c r="D10" s="25">
        <v>1</v>
      </c>
      <c r="E10" s="25">
        <v>4</v>
      </c>
      <c r="F10" s="25">
        <v>1</v>
      </c>
    </row>
    <row r="11" spans="1:6" x14ac:dyDescent="0.25">
      <c r="A11" s="25" t="s">
        <v>72</v>
      </c>
      <c r="B11" s="25">
        <v>1</v>
      </c>
      <c r="C11" s="25">
        <v>0</v>
      </c>
      <c r="D11" s="25">
        <v>1</v>
      </c>
      <c r="E11" s="25">
        <v>4</v>
      </c>
      <c r="F11" s="25">
        <v>0</v>
      </c>
    </row>
    <row r="12" spans="1:6" x14ac:dyDescent="0.25">
      <c r="A12" s="25" t="s">
        <v>64</v>
      </c>
      <c r="B12" s="25">
        <v>1</v>
      </c>
      <c r="C12" s="25">
        <v>0</v>
      </c>
      <c r="D12" s="25">
        <v>1</v>
      </c>
      <c r="E12" s="25">
        <v>3</v>
      </c>
      <c r="F12" s="25">
        <v>1</v>
      </c>
    </row>
    <row r="13" spans="1:6" x14ac:dyDescent="0.25">
      <c r="A13" s="25" t="s">
        <v>65</v>
      </c>
      <c r="B13" s="25">
        <v>1</v>
      </c>
      <c r="C13" s="25">
        <v>1</v>
      </c>
      <c r="D13" s="25">
        <v>0.5</v>
      </c>
      <c r="E13" s="25">
        <v>4</v>
      </c>
      <c r="F13" s="25">
        <v>1</v>
      </c>
    </row>
    <row r="14" spans="1:6" x14ac:dyDescent="0.25">
      <c r="A14" s="25" t="s">
        <v>177</v>
      </c>
      <c r="B14" s="25">
        <v>1</v>
      </c>
      <c r="C14" s="25">
        <v>1</v>
      </c>
      <c r="D14" s="25">
        <v>0.5</v>
      </c>
      <c r="E14" s="25">
        <v>4</v>
      </c>
      <c r="F14" s="25">
        <v>1</v>
      </c>
    </row>
    <row r="15" spans="1:6" x14ac:dyDescent="0.25">
      <c r="A15" s="25" t="s">
        <v>61</v>
      </c>
      <c r="B15" s="25">
        <v>1</v>
      </c>
      <c r="C15" s="25">
        <v>1</v>
      </c>
      <c r="D15" s="25">
        <v>0.5</v>
      </c>
      <c r="E15" s="25">
        <v>4</v>
      </c>
      <c r="F15" s="25">
        <v>1</v>
      </c>
    </row>
    <row r="16" spans="1:6" x14ac:dyDescent="0.25">
      <c r="A16" s="25" t="s">
        <v>59</v>
      </c>
      <c r="B16" s="25">
        <v>1</v>
      </c>
      <c r="C16" s="25">
        <v>1</v>
      </c>
      <c r="D16" s="25">
        <v>0.5</v>
      </c>
      <c r="E16" s="25">
        <v>3</v>
      </c>
      <c r="F16" s="25">
        <v>2</v>
      </c>
    </row>
    <row r="17" spans="1:17" x14ac:dyDescent="0.25">
      <c r="A17" s="25" t="s">
        <v>63</v>
      </c>
      <c r="B17" s="25">
        <v>1</v>
      </c>
      <c r="C17" s="25">
        <v>1</v>
      </c>
      <c r="D17" s="25">
        <v>0.5</v>
      </c>
      <c r="E17" s="25">
        <v>3</v>
      </c>
      <c r="F17" s="25">
        <v>2</v>
      </c>
    </row>
    <row r="18" spans="1:17" x14ac:dyDescent="0.25">
      <c r="A18" s="25" t="s">
        <v>70</v>
      </c>
      <c r="B18" s="25">
        <v>1</v>
      </c>
      <c r="C18" s="25">
        <v>1</v>
      </c>
      <c r="D18" s="25">
        <v>0.5</v>
      </c>
      <c r="E18" s="25">
        <v>2</v>
      </c>
      <c r="F18" s="25">
        <v>2</v>
      </c>
    </row>
    <row r="19" spans="1:17" x14ac:dyDescent="0.25">
      <c r="A19" s="25" t="s">
        <v>62</v>
      </c>
      <c r="B19" s="25">
        <v>0</v>
      </c>
      <c r="C19" s="25">
        <v>1</v>
      </c>
      <c r="D19" s="25">
        <v>0</v>
      </c>
      <c r="E19" s="25">
        <v>3</v>
      </c>
      <c r="F19" s="25">
        <v>1</v>
      </c>
    </row>
    <row r="20" spans="1:17" ht="26.45" customHeight="1" x14ac:dyDescent="0.25">
      <c r="A20" s="25" t="s">
        <v>66</v>
      </c>
      <c r="B20" s="25">
        <v>0</v>
      </c>
      <c r="C20" s="25">
        <v>2</v>
      </c>
      <c r="D20" s="25">
        <v>0</v>
      </c>
      <c r="E20" s="25">
        <v>3</v>
      </c>
      <c r="F20" s="25">
        <v>2</v>
      </c>
    </row>
    <row r="21" spans="1:17" x14ac:dyDescent="0.25">
      <c r="A21" s="25" t="s">
        <v>71</v>
      </c>
      <c r="B21" s="25">
        <v>0</v>
      </c>
      <c r="C21" s="25">
        <v>1</v>
      </c>
      <c r="D21" s="25">
        <v>0</v>
      </c>
      <c r="E21" s="25">
        <v>2</v>
      </c>
      <c r="F21" s="25">
        <v>2</v>
      </c>
    </row>
    <row r="22" spans="1:17" x14ac:dyDescent="0.25">
      <c r="A22" s="25" t="s">
        <v>173</v>
      </c>
      <c r="B22" s="25">
        <v>0</v>
      </c>
      <c r="C22" s="25">
        <v>2</v>
      </c>
      <c r="D22" s="25">
        <v>0</v>
      </c>
      <c r="E22" s="25">
        <v>2</v>
      </c>
      <c r="F22" s="25">
        <v>3</v>
      </c>
    </row>
    <row r="23" spans="1:17" x14ac:dyDescent="0.25">
      <c r="A23" s="25" t="s">
        <v>175</v>
      </c>
      <c r="B23" s="25">
        <v>0</v>
      </c>
      <c r="C23" s="25">
        <v>2</v>
      </c>
      <c r="D23" s="25">
        <v>0</v>
      </c>
      <c r="E23" s="25">
        <v>2</v>
      </c>
      <c r="F23" s="25">
        <v>3</v>
      </c>
    </row>
    <row r="25" spans="1:17" ht="26.45" customHeight="1" x14ac:dyDescent="0.25">
      <c r="A25" s="24" t="s">
        <v>8</v>
      </c>
    </row>
    <row r="26" spans="1:17" ht="26.25" customHeight="1" x14ac:dyDescent="0.25">
      <c r="A26" s="29" t="s">
        <v>9</v>
      </c>
      <c r="B26" s="29" t="s">
        <v>10</v>
      </c>
      <c r="C26" s="29" t="s">
        <v>11</v>
      </c>
      <c r="D26" s="29" t="s">
        <v>12</v>
      </c>
      <c r="E26" s="29" t="s">
        <v>13</v>
      </c>
      <c r="F26" s="29" t="s">
        <v>14</v>
      </c>
      <c r="G26" s="29" t="s">
        <v>15</v>
      </c>
      <c r="H26" s="29" t="s">
        <v>16</v>
      </c>
      <c r="I26" s="29" t="s">
        <v>17</v>
      </c>
      <c r="J26" s="29" t="s">
        <v>18</v>
      </c>
      <c r="K26" s="29" t="s">
        <v>19</v>
      </c>
      <c r="L26" s="29" t="s">
        <v>20</v>
      </c>
      <c r="M26" s="29" t="s">
        <v>21</v>
      </c>
      <c r="N26" s="29" t="s">
        <v>22</v>
      </c>
      <c r="O26" s="29" t="s">
        <v>23</v>
      </c>
      <c r="P26" s="29" t="s">
        <v>24</v>
      </c>
      <c r="Q26" s="29" t="s">
        <v>25</v>
      </c>
    </row>
    <row r="27" spans="1:17" x14ac:dyDescent="0.25">
      <c r="A27" s="25">
        <v>6</v>
      </c>
      <c r="B27" s="25" t="s">
        <v>30</v>
      </c>
      <c r="C27" s="25" t="s">
        <v>58</v>
      </c>
      <c r="D27" s="25" t="s">
        <v>58</v>
      </c>
      <c r="E27" s="25" t="s">
        <v>59</v>
      </c>
      <c r="F27" s="25" t="s">
        <v>60</v>
      </c>
      <c r="G27" s="25">
        <v>-11.2</v>
      </c>
      <c r="H27" s="25">
        <v>-12.8</v>
      </c>
      <c r="I27" s="25">
        <v>-1.6</v>
      </c>
      <c r="J27" s="25">
        <v>-17.899999999999999</v>
      </c>
      <c r="K27" s="25">
        <v>-10.1</v>
      </c>
      <c r="L27" s="25">
        <v>50.7</v>
      </c>
      <c r="M27" s="25">
        <v>49.5</v>
      </c>
      <c r="N27" s="25">
        <v>1.2</v>
      </c>
      <c r="O27" s="25"/>
      <c r="P27" s="25"/>
      <c r="Q27" s="25"/>
    </row>
    <row r="28" spans="1:17" x14ac:dyDescent="0.25">
      <c r="A28" s="25">
        <v>6</v>
      </c>
      <c r="B28" s="25" t="s">
        <v>30</v>
      </c>
      <c r="C28" s="25" t="s">
        <v>58</v>
      </c>
      <c r="D28" s="25" t="s">
        <v>58</v>
      </c>
      <c r="E28" s="25" t="s">
        <v>61</v>
      </c>
      <c r="F28" s="25" t="s">
        <v>62</v>
      </c>
      <c r="G28" s="25">
        <v>-3.4</v>
      </c>
      <c r="H28" s="25">
        <v>-2.5</v>
      </c>
      <c r="I28" s="25">
        <v>0.9</v>
      </c>
      <c r="J28" s="25">
        <v>-1.1000000000000001</v>
      </c>
      <c r="K28" s="25">
        <v>3.5</v>
      </c>
      <c r="L28" s="25">
        <v>59.4</v>
      </c>
      <c r="M28" s="25">
        <v>56</v>
      </c>
      <c r="N28" s="30">
        <v>3.4</v>
      </c>
      <c r="O28" s="25"/>
      <c r="P28" s="25"/>
      <c r="Q28" s="25"/>
    </row>
    <row r="29" spans="1:17" x14ac:dyDescent="0.25">
      <c r="A29" s="25">
        <v>6</v>
      </c>
      <c r="B29" s="25" t="s">
        <v>30</v>
      </c>
      <c r="C29" s="25" t="s">
        <v>58</v>
      </c>
      <c r="D29" s="25" t="s">
        <v>58</v>
      </c>
      <c r="E29" s="25" t="s">
        <v>63</v>
      </c>
      <c r="F29" s="25" t="s">
        <v>64</v>
      </c>
      <c r="G29" s="25">
        <v>1.1000000000000001</v>
      </c>
      <c r="H29" s="25">
        <v>-10</v>
      </c>
      <c r="I29" s="30">
        <v>-11.1</v>
      </c>
      <c r="J29" s="25">
        <v>1.5</v>
      </c>
      <c r="K29" s="25">
        <v>-1.6</v>
      </c>
      <c r="L29" s="25">
        <v>44.9</v>
      </c>
      <c r="M29" s="25">
        <v>54</v>
      </c>
      <c r="N29" s="30">
        <v>-9.1</v>
      </c>
      <c r="O29" s="25"/>
      <c r="P29" s="25"/>
      <c r="Q29" s="25"/>
    </row>
    <row r="30" spans="1:17" x14ac:dyDescent="0.25">
      <c r="A30" s="25">
        <v>6</v>
      </c>
      <c r="B30" s="25" t="s">
        <v>30</v>
      </c>
      <c r="C30" s="25" t="s">
        <v>58</v>
      </c>
      <c r="D30" s="25" t="s">
        <v>58</v>
      </c>
      <c r="E30" s="25" t="s">
        <v>65</v>
      </c>
      <c r="F30" s="25" t="s">
        <v>66</v>
      </c>
      <c r="G30" s="25">
        <v>10.9</v>
      </c>
      <c r="H30" s="25">
        <v>3</v>
      </c>
      <c r="I30" s="30">
        <v>-7.9</v>
      </c>
      <c r="J30" s="25">
        <v>10.5</v>
      </c>
      <c r="K30" s="25">
        <v>-0.7</v>
      </c>
      <c r="L30" s="25">
        <v>52.9</v>
      </c>
      <c r="M30" s="25">
        <v>60</v>
      </c>
      <c r="N30" s="30">
        <v>-7.1</v>
      </c>
      <c r="O30" s="25"/>
      <c r="P30" s="25"/>
      <c r="Q30" s="25"/>
    </row>
    <row r="31" spans="1:17" x14ac:dyDescent="0.25">
      <c r="A31" s="25">
        <v>6</v>
      </c>
      <c r="B31" s="25" t="s">
        <v>67</v>
      </c>
      <c r="C31" s="25" t="s">
        <v>58</v>
      </c>
      <c r="D31" s="25" t="s">
        <v>68</v>
      </c>
      <c r="E31" s="25" t="s">
        <v>69</v>
      </c>
      <c r="F31" s="25" t="s">
        <v>70</v>
      </c>
      <c r="G31" s="25">
        <v>-15.7</v>
      </c>
      <c r="H31" s="25">
        <v>-21</v>
      </c>
      <c r="I31" s="30">
        <v>-5.3</v>
      </c>
      <c r="J31" s="25">
        <v>-17.2</v>
      </c>
      <c r="K31" s="25">
        <v>-15.5</v>
      </c>
      <c r="L31" s="25">
        <v>47</v>
      </c>
      <c r="M31" s="25">
        <v>51</v>
      </c>
      <c r="N31" s="30">
        <v>-4</v>
      </c>
      <c r="O31" s="25"/>
      <c r="P31" s="25"/>
      <c r="Q31" s="25"/>
    </row>
    <row r="32" spans="1:17" x14ac:dyDescent="0.25">
      <c r="A32" s="25">
        <v>6</v>
      </c>
      <c r="B32" s="25" t="s">
        <v>67</v>
      </c>
      <c r="C32" s="25" t="s">
        <v>58</v>
      </c>
      <c r="D32" s="25" t="s">
        <v>58</v>
      </c>
      <c r="E32" s="25" t="s">
        <v>71</v>
      </c>
      <c r="F32" s="25" t="s">
        <v>72</v>
      </c>
      <c r="G32" s="25">
        <v>-18.399999999999999</v>
      </c>
      <c r="H32" s="25">
        <v>-15.5</v>
      </c>
      <c r="I32" s="30">
        <v>2.9</v>
      </c>
      <c r="J32" s="25">
        <v>-20.3</v>
      </c>
      <c r="K32" s="25">
        <v>-13.7</v>
      </c>
      <c r="L32" s="25">
        <v>51.8</v>
      </c>
      <c r="M32" s="25">
        <v>52</v>
      </c>
      <c r="N32" s="25">
        <v>-0.2</v>
      </c>
      <c r="O32" s="25"/>
      <c r="P32" s="25"/>
      <c r="Q32" s="25"/>
    </row>
    <row r="34" spans="1:17" ht="15.75" customHeight="1" x14ac:dyDescent="0.25">
      <c r="A34" s="24" t="s">
        <v>158</v>
      </c>
    </row>
    <row r="35" spans="1:17" ht="26.25" customHeight="1" x14ac:dyDescent="0.25">
      <c r="A35" s="29" t="s">
        <v>9</v>
      </c>
      <c r="B35" s="29" t="s">
        <v>10</v>
      </c>
      <c r="C35" s="29" t="s">
        <v>11</v>
      </c>
      <c r="D35" s="29" t="s">
        <v>12</v>
      </c>
      <c r="E35" s="29" t="s">
        <v>13</v>
      </c>
      <c r="F35" s="29" t="s">
        <v>14</v>
      </c>
      <c r="G35" s="29" t="s">
        <v>15</v>
      </c>
      <c r="H35" s="29" t="s">
        <v>16</v>
      </c>
      <c r="I35" s="29" t="s">
        <v>17</v>
      </c>
      <c r="J35" s="29" t="s">
        <v>18</v>
      </c>
      <c r="K35" s="29" t="s">
        <v>19</v>
      </c>
      <c r="L35" s="29" t="s">
        <v>20</v>
      </c>
      <c r="M35" s="29" t="s">
        <v>21</v>
      </c>
      <c r="N35" s="29" t="s">
        <v>22</v>
      </c>
      <c r="O35" s="29" t="s">
        <v>23</v>
      </c>
      <c r="P35" s="29" t="s">
        <v>24</v>
      </c>
      <c r="Q35" s="29" t="s">
        <v>25</v>
      </c>
    </row>
    <row r="36" spans="1:17" x14ac:dyDescent="0.25">
      <c r="A36" s="25">
        <v>5</v>
      </c>
      <c r="B36" s="25" t="s">
        <v>161</v>
      </c>
      <c r="C36" s="25" t="s">
        <v>58</v>
      </c>
      <c r="D36" s="25" t="s">
        <v>58</v>
      </c>
      <c r="E36" s="25" t="s">
        <v>172</v>
      </c>
      <c r="F36" s="25" t="s">
        <v>173</v>
      </c>
      <c r="G36" s="25">
        <v>17.8</v>
      </c>
      <c r="H36" s="25">
        <v>13.5</v>
      </c>
      <c r="I36" s="30">
        <v>-4.3</v>
      </c>
      <c r="J36" s="25">
        <v>18.899999999999999</v>
      </c>
      <c r="K36" s="25">
        <v>9.1999999999999993</v>
      </c>
      <c r="L36" s="25">
        <v>48.9</v>
      </c>
      <c r="M36" s="25">
        <v>50</v>
      </c>
      <c r="N36" s="25">
        <v>-1.1000000000000001</v>
      </c>
      <c r="O36" s="25">
        <v>29</v>
      </c>
      <c r="P36" s="25">
        <v>7</v>
      </c>
      <c r="Q36" s="30" t="s">
        <v>160</v>
      </c>
    </row>
    <row r="37" spans="1:17" x14ac:dyDescent="0.25">
      <c r="A37" s="25">
        <v>5</v>
      </c>
      <c r="B37" s="25" t="s">
        <v>161</v>
      </c>
      <c r="C37" s="25" t="s">
        <v>58</v>
      </c>
      <c r="D37" s="25" t="s">
        <v>58</v>
      </c>
      <c r="E37" s="25" t="s">
        <v>63</v>
      </c>
      <c r="F37" s="25" t="s">
        <v>61</v>
      </c>
      <c r="G37" s="25">
        <v>-12.6</v>
      </c>
      <c r="H37" s="25">
        <v>-10.5</v>
      </c>
      <c r="I37" s="30">
        <v>2.1</v>
      </c>
      <c r="J37" s="25">
        <v>-11.9</v>
      </c>
      <c r="K37" s="25">
        <v>-4</v>
      </c>
      <c r="L37" s="25">
        <v>53.8</v>
      </c>
      <c r="M37" s="25">
        <v>50.8</v>
      </c>
      <c r="N37" s="30">
        <v>3.1</v>
      </c>
      <c r="O37" s="25">
        <v>17</v>
      </c>
      <c r="P37" s="25">
        <v>27</v>
      </c>
      <c r="Q37" s="30" t="s">
        <v>160</v>
      </c>
    </row>
    <row r="38" spans="1:17" x14ac:dyDescent="0.25">
      <c r="A38" s="25">
        <v>5</v>
      </c>
      <c r="B38" s="25" t="s">
        <v>161</v>
      </c>
      <c r="C38" s="25" t="s">
        <v>58</v>
      </c>
      <c r="D38" s="25" t="s">
        <v>58</v>
      </c>
      <c r="E38" s="25" t="s">
        <v>66</v>
      </c>
      <c r="F38" s="25" t="s">
        <v>59</v>
      </c>
      <c r="G38" s="25">
        <v>-14.8</v>
      </c>
      <c r="H38" s="25">
        <v>-3</v>
      </c>
      <c r="I38" s="30">
        <v>11.8</v>
      </c>
      <c r="J38" s="25">
        <v>-5.5</v>
      </c>
      <c r="K38" s="25">
        <v>-6.3</v>
      </c>
      <c r="L38" s="25">
        <v>49</v>
      </c>
      <c r="M38" s="25">
        <v>53.2</v>
      </c>
      <c r="N38" s="30">
        <v>-4.2</v>
      </c>
      <c r="O38" s="25">
        <v>42</v>
      </c>
      <c r="P38" s="25">
        <v>45</v>
      </c>
      <c r="Q38" s="30" t="s">
        <v>160</v>
      </c>
    </row>
    <row r="39" spans="1:17" x14ac:dyDescent="0.25">
      <c r="A39" s="25">
        <v>5</v>
      </c>
      <c r="B39" s="25" t="s">
        <v>161</v>
      </c>
      <c r="C39" s="25" t="s">
        <v>58</v>
      </c>
      <c r="D39" s="25" t="s">
        <v>92</v>
      </c>
      <c r="E39" s="25" t="s">
        <v>174</v>
      </c>
      <c r="F39" s="25" t="s">
        <v>71</v>
      </c>
      <c r="G39" s="25">
        <v>-21.2</v>
      </c>
      <c r="H39" s="25">
        <v>-21</v>
      </c>
      <c r="I39" s="25">
        <v>0.2</v>
      </c>
      <c r="J39" s="25">
        <v>-19.5</v>
      </c>
      <c r="K39" s="25">
        <v>-7.1</v>
      </c>
      <c r="L39" s="25">
        <v>54.2</v>
      </c>
      <c r="M39" s="25">
        <v>51</v>
      </c>
      <c r="N39" s="30">
        <v>3.2</v>
      </c>
      <c r="O39" s="25">
        <v>0</v>
      </c>
      <c r="P39" s="25">
        <v>55</v>
      </c>
      <c r="Q39" s="30" t="s">
        <v>160</v>
      </c>
    </row>
    <row r="40" spans="1:17" x14ac:dyDescent="0.25">
      <c r="A40" s="25">
        <v>5</v>
      </c>
      <c r="B40" s="25" t="s">
        <v>161</v>
      </c>
      <c r="C40" s="25" t="s">
        <v>58</v>
      </c>
      <c r="D40" s="25" t="s">
        <v>58</v>
      </c>
      <c r="E40" s="25" t="s">
        <v>60</v>
      </c>
      <c r="F40" s="25" t="s">
        <v>175</v>
      </c>
      <c r="G40" s="25">
        <v>2.4</v>
      </c>
      <c r="H40" s="25">
        <v>5.8</v>
      </c>
      <c r="I40" s="30">
        <v>3.3</v>
      </c>
      <c r="J40" s="25">
        <v>8.8000000000000007</v>
      </c>
      <c r="K40" s="25">
        <v>0</v>
      </c>
      <c r="L40" s="25">
        <v>52.3</v>
      </c>
      <c r="M40" s="25">
        <v>48.2</v>
      </c>
      <c r="N40" s="30">
        <v>4</v>
      </c>
      <c r="O40" s="25">
        <v>17</v>
      </c>
      <c r="P40" s="25">
        <v>10</v>
      </c>
      <c r="Q40" s="30" t="s">
        <v>160</v>
      </c>
    </row>
    <row r="41" spans="1:17" x14ac:dyDescent="0.25">
      <c r="A41" s="25">
        <v>5</v>
      </c>
      <c r="B41" s="25" t="s">
        <v>176</v>
      </c>
      <c r="C41" s="25" t="s">
        <v>58</v>
      </c>
      <c r="D41" s="25" t="s">
        <v>58</v>
      </c>
      <c r="E41" s="25" t="s">
        <v>177</v>
      </c>
      <c r="F41" s="25" t="s">
        <v>65</v>
      </c>
      <c r="G41" s="25">
        <v>-6.1</v>
      </c>
      <c r="H41" s="25">
        <v>-6.8</v>
      </c>
      <c r="I41" s="25">
        <v>-0.7</v>
      </c>
      <c r="J41" s="25">
        <v>-11</v>
      </c>
      <c r="K41" s="25">
        <v>-2</v>
      </c>
      <c r="L41" s="25">
        <v>55.7</v>
      </c>
      <c r="M41" s="25">
        <v>56</v>
      </c>
      <c r="N41" s="25">
        <v>-0.3</v>
      </c>
      <c r="O41" s="25">
        <v>7</v>
      </c>
      <c r="P41" s="25">
        <v>34</v>
      </c>
      <c r="Q41" s="30" t="s">
        <v>160</v>
      </c>
    </row>
    <row r="42" spans="1:17" x14ac:dyDescent="0.25">
      <c r="A42" s="25">
        <v>5</v>
      </c>
      <c r="B42" s="25" t="s">
        <v>176</v>
      </c>
      <c r="C42" s="25" t="s">
        <v>58</v>
      </c>
      <c r="D42" s="25" t="s">
        <v>58</v>
      </c>
      <c r="E42" s="25" t="s">
        <v>178</v>
      </c>
      <c r="F42" s="25" t="s">
        <v>70</v>
      </c>
      <c r="G42" s="25">
        <v>0.2</v>
      </c>
      <c r="H42" s="25">
        <v>-3.5</v>
      </c>
      <c r="I42" s="30">
        <v>-3.7</v>
      </c>
      <c r="J42" s="25">
        <v>-3.9</v>
      </c>
      <c r="K42" s="25">
        <v>-0.9</v>
      </c>
      <c r="L42" s="25">
        <v>46.7</v>
      </c>
      <c r="M42" s="25">
        <v>49</v>
      </c>
      <c r="N42" s="30">
        <v>-2.2999999999999998</v>
      </c>
      <c r="O42" s="25">
        <v>55</v>
      </c>
      <c r="P42" s="25">
        <v>19</v>
      </c>
      <c r="Q42" s="30" t="s">
        <v>160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47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501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502</v>
      </c>
      <c r="C3" s="28">
        <v>0.47799999999999998</v>
      </c>
    </row>
    <row r="4" spans="1:6" x14ac:dyDescent="0.25">
      <c r="A4" s="25" t="s">
        <v>6</v>
      </c>
      <c r="B4" s="25" t="s">
        <v>503</v>
      </c>
      <c r="C4" s="28">
        <v>0.5</v>
      </c>
    </row>
    <row r="6" spans="1:6" ht="15.6" customHeight="1" x14ac:dyDescent="0.25">
      <c r="A6" s="24" t="s">
        <v>504</v>
      </c>
    </row>
    <row r="7" spans="1:6" x14ac:dyDescent="0.25">
      <c r="A7" s="34" t="s">
        <v>313</v>
      </c>
      <c r="B7" s="34" t="s">
        <v>488</v>
      </c>
      <c r="C7" s="34" t="s">
        <v>489</v>
      </c>
      <c r="D7" s="34" t="s">
        <v>490</v>
      </c>
      <c r="E7" s="34" t="s">
        <v>491</v>
      </c>
      <c r="F7" s="34" t="s">
        <v>492</v>
      </c>
    </row>
    <row r="8" spans="1:6" x14ac:dyDescent="0.25">
      <c r="A8" s="25" t="s">
        <v>76</v>
      </c>
      <c r="B8" s="25">
        <v>2</v>
      </c>
      <c r="C8" s="25">
        <v>0</v>
      </c>
      <c r="D8" s="25">
        <v>1</v>
      </c>
      <c r="E8" s="25">
        <v>5</v>
      </c>
      <c r="F8" s="25">
        <v>0</v>
      </c>
    </row>
    <row r="9" spans="1:6" x14ac:dyDescent="0.25">
      <c r="A9" s="25" t="s">
        <v>77</v>
      </c>
      <c r="B9" s="25">
        <v>2</v>
      </c>
      <c r="C9" s="25">
        <v>0</v>
      </c>
      <c r="D9" s="25">
        <v>1</v>
      </c>
      <c r="E9" s="25">
        <v>5</v>
      </c>
      <c r="F9" s="25">
        <v>0</v>
      </c>
    </row>
    <row r="10" spans="1:6" x14ac:dyDescent="0.25">
      <c r="A10" s="25" t="s">
        <v>83</v>
      </c>
      <c r="B10" s="25">
        <v>2</v>
      </c>
      <c r="C10" s="25">
        <v>0</v>
      </c>
      <c r="D10" s="25">
        <v>1</v>
      </c>
      <c r="E10" s="25">
        <v>4</v>
      </c>
      <c r="F10" s="25">
        <v>0</v>
      </c>
    </row>
    <row r="11" spans="1:6" x14ac:dyDescent="0.25">
      <c r="A11" s="25" t="s">
        <v>89</v>
      </c>
      <c r="B11" s="25">
        <v>2</v>
      </c>
      <c r="C11" s="25">
        <v>0</v>
      </c>
      <c r="D11" s="25">
        <v>1</v>
      </c>
      <c r="E11" s="25">
        <v>4</v>
      </c>
      <c r="F11" s="25">
        <v>1</v>
      </c>
    </row>
    <row r="12" spans="1:6" x14ac:dyDescent="0.25">
      <c r="A12" s="25" t="s">
        <v>82</v>
      </c>
      <c r="B12" s="25">
        <v>2</v>
      </c>
      <c r="C12" s="25">
        <v>0</v>
      </c>
      <c r="D12" s="25">
        <v>1</v>
      </c>
      <c r="E12" s="25">
        <v>4</v>
      </c>
      <c r="F12" s="25">
        <v>1</v>
      </c>
    </row>
    <row r="13" spans="1:6" x14ac:dyDescent="0.25">
      <c r="A13" s="25" t="s">
        <v>180</v>
      </c>
      <c r="B13" s="25">
        <v>2</v>
      </c>
      <c r="C13" s="25">
        <v>0</v>
      </c>
      <c r="D13" s="25">
        <v>1</v>
      </c>
      <c r="E13" s="25">
        <v>4</v>
      </c>
      <c r="F13" s="25">
        <v>1</v>
      </c>
    </row>
    <row r="14" spans="1:6" x14ac:dyDescent="0.25">
      <c r="A14" s="25" t="s">
        <v>84</v>
      </c>
      <c r="B14" s="25">
        <v>1</v>
      </c>
      <c r="C14" s="25">
        <v>0</v>
      </c>
      <c r="D14" s="25">
        <v>1</v>
      </c>
      <c r="E14" s="25">
        <v>3</v>
      </c>
      <c r="F14" s="25">
        <v>1</v>
      </c>
    </row>
    <row r="15" spans="1:6" x14ac:dyDescent="0.25">
      <c r="A15" s="25" t="s">
        <v>85</v>
      </c>
      <c r="B15" s="25">
        <v>2</v>
      </c>
      <c r="C15" s="25">
        <v>1</v>
      </c>
      <c r="D15" s="25">
        <v>0.66700000000000004</v>
      </c>
      <c r="E15" s="25">
        <v>5</v>
      </c>
      <c r="F15" s="25">
        <v>1</v>
      </c>
    </row>
    <row r="16" spans="1:6" x14ac:dyDescent="0.25">
      <c r="A16" s="25" t="s">
        <v>87</v>
      </c>
      <c r="B16" s="25">
        <v>1</v>
      </c>
      <c r="C16" s="25">
        <v>1</v>
      </c>
      <c r="D16" s="25">
        <v>0.5</v>
      </c>
      <c r="E16" s="25">
        <v>4</v>
      </c>
      <c r="F16" s="25">
        <v>1</v>
      </c>
    </row>
    <row r="17" spans="1:17" x14ac:dyDescent="0.25">
      <c r="A17" s="25" t="s">
        <v>80</v>
      </c>
      <c r="B17" s="25">
        <v>1</v>
      </c>
      <c r="C17" s="25">
        <v>1</v>
      </c>
      <c r="D17" s="25">
        <v>0.5</v>
      </c>
      <c r="E17" s="25">
        <v>3</v>
      </c>
      <c r="F17" s="25">
        <v>1</v>
      </c>
    </row>
    <row r="18" spans="1:17" x14ac:dyDescent="0.25">
      <c r="A18" s="25" t="s">
        <v>90</v>
      </c>
      <c r="B18" s="25">
        <v>1</v>
      </c>
      <c r="C18" s="25">
        <v>1</v>
      </c>
      <c r="D18" s="25">
        <v>0.5</v>
      </c>
      <c r="E18" s="25">
        <v>2</v>
      </c>
      <c r="F18" s="25">
        <v>3</v>
      </c>
    </row>
    <row r="19" spans="1:17" x14ac:dyDescent="0.25">
      <c r="A19" s="25" t="s">
        <v>179</v>
      </c>
      <c r="B19" s="25">
        <v>0</v>
      </c>
      <c r="C19" s="25">
        <v>2</v>
      </c>
      <c r="D19" s="25">
        <v>0</v>
      </c>
      <c r="E19" s="25">
        <v>3</v>
      </c>
      <c r="F19" s="25">
        <v>2</v>
      </c>
    </row>
    <row r="20" spans="1:17" x14ac:dyDescent="0.25">
      <c r="A20" s="25" t="s">
        <v>86</v>
      </c>
      <c r="B20" s="25">
        <v>0</v>
      </c>
      <c r="C20" s="25">
        <v>2</v>
      </c>
      <c r="D20" s="25">
        <v>0</v>
      </c>
      <c r="E20" s="25">
        <v>3</v>
      </c>
      <c r="F20" s="25">
        <v>2</v>
      </c>
    </row>
    <row r="21" spans="1:17" x14ac:dyDescent="0.25">
      <c r="A21" s="25" t="s">
        <v>88</v>
      </c>
      <c r="B21" s="25">
        <v>0</v>
      </c>
      <c r="C21" s="25">
        <v>2</v>
      </c>
      <c r="D21" s="25">
        <v>0</v>
      </c>
      <c r="E21" s="25">
        <v>3</v>
      </c>
      <c r="F21" s="25">
        <v>2</v>
      </c>
    </row>
    <row r="22" spans="1:17" ht="26.45" customHeight="1" x14ac:dyDescent="0.25">
      <c r="A22" s="25" t="s">
        <v>74</v>
      </c>
      <c r="B22" s="25">
        <v>0</v>
      </c>
      <c r="C22" s="25">
        <v>2</v>
      </c>
      <c r="D22" s="25">
        <v>0</v>
      </c>
      <c r="E22" s="25">
        <v>2</v>
      </c>
      <c r="F22" s="25">
        <v>3</v>
      </c>
    </row>
    <row r="23" spans="1:17" x14ac:dyDescent="0.25">
      <c r="A23" s="25" t="s">
        <v>81</v>
      </c>
      <c r="B23" s="25">
        <v>0</v>
      </c>
      <c r="C23" s="25">
        <v>2</v>
      </c>
      <c r="D23" s="25">
        <v>0</v>
      </c>
      <c r="E23" s="25">
        <v>2</v>
      </c>
      <c r="F23" s="25">
        <v>3</v>
      </c>
    </row>
    <row r="24" spans="1:17" x14ac:dyDescent="0.25">
      <c r="A24" s="25" t="s">
        <v>75</v>
      </c>
      <c r="B24" s="25">
        <v>0</v>
      </c>
      <c r="C24" s="25">
        <v>2</v>
      </c>
      <c r="D24" s="25">
        <v>0</v>
      </c>
      <c r="E24" s="25">
        <v>2</v>
      </c>
      <c r="F24" s="25">
        <v>3</v>
      </c>
    </row>
    <row r="25" spans="1:17" x14ac:dyDescent="0.25">
      <c r="A25" s="25" t="s">
        <v>181</v>
      </c>
      <c r="B25" s="25">
        <v>0</v>
      </c>
      <c r="C25" s="25">
        <v>2</v>
      </c>
      <c r="D25" s="25">
        <v>0</v>
      </c>
      <c r="E25" s="25">
        <v>1</v>
      </c>
      <c r="F25" s="25">
        <v>4</v>
      </c>
    </row>
    <row r="27" spans="1:17" ht="26.45" customHeight="1" x14ac:dyDescent="0.25">
      <c r="A27" s="24" t="s">
        <v>8</v>
      </c>
    </row>
    <row r="28" spans="1:17" ht="26.25" customHeight="1" x14ac:dyDescent="0.25">
      <c r="A28" s="29" t="s">
        <v>9</v>
      </c>
      <c r="B28" s="29" t="s">
        <v>10</v>
      </c>
      <c r="C28" s="29" t="s">
        <v>11</v>
      </c>
      <c r="D28" s="29" t="s">
        <v>12</v>
      </c>
      <c r="E28" s="29" t="s">
        <v>13</v>
      </c>
      <c r="F28" s="29" t="s">
        <v>14</v>
      </c>
      <c r="G28" s="29" t="s">
        <v>15</v>
      </c>
      <c r="H28" s="29" t="s">
        <v>16</v>
      </c>
      <c r="I28" s="29" t="s">
        <v>17</v>
      </c>
      <c r="J28" s="29" t="s">
        <v>18</v>
      </c>
      <c r="K28" s="29" t="s">
        <v>19</v>
      </c>
      <c r="L28" s="29" t="s">
        <v>20</v>
      </c>
      <c r="M28" s="29" t="s">
        <v>21</v>
      </c>
      <c r="N28" s="29" t="s">
        <v>22</v>
      </c>
      <c r="O28" s="29" t="s">
        <v>23</v>
      </c>
      <c r="P28" s="29" t="s">
        <v>24</v>
      </c>
      <c r="Q28" s="29" t="s">
        <v>25</v>
      </c>
    </row>
    <row r="29" spans="1:17" x14ac:dyDescent="0.25">
      <c r="A29" s="25">
        <v>6</v>
      </c>
      <c r="B29" s="25" t="s">
        <v>30</v>
      </c>
      <c r="C29" s="25" t="s">
        <v>73</v>
      </c>
      <c r="D29" s="25" t="s">
        <v>73</v>
      </c>
      <c r="E29" s="25" t="s">
        <v>74</v>
      </c>
      <c r="F29" s="25" t="s">
        <v>75</v>
      </c>
      <c r="G29" s="25">
        <v>2.1</v>
      </c>
      <c r="H29" s="25">
        <v>3.5</v>
      </c>
      <c r="I29" s="25">
        <v>1.4</v>
      </c>
      <c r="J29" s="25">
        <v>6.9</v>
      </c>
      <c r="K29" s="25">
        <v>-3.7</v>
      </c>
      <c r="L29" s="25">
        <v>54.1</v>
      </c>
      <c r="M29" s="25">
        <v>50</v>
      </c>
      <c r="N29" s="30">
        <v>4.0999999999999996</v>
      </c>
      <c r="O29" s="25"/>
      <c r="P29" s="25"/>
      <c r="Q29" s="25"/>
    </row>
    <row r="30" spans="1:17" x14ac:dyDescent="0.25">
      <c r="A30" s="25">
        <v>6</v>
      </c>
      <c r="B30" s="25" t="s">
        <v>30</v>
      </c>
      <c r="C30" s="25" t="s">
        <v>73</v>
      </c>
      <c r="D30" s="25" t="s">
        <v>73</v>
      </c>
      <c r="E30" s="25" t="s">
        <v>76</v>
      </c>
      <c r="F30" s="25" t="s">
        <v>77</v>
      </c>
      <c r="G30" s="25">
        <v>13.7</v>
      </c>
      <c r="H30" s="25">
        <v>8</v>
      </c>
      <c r="I30" s="30">
        <v>-5.7</v>
      </c>
      <c r="J30" s="25">
        <v>10.1</v>
      </c>
      <c r="K30" s="25">
        <v>-2.2000000000000002</v>
      </c>
      <c r="L30" s="25">
        <v>54.7</v>
      </c>
      <c r="M30" s="25">
        <v>51.2</v>
      </c>
      <c r="N30" s="30">
        <v>3.5</v>
      </c>
      <c r="O30" s="25"/>
      <c r="P30" s="25"/>
      <c r="Q30" s="25"/>
    </row>
    <row r="31" spans="1:17" x14ac:dyDescent="0.25">
      <c r="A31" s="25">
        <v>6</v>
      </c>
      <c r="B31" s="25" t="s">
        <v>30</v>
      </c>
      <c r="C31" s="25" t="s">
        <v>73</v>
      </c>
      <c r="D31" s="25" t="s">
        <v>78</v>
      </c>
      <c r="E31" s="25" t="s">
        <v>79</v>
      </c>
      <c r="F31" s="25" t="s">
        <v>80</v>
      </c>
      <c r="G31" s="25">
        <v>-36.700000000000003</v>
      </c>
      <c r="H31" s="25">
        <v>-36</v>
      </c>
      <c r="I31" s="25">
        <v>0.7</v>
      </c>
      <c r="J31" s="25">
        <v>-34.299999999999997</v>
      </c>
      <c r="K31" s="25">
        <v>-29</v>
      </c>
      <c r="L31" s="25">
        <v>54.3</v>
      </c>
      <c r="M31" s="25">
        <v>53</v>
      </c>
      <c r="N31" s="25">
        <v>1.3</v>
      </c>
      <c r="O31" s="25"/>
      <c r="P31" s="25"/>
      <c r="Q31" s="25"/>
    </row>
    <row r="32" spans="1:17" x14ac:dyDescent="0.25">
      <c r="A32" s="25">
        <v>6</v>
      </c>
      <c r="B32" s="25" t="s">
        <v>30</v>
      </c>
      <c r="C32" s="25" t="s">
        <v>73</v>
      </c>
      <c r="D32" s="25" t="s">
        <v>73</v>
      </c>
      <c r="E32" s="25" t="s">
        <v>81</v>
      </c>
      <c r="F32" s="25" t="s">
        <v>82</v>
      </c>
      <c r="G32" s="25">
        <v>-39.4</v>
      </c>
      <c r="H32" s="25">
        <v>-35</v>
      </c>
      <c r="I32" s="30">
        <v>4.4000000000000004</v>
      </c>
      <c r="J32" s="25">
        <v>-33.200000000000003</v>
      </c>
      <c r="K32" s="25">
        <v>-21.8</v>
      </c>
      <c r="L32" s="25">
        <v>49</v>
      </c>
      <c r="M32" s="25">
        <v>56</v>
      </c>
      <c r="N32" s="30">
        <v>-7</v>
      </c>
      <c r="O32" s="25"/>
      <c r="P32" s="25"/>
      <c r="Q32" s="25"/>
    </row>
    <row r="33" spans="1:17" x14ac:dyDescent="0.25">
      <c r="A33" s="25">
        <v>6</v>
      </c>
      <c r="B33" s="25" t="s">
        <v>30</v>
      </c>
      <c r="C33" s="25" t="s">
        <v>73</v>
      </c>
      <c r="D33" s="25" t="s">
        <v>73</v>
      </c>
      <c r="E33" s="25" t="s">
        <v>83</v>
      </c>
      <c r="F33" s="25" t="s">
        <v>84</v>
      </c>
      <c r="G33" s="25">
        <v>-20.6</v>
      </c>
      <c r="H33" s="25">
        <v>-12.2</v>
      </c>
      <c r="I33" s="30">
        <v>8.4</v>
      </c>
      <c r="J33" s="25">
        <v>-20.399999999999999</v>
      </c>
      <c r="K33" s="25">
        <v>-3.9</v>
      </c>
      <c r="L33" s="25">
        <v>51.4</v>
      </c>
      <c r="M33" s="25">
        <v>60.2</v>
      </c>
      <c r="N33" s="30">
        <v>-8.9</v>
      </c>
      <c r="O33" s="25"/>
      <c r="P33" s="25"/>
      <c r="Q33" s="25"/>
    </row>
    <row r="34" spans="1:17" x14ac:dyDescent="0.25">
      <c r="A34" s="25">
        <v>6</v>
      </c>
      <c r="B34" s="25" t="s">
        <v>30</v>
      </c>
      <c r="C34" s="25" t="s">
        <v>73</v>
      </c>
      <c r="D34" s="25" t="s">
        <v>73</v>
      </c>
      <c r="E34" s="25" t="s">
        <v>85</v>
      </c>
      <c r="F34" s="25" t="s">
        <v>86</v>
      </c>
      <c r="G34" s="25">
        <v>-3.7</v>
      </c>
      <c r="H34" s="25">
        <v>-0.2</v>
      </c>
      <c r="I34" s="30">
        <v>3.5</v>
      </c>
      <c r="J34" s="25">
        <v>6.3</v>
      </c>
      <c r="K34" s="25">
        <v>-6.7</v>
      </c>
      <c r="L34" s="25">
        <v>54.6</v>
      </c>
      <c r="M34" s="25">
        <v>56.8</v>
      </c>
      <c r="N34" s="30">
        <v>-2.1</v>
      </c>
      <c r="O34" s="25"/>
      <c r="P34" s="25"/>
      <c r="Q34" s="25"/>
    </row>
    <row r="35" spans="1:17" x14ac:dyDescent="0.25">
      <c r="A35" s="25">
        <v>6</v>
      </c>
      <c r="B35" s="25" t="s">
        <v>30</v>
      </c>
      <c r="C35" s="25" t="s">
        <v>73</v>
      </c>
      <c r="D35" s="25" t="s">
        <v>73</v>
      </c>
      <c r="E35" s="25" t="s">
        <v>87</v>
      </c>
      <c r="F35" s="25" t="s">
        <v>88</v>
      </c>
      <c r="G35" s="25">
        <v>2</v>
      </c>
      <c r="H35" s="25">
        <v>-2</v>
      </c>
      <c r="I35" s="30">
        <v>-4</v>
      </c>
      <c r="J35" s="25">
        <v>-1.1000000000000001</v>
      </c>
      <c r="K35" s="25">
        <v>3.3</v>
      </c>
      <c r="L35" s="25">
        <v>41.3</v>
      </c>
      <c r="M35" s="25">
        <v>41.5</v>
      </c>
      <c r="N35" s="25">
        <v>-0.2</v>
      </c>
      <c r="O35" s="25"/>
      <c r="P35" s="25"/>
      <c r="Q35" s="25"/>
    </row>
    <row r="36" spans="1:17" x14ac:dyDescent="0.25">
      <c r="A36" s="25">
        <v>6</v>
      </c>
      <c r="B36" s="25" t="s">
        <v>67</v>
      </c>
      <c r="C36" s="25" t="s">
        <v>73</v>
      </c>
      <c r="D36" s="25" t="s">
        <v>73</v>
      </c>
      <c r="E36" s="25" t="s">
        <v>89</v>
      </c>
      <c r="F36" s="25" t="s">
        <v>90</v>
      </c>
      <c r="G36" s="25">
        <v>8.5</v>
      </c>
      <c r="H36" s="25">
        <v>2</v>
      </c>
      <c r="I36" s="30">
        <v>-6.5</v>
      </c>
      <c r="J36" s="25">
        <v>11.3</v>
      </c>
      <c r="K36" s="25">
        <v>0.7</v>
      </c>
      <c r="L36" s="25">
        <v>53.3</v>
      </c>
      <c r="M36" s="25">
        <v>51.5</v>
      </c>
      <c r="N36" s="25">
        <v>1.8</v>
      </c>
      <c r="O36" s="25"/>
      <c r="P36" s="25"/>
      <c r="Q36" s="25"/>
    </row>
    <row r="38" spans="1:17" ht="15.75" customHeight="1" x14ac:dyDescent="0.25">
      <c r="A38" s="24" t="s">
        <v>158</v>
      </c>
    </row>
    <row r="39" spans="1:17" ht="26.25" customHeight="1" x14ac:dyDescent="0.25">
      <c r="A39" s="29" t="s">
        <v>9</v>
      </c>
      <c r="B39" s="29" t="s">
        <v>10</v>
      </c>
      <c r="C39" s="29" t="s">
        <v>11</v>
      </c>
      <c r="D39" s="29" t="s">
        <v>12</v>
      </c>
      <c r="E39" s="29" t="s">
        <v>13</v>
      </c>
      <c r="F39" s="29" t="s">
        <v>14</v>
      </c>
      <c r="G39" s="29" t="s">
        <v>15</v>
      </c>
      <c r="H39" s="29" t="s">
        <v>16</v>
      </c>
      <c r="I39" s="29" t="s">
        <v>17</v>
      </c>
      <c r="J39" s="29" t="s">
        <v>18</v>
      </c>
      <c r="K39" s="29" t="s">
        <v>19</v>
      </c>
      <c r="L39" s="29" t="s">
        <v>20</v>
      </c>
      <c r="M39" s="29" t="s">
        <v>21</v>
      </c>
      <c r="N39" s="29" t="s">
        <v>22</v>
      </c>
      <c r="O39" s="29" t="s">
        <v>23</v>
      </c>
      <c r="P39" s="29" t="s">
        <v>24</v>
      </c>
      <c r="Q39" s="29" t="s">
        <v>25</v>
      </c>
    </row>
    <row r="40" spans="1:17" x14ac:dyDescent="0.25">
      <c r="A40" s="25">
        <v>5</v>
      </c>
      <c r="B40" s="25" t="s">
        <v>161</v>
      </c>
      <c r="C40" s="25" t="s">
        <v>73</v>
      </c>
      <c r="D40" s="25" t="s">
        <v>73</v>
      </c>
      <c r="E40" s="25" t="s">
        <v>90</v>
      </c>
      <c r="F40" s="25" t="s">
        <v>74</v>
      </c>
      <c r="G40" s="25">
        <v>-19.2</v>
      </c>
      <c r="H40" s="25">
        <v>-9.8000000000000007</v>
      </c>
      <c r="I40" s="30">
        <v>9.4</v>
      </c>
      <c r="J40" s="25">
        <v>-16.5</v>
      </c>
      <c r="K40" s="25">
        <v>-10.9</v>
      </c>
      <c r="L40" s="25">
        <v>60.4</v>
      </c>
      <c r="M40" s="25">
        <v>62.5</v>
      </c>
      <c r="N40" s="30">
        <v>-2.1</v>
      </c>
      <c r="O40" s="25">
        <v>24</v>
      </c>
      <c r="P40" s="25">
        <v>17</v>
      </c>
      <c r="Q40" s="31" t="s">
        <v>164</v>
      </c>
    </row>
    <row r="41" spans="1:17" x14ac:dyDescent="0.25">
      <c r="A41" s="25">
        <v>5</v>
      </c>
      <c r="B41" s="25" t="s">
        <v>161</v>
      </c>
      <c r="C41" s="25" t="s">
        <v>73</v>
      </c>
      <c r="D41" s="25" t="s">
        <v>73</v>
      </c>
      <c r="E41" s="25" t="s">
        <v>82</v>
      </c>
      <c r="F41" s="25" t="s">
        <v>87</v>
      </c>
      <c r="G41" s="25">
        <v>8.4</v>
      </c>
      <c r="H41" s="25">
        <v>14.2</v>
      </c>
      <c r="I41" s="30">
        <v>5.8</v>
      </c>
      <c r="J41" s="25">
        <v>7.1</v>
      </c>
      <c r="K41" s="25">
        <v>2.6</v>
      </c>
      <c r="L41" s="25">
        <v>45.9</v>
      </c>
      <c r="M41" s="25">
        <v>46</v>
      </c>
      <c r="N41" s="25">
        <v>-0.1</v>
      </c>
      <c r="O41" s="25">
        <v>31</v>
      </c>
      <c r="P41" s="25">
        <v>14</v>
      </c>
      <c r="Q41" s="30" t="s">
        <v>160</v>
      </c>
    </row>
    <row r="42" spans="1:17" x14ac:dyDescent="0.25">
      <c r="A42" s="25">
        <v>5</v>
      </c>
      <c r="B42" s="25" t="s">
        <v>161</v>
      </c>
      <c r="C42" s="25" t="s">
        <v>73</v>
      </c>
      <c r="D42" s="25" t="s">
        <v>73</v>
      </c>
      <c r="E42" s="25" t="s">
        <v>179</v>
      </c>
      <c r="F42" s="25" t="s">
        <v>89</v>
      </c>
      <c r="G42" s="25">
        <v>0.1</v>
      </c>
      <c r="H42" s="25">
        <v>6.2</v>
      </c>
      <c r="I42" s="30">
        <v>6.1</v>
      </c>
      <c r="J42" s="25">
        <v>4.9000000000000004</v>
      </c>
      <c r="K42" s="25">
        <v>-6.4</v>
      </c>
      <c r="L42" s="25">
        <v>43.8</v>
      </c>
      <c r="M42" s="25">
        <v>42.2</v>
      </c>
      <c r="N42" s="25">
        <v>1.6</v>
      </c>
      <c r="O42" s="25">
        <v>14</v>
      </c>
      <c r="P42" s="25">
        <v>20</v>
      </c>
      <c r="Q42" s="31" t="s">
        <v>164</v>
      </c>
    </row>
    <row r="43" spans="1:17" x14ac:dyDescent="0.25">
      <c r="A43" s="25">
        <v>5</v>
      </c>
      <c r="B43" s="25" t="s">
        <v>161</v>
      </c>
      <c r="C43" s="25" t="s">
        <v>73</v>
      </c>
      <c r="D43" s="25" t="s">
        <v>73</v>
      </c>
      <c r="E43" s="25" t="s">
        <v>81</v>
      </c>
      <c r="F43" s="25" t="s">
        <v>77</v>
      </c>
      <c r="G43" s="25">
        <v>-18.600000000000001</v>
      </c>
      <c r="H43" s="25">
        <v>-15</v>
      </c>
      <c r="I43" s="30">
        <v>3.6</v>
      </c>
      <c r="J43" s="25">
        <v>-12.9</v>
      </c>
      <c r="K43" s="25">
        <v>-14.9</v>
      </c>
      <c r="L43" s="25">
        <v>52.2</v>
      </c>
      <c r="M43" s="25">
        <v>52.5</v>
      </c>
      <c r="N43" s="25">
        <v>-0.3</v>
      </c>
      <c r="O43" s="25">
        <v>23</v>
      </c>
      <c r="P43" s="25">
        <v>48</v>
      </c>
      <c r="Q43" s="30" t="s">
        <v>160</v>
      </c>
    </row>
    <row r="44" spans="1:17" x14ac:dyDescent="0.25">
      <c r="A44" s="25">
        <v>5</v>
      </c>
      <c r="B44" s="25" t="s">
        <v>161</v>
      </c>
      <c r="C44" s="25" t="s">
        <v>73</v>
      </c>
      <c r="D44" s="25" t="s">
        <v>73</v>
      </c>
      <c r="E44" s="25" t="s">
        <v>86</v>
      </c>
      <c r="F44" s="25" t="s">
        <v>80</v>
      </c>
      <c r="G44" s="25">
        <v>3.5</v>
      </c>
      <c r="H44" s="25">
        <v>2.8</v>
      </c>
      <c r="I44" s="25">
        <v>-0.7</v>
      </c>
      <c r="J44" s="25">
        <v>0.7</v>
      </c>
      <c r="K44" s="25">
        <v>0.3</v>
      </c>
      <c r="L44" s="25">
        <v>49.9</v>
      </c>
      <c r="M44" s="25">
        <v>46.8</v>
      </c>
      <c r="N44" s="30">
        <v>3.1</v>
      </c>
      <c r="O44" s="25">
        <v>13</v>
      </c>
      <c r="P44" s="25">
        <v>34</v>
      </c>
      <c r="Q44" s="31" t="s">
        <v>164</v>
      </c>
    </row>
    <row r="45" spans="1:17" x14ac:dyDescent="0.25">
      <c r="A45" s="25">
        <v>5</v>
      </c>
      <c r="B45" s="25" t="s">
        <v>161</v>
      </c>
      <c r="C45" s="25" t="s">
        <v>73</v>
      </c>
      <c r="D45" s="25" t="s">
        <v>73</v>
      </c>
      <c r="E45" s="25" t="s">
        <v>88</v>
      </c>
      <c r="F45" s="25" t="s">
        <v>85</v>
      </c>
      <c r="G45" s="25">
        <v>-4.4000000000000004</v>
      </c>
      <c r="H45" s="25">
        <v>-8.1999999999999993</v>
      </c>
      <c r="I45" s="30">
        <v>-3.9</v>
      </c>
      <c r="J45" s="25">
        <v>-5.4</v>
      </c>
      <c r="K45" s="25">
        <v>-11.6</v>
      </c>
      <c r="L45" s="25">
        <v>51.4</v>
      </c>
      <c r="M45" s="25">
        <v>58.2</v>
      </c>
      <c r="N45" s="30">
        <v>-6.8</v>
      </c>
      <c r="O45" s="25">
        <v>21</v>
      </c>
      <c r="P45" s="25">
        <v>25</v>
      </c>
      <c r="Q45" s="30" t="s">
        <v>160</v>
      </c>
    </row>
    <row r="46" spans="1:17" x14ac:dyDescent="0.25">
      <c r="A46" s="25">
        <v>5</v>
      </c>
      <c r="B46" s="25" t="s">
        <v>161</v>
      </c>
      <c r="C46" s="25" t="s">
        <v>73</v>
      </c>
      <c r="D46" s="25" t="s">
        <v>73</v>
      </c>
      <c r="E46" s="25" t="s">
        <v>75</v>
      </c>
      <c r="F46" s="25" t="s">
        <v>180</v>
      </c>
      <c r="G46" s="25">
        <v>-4.5</v>
      </c>
      <c r="H46" s="25">
        <v>-8.8000000000000007</v>
      </c>
      <c r="I46" s="30">
        <v>-4.3</v>
      </c>
      <c r="J46" s="25">
        <v>-9.5</v>
      </c>
      <c r="K46" s="25">
        <v>-9.4</v>
      </c>
      <c r="L46" s="25">
        <v>44.8</v>
      </c>
      <c r="M46" s="25">
        <v>43.2</v>
      </c>
      <c r="N46" s="25">
        <v>1.5</v>
      </c>
      <c r="O46" s="25">
        <v>3</v>
      </c>
      <c r="P46" s="25">
        <v>31</v>
      </c>
      <c r="Q46" s="30" t="s">
        <v>160</v>
      </c>
    </row>
    <row r="47" spans="1:17" x14ac:dyDescent="0.25">
      <c r="A47" s="25">
        <v>5</v>
      </c>
      <c r="B47" s="25" t="s">
        <v>176</v>
      </c>
      <c r="C47" s="25" t="s">
        <v>73</v>
      </c>
      <c r="D47" s="25" t="s">
        <v>73</v>
      </c>
      <c r="E47" s="25" t="s">
        <v>76</v>
      </c>
      <c r="F47" s="25" t="s">
        <v>181</v>
      </c>
      <c r="G47" s="25">
        <v>26.9</v>
      </c>
      <c r="H47" s="25">
        <v>24.2</v>
      </c>
      <c r="I47" s="30">
        <v>-2.7</v>
      </c>
      <c r="J47" s="25">
        <v>18.7</v>
      </c>
      <c r="K47" s="25">
        <v>11.1</v>
      </c>
      <c r="L47" s="25">
        <v>53.8</v>
      </c>
      <c r="M47" s="25">
        <v>56.8</v>
      </c>
      <c r="N47" s="30">
        <v>-2.9</v>
      </c>
      <c r="O47" s="25">
        <v>47</v>
      </c>
      <c r="P47" s="25">
        <v>15</v>
      </c>
      <c r="Q47" s="30" t="s">
        <v>160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505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506</v>
      </c>
      <c r="C3" s="28">
        <v>0.628</v>
      </c>
    </row>
    <row r="4" spans="1:6" x14ac:dyDescent="0.25">
      <c r="A4" s="25" t="s">
        <v>6</v>
      </c>
      <c r="B4" s="25" t="s">
        <v>507</v>
      </c>
      <c r="C4" s="28">
        <v>0.33300000000000002</v>
      </c>
    </row>
    <row r="6" spans="1:6" ht="15.6" customHeight="1" x14ac:dyDescent="0.25">
      <c r="A6" s="24" t="s">
        <v>508</v>
      </c>
    </row>
    <row r="7" spans="1:6" x14ac:dyDescent="0.25">
      <c r="A7" s="34" t="s">
        <v>313</v>
      </c>
      <c r="B7" s="34" t="s">
        <v>488</v>
      </c>
      <c r="C7" s="34" t="s">
        <v>489</v>
      </c>
      <c r="D7" s="34" t="s">
        <v>490</v>
      </c>
      <c r="E7" s="34" t="s">
        <v>491</v>
      </c>
      <c r="F7" s="34" t="s">
        <v>492</v>
      </c>
    </row>
    <row r="8" spans="1:6" x14ac:dyDescent="0.25">
      <c r="A8" s="25" t="s">
        <v>98</v>
      </c>
      <c r="B8" s="25">
        <v>1</v>
      </c>
      <c r="C8" s="25">
        <v>0</v>
      </c>
      <c r="D8" s="25">
        <v>1</v>
      </c>
      <c r="E8" s="25">
        <v>4</v>
      </c>
      <c r="F8" s="25">
        <v>1</v>
      </c>
    </row>
    <row r="9" spans="1:6" x14ac:dyDescent="0.25">
      <c r="A9" s="25" t="s">
        <v>95</v>
      </c>
      <c r="B9" s="25">
        <v>1</v>
      </c>
      <c r="C9" s="25">
        <v>0</v>
      </c>
      <c r="D9" s="25">
        <v>1</v>
      </c>
      <c r="E9" s="25">
        <v>3</v>
      </c>
      <c r="F9" s="25">
        <v>2</v>
      </c>
    </row>
    <row r="10" spans="1:6" x14ac:dyDescent="0.25">
      <c r="A10" s="25" t="s">
        <v>93</v>
      </c>
      <c r="B10" s="25">
        <v>1</v>
      </c>
      <c r="C10" s="25">
        <v>0</v>
      </c>
      <c r="D10" s="25">
        <v>1</v>
      </c>
      <c r="E10" s="25">
        <v>2</v>
      </c>
      <c r="F10" s="25">
        <v>3</v>
      </c>
    </row>
    <row r="11" spans="1:6" x14ac:dyDescent="0.25">
      <c r="A11" s="25" t="s">
        <v>94</v>
      </c>
      <c r="B11" s="25">
        <v>0</v>
      </c>
      <c r="C11" s="25">
        <v>0</v>
      </c>
      <c r="D11" s="25"/>
      <c r="E11" s="25">
        <v>2</v>
      </c>
      <c r="F11" s="25">
        <v>2</v>
      </c>
    </row>
    <row r="12" spans="1:6" x14ac:dyDescent="0.25">
      <c r="A12" s="25" t="s">
        <v>182</v>
      </c>
      <c r="B12" s="25">
        <v>0</v>
      </c>
      <c r="C12" s="25">
        <v>1</v>
      </c>
      <c r="D12" s="25">
        <v>0</v>
      </c>
      <c r="E12" s="25">
        <v>2</v>
      </c>
      <c r="F12" s="25">
        <v>3</v>
      </c>
    </row>
    <row r="13" spans="1:6" x14ac:dyDescent="0.25">
      <c r="A13" s="25" t="s">
        <v>174</v>
      </c>
      <c r="B13" s="25">
        <v>0</v>
      </c>
      <c r="C13" s="25">
        <v>1</v>
      </c>
      <c r="D13" s="25">
        <v>0</v>
      </c>
      <c r="E13" s="25">
        <v>2</v>
      </c>
      <c r="F13" s="25">
        <v>3</v>
      </c>
    </row>
    <row r="14" spans="1:6" ht="26.45" customHeight="1" x14ac:dyDescent="0.25">
      <c r="A14" s="25" t="s">
        <v>96</v>
      </c>
      <c r="B14" s="25">
        <v>0</v>
      </c>
      <c r="C14" s="25">
        <v>0</v>
      </c>
      <c r="D14" s="25"/>
      <c r="E14" s="25">
        <v>1</v>
      </c>
      <c r="F14" s="25">
        <v>3</v>
      </c>
    </row>
    <row r="15" spans="1:6" x14ac:dyDescent="0.25">
      <c r="A15" s="25" t="s">
        <v>99</v>
      </c>
      <c r="B15" s="25">
        <v>0</v>
      </c>
      <c r="C15" s="25">
        <v>0</v>
      </c>
      <c r="D15" s="25"/>
      <c r="E15" s="25">
        <v>1</v>
      </c>
      <c r="F15" s="25">
        <v>3</v>
      </c>
    </row>
    <row r="16" spans="1:6" x14ac:dyDescent="0.25">
      <c r="A16" s="25" t="s">
        <v>97</v>
      </c>
      <c r="B16" s="25">
        <v>0</v>
      </c>
      <c r="C16" s="25">
        <v>0</v>
      </c>
      <c r="D16" s="25"/>
      <c r="E16" s="25">
        <v>1</v>
      </c>
      <c r="F16" s="25">
        <v>3</v>
      </c>
    </row>
    <row r="17" spans="1:17" x14ac:dyDescent="0.25">
      <c r="A17" s="25" t="s">
        <v>100</v>
      </c>
      <c r="B17" s="25">
        <v>0</v>
      </c>
      <c r="C17" s="25">
        <v>1</v>
      </c>
      <c r="D17" s="25">
        <v>0</v>
      </c>
      <c r="E17" s="25">
        <v>1</v>
      </c>
      <c r="F17" s="25">
        <v>4</v>
      </c>
    </row>
    <row r="19" spans="1:17" ht="26.45" customHeight="1" x14ac:dyDescent="0.25">
      <c r="A19" s="24" t="s">
        <v>8</v>
      </c>
    </row>
    <row r="20" spans="1:17" ht="26.25" customHeight="1" x14ac:dyDescent="0.25">
      <c r="A20" s="29" t="s">
        <v>9</v>
      </c>
      <c r="B20" s="29" t="s">
        <v>10</v>
      </c>
      <c r="C20" s="29" t="s">
        <v>11</v>
      </c>
      <c r="D20" s="29" t="s">
        <v>12</v>
      </c>
      <c r="E20" s="29" t="s">
        <v>13</v>
      </c>
      <c r="F20" s="29" t="s">
        <v>14</v>
      </c>
      <c r="G20" s="29" t="s">
        <v>15</v>
      </c>
      <c r="H20" s="29" t="s">
        <v>16</v>
      </c>
      <c r="I20" s="29" t="s">
        <v>17</v>
      </c>
      <c r="J20" s="29" t="s">
        <v>18</v>
      </c>
      <c r="K20" s="29" t="s">
        <v>19</v>
      </c>
      <c r="L20" s="29" t="s">
        <v>20</v>
      </c>
      <c r="M20" s="29" t="s">
        <v>21</v>
      </c>
      <c r="N20" s="29" t="s">
        <v>22</v>
      </c>
      <c r="O20" s="29" t="s">
        <v>23</v>
      </c>
      <c r="P20" s="29" t="s">
        <v>24</v>
      </c>
      <c r="Q20" s="29" t="s">
        <v>25</v>
      </c>
    </row>
    <row r="21" spans="1:17" x14ac:dyDescent="0.25">
      <c r="A21" s="25">
        <v>6</v>
      </c>
      <c r="B21" s="25" t="s">
        <v>91</v>
      </c>
      <c r="C21" s="25" t="s">
        <v>92</v>
      </c>
      <c r="D21" s="25" t="s">
        <v>92</v>
      </c>
      <c r="E21" s="25" t="s">
        <v>93</v>
      </c>
      <c r="F21" s="25" t="s">
        <v>94</v>
      </c>
      <c r="G21" s="25">
        <v>-7.5</v>
      </c>
      <c r="H21" s="25">
        <v>-4.5</v>
      </c>
      <c r="I21" s="30">
        <v>3</v>
      </c>
      <c r="J21" s="25">
        <v>-6.3</v>
      </c>
      <c r="K21" s="25">
        <v>-6.7</v>
      </c>
      <c r="L21" s="25">
        <v>52.1</v>
      </c>
      <c r="M21" s="25">
        <v>47</v>
      </c>
      <c r="N21" s="30">
        <v>5.0999999999999996</v>
      </c>
      <c r="O21" s="25"/>
      <c r="P21" s="25"/>
      <c r="Q21" s="25"/>
    </row>
    <row r="22" spans="1:17" x14ac:dyDescent="0.25">
      <c r="A22" s="25">
        <v>6</v>
      </c>
      <c r="B22" s="25" t="s">
        <v>91</v>
      </c>
      <c r="C22" s="25" t="s">
        <v>92</v>
      </c>
      <c r="D22" s="25" t="s">
        <v>92</v>
      </c>
      <c r="E22" s="25" t="s">
        <v>95</v>
      </c>
      <c r="F22" s="25" t="s">
        <v>96</v>
      </c>
      <c r="G22" s="25">
        <v>1.5</v>
      </c>
      <c r="H22" s="25">
        <v>2.8</v>
      </c>
      <c r="I22" s="25">
        <v>1.2</v>
      </c>
      <c r="J22" s="25">
        <v>7.8</v>
      </c>
      <c r="K22" s="25">
        <v>-1.8</v>
      </c>
      <c r="L22" s="25">
        <v>54.2</v>
      </c>
      <c r="M22" s="25">
        <v>49.2</v>
      </c>
      <c r="N22" s="30">
        <v>5</v>
      </c>
      <c r="O22" s="25"/>
      <c r="P22" s="25"/>
      <c r="Q22" s="25"/>
    </row>
    <row r="23" spans="1:17" x14ac:dyDescent="0.25">
      <c r="A23" s="25">
        <v>6</v>
      </c>
      <c r="B23" s="25" t="s">
        <v>41</v>
      </c>
      <c r="C23" s="25" t="s">
        <v>92</v>
      </c>
      <c r="D23" s="25" t="s">
        <v>92</v>
      </c>
      <c r="E23" s="25" t="s">
        <v>97</v>
      </c>
      <c r="F23" s="25" t="s">
        <v>98</v>
      </c>
      <c r="G23" s="25">
        <v>-17.3</v>
      </c>
      <c r="H23" s="25">
        <v>-14</v>
      </c>
      <c r="I23" s="30">
        <v>3.3</v>
      </c>
      <c r="J23" s="25">
        <v>-14.8</v>
      </c>
      <c r="K23" s="25">
        <v>-12.7</v>
      </c>
      <c r="L23" s="25">
        <v>52.1</v>
      </c>
      <c r="M23" s="25">
        <v>52.5</v>
      </c>
      <c r="N23" s="25">
        <v>-0.4</v>
      </c>
      <c r="O23" s="25"/>
      <c r="P23" s="25"/>
      <c r="Q23" s="25"/>
    </row>
    <row r="24" spans="1:17" x14ac:dyDescent="0.25">
      <c r="A24" s="25">
        <v>6</v>
      </c>
      <c r="B24" s="25" t="s">
        <v>41</v>
      </c>
      <c r="C24" s="25" t="s">
        <v>92</v>
      </c>
      <c r="D24" s="25" t="s">
        <v>92</v>
      </c>
      <c r="E24" s="25" t="s">
        <v>99</v>
      </c>
      <c r="F24" s="25" t="s">
        <v>100</v>
      </c>
      <c r="G24" s="25">
        <v>-4.4000000000000004</v>
      </c>
      <c r="H24" s="25">
        <v>-2.5</v>
      </c>
      <c r="I24" s="25">
        <v>1.9</v>
      </c>
      <c r="J24" s="25">
        <v>-8.1999999999999993</v>
      </c>
      <c r="K24" s="25">
        <v>0.5</v>
      </c>
      <c r="L24" s="25">
        <v>55.9</v>
      </c>
      <c r="M24" s="25">
        <v>55.5</v>
      </c>
      <c r="N24" s="25">
        <v>0.4</v>
      </c>
      <c r="O24" s="25"/>
      <c r="P24" s="25"/>
      <c r="Q24" s="25"/>
    </row>
    <row r="26" spans="1:17" ht="15.75" customHeight="1" x14ac:dyDescent="0.25">
      <c r="A26" s="24" t="s">
        <v>158</v>
      </c>
    </row>
    <row r="27" spans="1:17" ht="26.25" customHeight="1" x14ac:dyDescent="0.25">
      <c r="A27" s="29" t="s">
        <v>9</v>
      </c>
      <c r="B27" s="29" t="s">
        <v>10</v>
      </c>
      <c r="C27" s="29" t="s">
        <v>11</v>
      </c>
      <c r="D27" s="29" t="s">
        <v>12</v>
      </c>
      <c r="E27" s="29" t="s">
        <v>13</v>
      </c>
      <c r="F27" s="29" t="s">
        <v>14</v>
      </c>
      <c r="G27" s="29" t="s">
        <v>15</v>
      </c>
      <c r="H27" s="29" t="s">
        <v>16</v>
      </c>
      <c r="I27" s="29" t="s">
        <v>17</v>
      </c>
      <c r="J27" s="29" t="s">
        <v>18</v>
      </c>
      <c r="K27" s="29" t="s">
        <v>19</v>
      </c>
      <c r="L27" s="29" t="s">
        <v>20</v>
      </c>
      <c r="M27" s="29" t="s">
        <v>21</v>
      </c>
      <c r="N27" s="29" t="s">
        <v>22</v>
      </c>
      <c r="O27" s="29" t="s">
        <v>23</v>
      </c>
      <c r="P27" s="29" t="s">
        <v>24</v>
      </c>
      <c r="Q27" s="29" t="s">
        <v>25</v>
      </c>
    </row>
    <row r="28" spans="1:17" x14ac:dyDescent="0.25">
      <c r="A28" s="25">
        <v>5</v>
      </c>
      <c r="B28" s="25" t="s">
        <v>161</v>
      </c>
      <c r="C28" s="25" t="s">
        <v>58</v>
      </c>
      <c r="D28" s="25" t="s">
        <v>92</v>
      </c>
      <c r="E28" s="25" t="s">
        <v>174</v>
      </c>
      <c r="F28" s="25" t="s">
        <v>71</v>
      </c>
      <c r="G28" s="25">
        <v>-21.2</v>
      </c>
      <c r="H28" s="25">
        <v>-21</v>
      </c>
      <c r="I28" s="25">
        <v>0.2</v>
      </c>
      <c r="J28" s="25">
        <v>-19.5</v>
      </c>
      <c r="K28" s="25">
        <v>-7.1</v>
      </c>
      <c r="L28" s="25">
        <v>54.2</v>
      </c>
      <c r="M28" s="25">
        <v>51</v>
      </c>
      <c r="N28" s="30">
        <v>3.2</v>
      </c>
      <c r="O28" s="25">
        <v>0</v>
      </c>
      <c r="P28" s="25">
        <v>55</v>
      </c>
      <c r="Q28" s="30" t="s">
        <v>160</v>
      </c>
    </row>
    <row r="29" spans="1:17" x14ac:dyDescent="0.25">
      <c r="A29" s="25">
        <v>5</v>
      </c>
      <c r="B29" s="25" t="s">
        <v>159</v>
      </c>
      <c r="C29" s="25" t="s">
        <v>92</v>
      </c>
      <c r="D29" s="25" t="s">
        <v>92</v>
      </c>
      <c r="E29" s="25" t="s">
        <v>98</v>
      </c>
      <c r="F29" s="25" t="s">
        <v>182</v>
      </c>
      <c r="G29" s="25">
        <v>-0.7</v>
      </c>
      <c r="H29" s="25">
        <v>7</v>
      </c>
      <c r="I29" s="30">
        <v>7.7</v>
      </c>
      <c r="J29" s="25">
        <v>-0.5</v>
      </c>
      <c r="K29" s="25">
        <v>4.3</v>
      </c>
      <c r="L29" s="25">
        <v>50.9</v>
      </c>
      <c r="M29" s="25">
        <v>51.5</v>
      </c>
      <c r="N29" s="25">
        <v>-0.6</v>
      </c>
      <c r="O29" s="25">
        <v>30</v>
      </c>
      <c r="P29" s="25">
        <v>14</v>
      </c>
      <c r="Q29" s="31" t="s">
        <v>164</v>
      </c>
    </row>
    <row r="30" spans="1:17" x14ac:dyDescent="0.25">
      <c r="A30" s="25">
        <v>5</v>
      </c>
      <c r="B30" s="25" t="s">
        <v>159</v>
      </c>
      <c r="C30" s="25" t="s">
        <v>92</v>
      </c>
      <c r="D30" s="25" t="s">
        <v>92</v>
      </c>
      <c r="E30" s="25" t="s">
        <v>100</v>
      </c>
      <c r="F30" s="25" t="s">
        <v>93</v>
      </c>
      <c r="G30" s="25">
        <v>4.2</v>
      </c>
      <c r="H30" s="25">
        <v>-1.5</v>
      </c>
      <c r="I30" s="30">
        <v>-5.7</v>
      </c>
      <c r="J30" s="25">
        <v>9.8000000000000007</v>
      </c>
      <c r="K30" s="25">
        <v>-8</v>
      </c>
      <c r="L30" s="25">
        <v>55.6</v>
      </c>
      <c r="M30" s="25">
        <v>55.8</v>
      </c>
      <c r="N30" s="25">
        <v>-0.2</v>
      </c>
      <c r="O30" s="25">
        <v>13</v>
      </c>
      <c r="P30" s="25">
        <v>34</v>
      </c>
      <c r="Q30" s="31" t="s">
        <v>164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19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15.6" customHeight="1" x14ac:dyDescent="0.25">
      <c r="A1" s="24" t="s">
        <v>509</v>
      </c>
    </row>
    <row r="2" spans="1:17" x14ac:dyDescent="0.25">
      <c r="A2" s="33" t="s">
        <v>1</v>
      </c>
      <c r="B2" s="33" t="s">
        <v>2</v>
      </c>
      <c r="C2" s="33" t="s">
        <v>3</v>
      </c>
    </row>
    <row r="3" spans="1:17" x14ac:dyDescent="0.25">
      <c r="A3" s="25" t="s">
        <v>4</v>
      </c>
      <c r="B3" s="25" t="s">
        <v>510</v>
      </c>
      <c r="C3" s="28">
        <v>0.7</v>
      </c>
    </row>
    <row r="4" spans="1:17" x14ac:dyDescent="0.25">
      <c r="A4" s="25" t="s">
        <v>6</v>
      </c>
      <c r="B4" s="25" t="s">
        <v>511</v>
      </c>
      <c r="C4" s="28">
        <v>0.5</v>
      </c>
    </row>
    <row r="6" spans="1:17" ht="26.45" customHeight="1" x14ac:dyDescent="0.25">
      <c r="A6" s="24" t="s">
        <v>512</v>
      </c>
    </row>
    <row r="7" spans="1:17" x14ac:dyDescent="0.25">
      <c r="A7" s="34" t="s">
        <v>313</v>
      </c>
      <c r="B7" s="34" t="s">
        <v>488</v>
      </c>
      <c r="C7" s="34" t="s">
        <v>489</v>
      </c>
      <c r="D7" s="34" t="s">
        <v>490</v>
      </c>
      <c r="E7" s="34" t="s">
        <v>491</v>
      </c>
      <c r="F7" s="34" t="s">
        <v>492</v>
      </c>
    </row>
    <row r="8" spans="1:17" x14ac:dyDescent="0.25">
      <c r="A8" s="25" t="s">
        <v>102</v>
      </c>
      <c r="B8" s="25">
        <v>0</v>
      </c>
      <c r="C8" s="25">
        <v>0</v>
      </c>
      <c r="D8" s="25"/>
      <c r="E8" s="25">
        <v>5</v>
      </c>
      <c r="F8" s="25">
        <v>0</v>
      </c>
    </row>
    <row r="9" spans="1:17" x14ac:dyDescent="0.25">
      <c r="A9" s="25" t="s">
        <v>56</v>
      </c>
      <c r="B9" s="25">
        <v>0</v>
      </c>
      <c r="C9" s="25">
        <v>0</v>
      </c>
      <c r="D9" s="25"/>
      <c r="E9" s="25">
        <v>2</v>
      </c>
      <c r="F9" s="25">
        <v>3</v>
      </c>
    </row>
    <row r="11" spans="1:17" ht="26.45" customHeight="1" x14ac:dyDescent="0.25">
      <c r="A11" s="24" t="s">
        <v>8</v>
      </c>
    </row>
    <row r="12" spans="1:17" ht="26.25" customHeight="1" x14ac:dyDescent="0.25">
      <c r="A12" s="29" t="s">
        <v>9</v>
      </c>
      <c r="B12" s="29" t="s">
        <v>10</v>
      </c>
      <c r="C12" s="29" t="s">
        <v>11</v>
      </c>
      <c r="D12" s="29" t="s">
        <v>12</v>
      </c>
      <c r="E12" s="29" t="s">
        <v>13</v>
      </c>
      <c r="F12" s="29" t="s">
        <v>14</v>
      </c>
      <c r="G12" s="29" t="s">
        <v>15</v>
      </c>
      <c r="H12" s="29" t="s">
        <v>16</v>
      </c>
      <c r="I12" s="29" t="s">
        <v>17</v>
      </c>
      <c r="J12" s="29" t="s">
        <v>18</v>
      </c>
      <c r="K12" s="29" t="s">
        <v>19</v>
      </c>
      <c r="L12" s="29" t="s">
        <v>20</v>
      </c>
      <c r="M12" s="29" t="s">
        <v>21</v>
      </c>
      <c r="N12" s="29" t="s">
        <v>22</v>
      </c>
      <c r="O12" s="29" t="s">
        <v>23</v>
      </c>
      <c r="P12" s="29" t="s">
        <v>24</v>
      </c>
      <c r="Q12" s="29" t="s">
        <v>25</v>
      </c>
    </row>
    <row r="13" spans="1:17" x14ac:dyDescent="0.25">
      <c r="A13" s="25">
        <v>6</v>
      </c>
      <c r="B13" s="25" t="s">
        <v>30</v>
      </c>
      <c r="C13" s="25" t="s">
        <v>42</v>
      </c>
      <c r="D13" s="25" t="s">
        <v>55</v>
      </c>
      <c r="E13" s="25" t="s">
        <v>56</v>
      </c>
      <c r="F13" s="25" t="s">
        <v>57</v>
      </c>
      <c r="G13" s="25">
        <v>-9.1999999999999993</v>
      </c>
      <c r="H13" s="25">
        <v>-4</v>
      </c>
      <c r="I13" s="30">
        <v>5.2</v>
      </c>
      <c r="J13" s="25">
        <v>-7.8</v>
      </c>
      <c r="K13" s="25">
        <v>-3.2</v>
      </c>
      <c r="L13" s="25">
        <v>58.5</v>
      </c>
      <c r="M13" s="25">
        <v>54.5</v>
      </c>
      <c r="N13" s="30">
        <v>4</v>
      </c>
      <c r="O13" s="25"/>
      <c r="P13" s="25"/>
      <c r="Q13" s="25"/>
    </row>
    <row r="14" spans="1:17" x14ac:dyDescent="0.25">
      <c r="A14" s="25">
        <v>6</v>
      </c>
      <c r="B14" s="25" t="s">
        <v>30</v>
      </c>
      <c r="C14" s="25" t="s">
        <v>55</v>
      </c>
      <c r="D14" s="25" t="s">
        <v>27</v>
      </c>
      <c r="E14" s="25" t="s">
        <v>101</v>
      </c>
      <c r="F14" s="25" t="s">
        <v>102</v>
      </c>
      <c r="G14" s="25">
        <v>-34.6</v>
      </c>
      <c r="H14" s="25">
        <v>-38</v>
      </c>
      <c r="I14" s="30">
        <v>-3.4</v>
      </c>
      <c r="J14" s="25">
        <v>-38.799999999999997</v>
      </c>
      <c r="K14" s="25">
        <v>-38.200000000000003</v>
      </c>
      <c r="L14" s="25">
        <v>54.6</v>
      </c>
      <c r="M14" s="25">
        <v>54.5</v>
      </c>
      <c r="N14" s="25">
        <v>0.1</v>
      </c>
      <c r="O14" s="25"/>
      <c r="P14" s="25"/>
      <c r="Q14" s="25"/>
    </row>
    <row r="16" spans="1:17" ht="15.75" customHeight="1" x14ac:dyDescent="0.25">
      <c r="A16" s="24" t="s">
        <v>158</v>
      </c>
    </row>
    <row r="17" spans="1:17" ht="26.25" customHeight="1" x14ac:dyDescent="0.25">
      <c r="A17" s="29" t="s">
        <v>9</v>
      </c>
      <c r="B17" s="29" t="s">
        <v>10</v>
      </c>
      <c r="C17" s="29" t="s">
        <v>11</v>
      </c>
      <c r="D17" s="29" t="s">
        <v>12</v>
      </c>
      <c r="E17" s="29" t="s">
        <v>13</v>
      </c>
      <c r="F17" s="29" t="s">
        <v>14</v>
      </c>
      <c r="G17" s="29" t="s">
        <v>15</v>
      </c>
      <c r="H17" s="29" t="s">
        <v>16</v>
      </c>
      <c r="I17" s="29" t="s">
        <v>17</v>
      </c>
      <c r="J17" s="29" t="s">
        <v>18</v>
      </c>
      <c r="K17" s="29" t="s">
        <v>19</v>
      </c>
      <c r="L17" s="29" t="s">
        <v>20</v>
      </c>
      <c r="M17" s="29" t="s">
        <v>21</v>
      </c>
      <c r="N17" s="29" t="s">
        <v>22</v>
      </c>
      <c r="O17" s="29" t="s">
        <v>23</v>
      </c>
      <c r="P17" s="29" t="s">
        <v>24</v>
      </c>
      <c r="Q17" s="29" t="s">
        <v>25</v>
      </c>
    </row>
    <row r="18" spans="1:17" x14ac:dyDescent="0.25">
      <c r="A18" s="25">
        <v>5</v>
      </c>
      <c r="B18" s="25" t="s">
        <v>161</v>
      </c>
      <c r="C18" s="25" t="s">
        <v>27</v>
      </c>
      <c r="D18" s="25" t="s">
        <v>55</v>
      </c>
      <c r="E18" s="25" t="s">
        <v>102</v>
      </c>
      <c r="F18" s="25" t="s">
        <v>37</v>
      </c>
      <c r="G18" s="25">
        <v>23.1</v>
      </c>
      <c r="H18" s="25">
        <v>21</v>
      </c>
      <c r="I18" s="30">
        <v>-2.1</v>
      </c>
      <c r="J18" s="25">
        <v>11.2</v>
      </c>
      <c r="K18" s="25">
        <v>12.6</v>
      </c>
      <c r="L18" s="25">
        <v>48.3</v>
      </c>
      <c r="M18" s="25">
        <v>46.5</v>
      </c>
      <c r="N18" s="25">
        <v>1.8</v>
      </c>
      <c r="O18" s="25">
        <v>37</v>
      </c>
      <c r="P18" s="25">
        <v>26</v>
      </c>
      <c r="Q18" s="30" t="s">
        <v>160</v>
      </c>
    </row>
    <row r="19" spans="1:17" x14ac:dyDescent="0.25">
      <c r="A19" s="25">
        <v>5</v>
      </c>
      <c r="B19" s="25" t="s">
        <v>161</v>
      </c>
      <c r="C19" s="25" t="s">
        <v>55</v>
      </c>
      <c r="D19" s="25" t="s">
        <v>27</v>
      </c>
      <c r="E19" s="25" t="s">
        <v>39</v>
      </c>
      <c r="F19" s="25" t="s">
        <v>56</v>
      </c>
      <c r="G19" s="25">
        <v>-0.8</v>
      </c>
      <c r="H19" s="25">
        <v>6.5</v>
      </c>
      <c r="I19" s="30">
        <v>7.3</v>
      </c>
      <c r="J19" s="25">
        <v>-9.9</v>
      </c>
      <c r="K19" s="25">
        <v>-1.9</v>
      </c>
      <c r="L19" s="25">
        <v>47.9</v>
      </c>
      <c r="M19" s="25">
        <v>51</v>
      </c>
      <c r="N19" s="30">
        <v>-3.1</v>
      </c>
      <c r="O19" s="25">
        <v>42</v>
      </c>
      <c r="P19" s="25">
        <v>41</v>
      </c>
      <c r="Q19" s="31" t="s">
        <v>164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39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513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514</v>
      </c>
      <c r="C3" s="28">
        <v>0.51800000000000002</v>
      </c>
    </row>
    <row r="4" spans="1:6" x14ac:dyDescent="0.25">
      <c r="A4" s="25" t="s">
        <v>6</v>
      </c>
      <c r="B4" s="25" t="s">
        <v>515</v>
      </c>
      <c r="C4" s="28">
        <v>0.5</v>
      </c>
    </row>
    <row r="6" spans="1:6" ht="15.6" customHeight="1" x14ac:dyDescent="0.25">
      <c r="A6" s="24" t="s">
        <v>516</v>
      </c>
    </row>
    <row r="7" spans="1:6" x14ac:dyDescent="0.25">
      <c r="A7" s="34" t="s">
        <v>313</v>
      </c>
      <c r="B7" s="34" t="s">
        <v>488</v>
      </c>
      <c r="C7" s="34" t="s">
        <v>489</v>
      </c>
      <c r="D7" s="34" t="s">
        <v>490</v>
      </c>
      <c r="E7" s="34" t="s">
        <v>491</v>
      </c>
      <c r="F7" s="34" t="s">
        <v>492</v>
      </c>
    </row>
    <row r="8" spans="1:6" x14ac:dyDescent="0.25">
      <c r="A8" s="25" t="s">
        <v>103</v>
      </c>
      <c r="B8" s="25">
        <v>2</v>
      </c>
      <c r="C8" s="25">
        <v>0</v>
      </c>
      <c r="D8" s="25">
        <v>1</v>
      </c>
      <c r="E8" s="25">
        <v>3</v>
      </c>
      <c r="F8" s="25">
        <v>3</v>
      </c>
    </row>
    <row r="9" spans="1:6" x14ac:dyDescent="0.25">
      <c r="A9" s="25" t="s">
        <v>112</v>
      </c>
      <c r="B9" s="25">
        <v>1</v>
      </c>
      <c r="C9" s="25">
        <v>0</v>
      </c>
      <c r="D9" s="25">
        <v>1</v>
      </c>
      <c r="E9" s="25">
        <v>4</v>
      </c>
      <c r="F9" s="25">
        <v>1</v>
      </c>
    </row>
    <row r="10" spans="1:6" x14ac:dyDescent="0.25">
      <c r="A10" s="25" t="s">
        <v>109</v>
      </c>
      <c r="B10" s="25">
        <v>1</v>
      </c>
      <c r="C10" s="25">
        <v>0</v>
      </c>
      <c r="D10" s="25">
        <v>1</v>
      </c>
      <c r="E10" s="25">
        <v>3</v>
      </c>
      <c r="F10" s="25">
        <v>2</v>
      </c>
    </row>
    <row r="11" spans="1:6" x14ac:dyDescent="0.25">
      <c r="A11" s="25" t="s">
        <v>110</v>
      </c>
      <c r="B11" s="25">
        <v>1</v>
      </c>
      <c r="C11" s="25">
        <v>0</v>
      </c>
      <c r="D11" s="25">
        <v>1</v>
      </c>
      <c r="E11" s="25">
        <v>3</v>
      </c>
      <c r="F11" s="25">
        <v>2</v>
      </c>
    </row>
    <row r="12" spans="1:6" x14ac:dyDescent="0.25">
      <c r="A12" s="25" t="s">
        <v>114</v>
      </c>
      <c r="B12" s="25">
        <v>1</v>
      </c>
      <c r="C12" s="25">
        <v>0</v>
      </c>
      <c r="D12" s="25">
        <v>1</v>
      </c>
      <c r="E12" s="25">
        <v>3</v>
      </c>
      <c r="F12" s="25">
        <v>2</v>
      </c>
    </row>
    <row r="13" spans="1:6" x14ac:dyDescent="0.25">
      <c r="A13" s="25" t="s">
        <v>106</v>
      </c>
      <c r="B13" s="25">
        <v>1</v>
      </c>
      <c r="C13" s="25">
        <v>0</v>
      </c>
      <c r="D13" s="25">
        <v>1</v>
      </c>
      <c r="E13" s="25">
        <v>1</v>
      </c>
      <c r="F13" s="25">
        <v>4</v>
      </c>
    </row>
    <row r="14" spans="1:6" x14ac:dyDescent="0.25">
      <c r="A14" s="25" t="s">
        <v>108</v>
      </c>
      <c r="B14" s="25">
        <v>1</v>
      </c>
      <c r="C14" s="25">
        <v>1</v>
      </c>
      <c r="D14" s="25">
        <v>0.5</v>
      </c>
      <c r="E14" s="25">
        <v>4</v>
      </c>
      <c r="F14" s="25">
        <v>1</v>
      </c>
    </row>
    <row r="15" spans="1:6" x14ac:dyDescent="0.25">
      <c r="A15" s="25" t="s">
        <v>113</v>
      </c>
      <c r="B15" s="25">
        <v>1</v>
      </c>
      <c r="C15" s="25">
        <v>1</v>
      </c>
      <c r="D15" s="25">
        <v>0.5</v>
      </c>
      <c r="E15" s="25">
        <v>2</v>
      </c>
      <c r="F15" s="25">
        <v>3</v>
      </c>
    </row>
    <row r="16" spans="1:6" x14ac:dyDescent="0.25">
      <c r="A16" s="25" t="s">
        <v>111</v>
      </c>
      <c r="B16" s="25">
        <v>0</v>
      </c>
      <c r="C16" s="25">
        <v>1</v>
      </c>
      <c r="D16" s="25">
        <v>0</v>
      </c>
      <c r="E16" s="25">
        <v>2</v>
      </c>
      <c r="F16" s="25">
        <v>3</v>
      </c>
    </row>
    <row r="17" spans="1:17" ht="26.45" customHeight="1" x14ac:dyDescent="0.25">
      <c r="A17" s="25" t="s">
        <v>107</v>
      </c>
      <c r="B17" s="25">
        <v>0</v>
      </c>
      <c r="C17" s="25">
        <v>1</v>
      </c>
      <c r="D17" s="25">
        <v>0</v>
      </c>
      <c r="E17" s="25">
        <v>2</v>
      </c>
      <c r="F17" s="25">
        <v>3</v>
      </c>
    </row>
    <row r="18" spans="1:17" x14ac:dyDescent="0.25">
      <c r="A18" s="25" t="s">
        <v>104</v>
      </c>
      <c r="B18" s="25">
        <v>0</v>
      </c>
      <c r="C18" s="25">
        <v>1</v>
      </c>
      <c r="D18" s="25">
        <v>0</v>
      </c>
      <c r="E18" s="25">
        <v>1</v>
      </c>
      <c r="F18" s="25">
        <v>4</v>
      </c>
    </row>
    <row r="19" spans="1:17" x14ac:dyDescent="0.25">
      <c r="A19" s="25" t="s">
        <v>79</v>
      </c>
      <c r="B19" s="25">
        <v>0</v>
      </c>
      <c r="C19" s="25">
        <v>2</v>
      </c>
      <c r="D19" s="25">
        <v>0</v>
      </c>
      <c r="E19" s="25">
        <v>1</v>
      </c>
      <c r="F19" s="25">
        <v>4</v>
      </c>
    </row>
    <row r="20" spans="1:17" x14ac:dyDescent="0.25">
      <c r="A20" s="25" t="s">
        <v>105</v>
      </c>
      <c r="B20" s="25">
        <v>0</v>
      </c>
      <c r="C20" s="25">
        <v>2</v>
      </c>
      <c r="D20" s="25">
        <v>0</v>
      </c>
      <c r="E20" s="25">
        <v>1</v>
      </c>
      <c r="F20" s="25">
        <v>4</v>
      </c>
    </row>
    <row r="22" spans="1:17" ht="26.45" customHeight="1" x14ac:dyDescent="0.25">
      <c r="A22" s="24" t="s">
        <v>8</v>
      </c>
    </row>
    <row r="23" spans="1:17" ht="26.25" customHeight="1" x14ac:dyDescent="0.25">
      <c r="A23" s="29" t="s">
        <v>9</v>
      </c>
      <c r="B23" s="29" t="s">
        <v>10</v>
      </c>
      <c r="C23" s="29" t="s">
        <v>11</v>
      </c>
      <c r="D23" s="29" t="s">
        <v>12</v>
      </c>
      <c r="E23" s="29" t="s">
        <v>13</v>
      </c>
      <c r="F23" s="29" t="s">
        <v>14</v>
      </c>
      <c r="G23" s="29" t="s">
        <v>15</v>
      </c>
      <c r="H23" s="29" t="s">
        <v>16</v>
      </c>
      <c r="I23" s="29" t="s">
        <v>17</v>
      </c>
      <c r="J23" s="29" t="s">
        <v>18</v>
      </c>
      <c r="K23" s="29" t="s">
        <v>19</v>
      </c>
      <c r="L23" s="29" t="s">
        <v>20</v>
      </c>
      <c r="M23" s="29" t="s">
        <v>21</v>
      </c>
      <c r="N23" s="29" t="s">
        <v>22</v>
      </c>
      <c r="O23" s="29" t="s">
        <v>23</v>
      </c>
      <c r="P23" s="29" t="s">
        <v>24</v>
      </c>
      <c r="Q23" s="29" t="s">
        <v>25</v>
      </c>
    </row>
    <row r="24" spans="1:17" x14ac:dyDescent="0.25">
      <c r="A24" s="25">
        <v>6</v>
      </c>
      <c r="B24" s="25" t="s">
        <v>30</v>
      </c>
      <c r="C24" s="25" t="s">
        <v>73</v>
      </c>
      <c r="D24" s="25" t="s">
        <v>78</v>
      </c>
      <c r="E24" s="25" t="s">
        <v>79</v>
      </c>
      <c r="F24" s="25" t="s">
        <v>80</v>
      </c>
      <c r="G24" s="25">
        <v>-36.700000000000003</v>
      </c>
      <c r="H24" s="25">
        <v>-36</v>
      </c>
      <c r="I24" s="25">
        <v>0.7</v>
      </c>
      <c r="J24" s="25">
        <v>-34.299999999999997</v>
      </c>
      <c r="K24" s="25">
        <v>-29</v>
      </c>
      <c r="L24" s="25">
        <v>54.3</v>
      </c>
      <c r="M24" s="25">
        <v>53</v>
      </c>
      <c r="N24" s="25">
        <v>1.3</v>
      </c>
      <c r="O24" s="25"/>
      <c r="P24" s="25"/>
      <c r="Q24" s="25"/>
    </row>
    <row r="25" spans="1:17" x14ac:dyDescent="0.25">
      <c r="A25" s="25">
        <v>6</v>
      </c>
      <c r="B25" s="25" t="s">
        <v>30</v>
      </c>
      <c r="C25" s="25" t="s">
        <v>78</v>
      </c>
      <c r="D25" s="25" t="s">
        <v>78</v>
      </c>
      <c r="E25" s="25" t="s">
        <v>103</v>
      </c>
      <c r="F25" s="25" t="s">
        <v>104</v>
      </c>
      <c r="G25" s="25">
        <v>-0.4</v>
      </c>
      <c r="H25" s="25">
        <v>7</v>
      </c>
      <c r="I25" s="30">
        <v>7.4</v>
      </c>
      <c r="J25" s="25">
        <v>3.6</v>
      </c>
      <c r="K25" s="25">
        <v>2.8</v>
      </c>
      <c r="L25" s="25">
        <v>47.4</v>
      </c>
      <c r="M25" s="25">
        <v>51</v>
      </c>
      <c r="N25" s="30">
        <v>-3.6</v>
      </c>
      <c r="O25" s="25"/>
      <c r="P25" s="25"/>
      <c r="Q25" s="25"/>
    </row>
    <row r="26" spans="1:17" x14ac:dyDescent="0.25">
      <c r="A26" s="25">
        <v>6</v>
      </c>
      <c r="B26" s="25" t="s">
        <v>30</v>
      </c>
      <c r="C26" s="25" t="s">
        <v>78</v>
      </c>
      <c r="D26" s="25" t="s">
        <v>78</v>
      </c>
      <c r="E26" s="25" t="s">
        <v>105</v>
      </c>
      <c r="F26" s="25" t="s">
        <v>106</v>
      </c>
      <c r="G26" s="25">
        <v>-12.1</v>
      </c>
      <c r="H26" s="25">
        <v>-7</v>
      </c>
      <c r="I26" s="30">
        <v>5.0999999999999996</v>
      </c>
      <c r="J26" s="25">
        <v>-3.7</v>
      </c>
      <c r="K26" s="25">
        <v>-1.8</v>
      </c>
      <c r="L26" s="25">
        <v>45.7</v>
      </c>
      <c r="M26" s="25">
        <v>43</v>
      </c>
      <c r="N26" s="30">
        <v>2.7</v>
      </c>
      <c r="O26" s="25"/>
      <c r="P26" s="25"/>
      <c r="Q26" s="25"/>
    </row>
    <row r="27" spans="1:17" x14ac:dyDescent="0.25">
      <c r="A27" s="25">
        <v>6</v>
      </c>
      <c r="B27" s="25" t="s">
        <v>30</v>
      </c>
      <c r="C27" s="25" t="s">
        <v>78</v>
      </c>
      <c r="D27" s="25" t="s">
        <v>78</v>
      </c>
      <c r="E27" s="25" t="s">
        <v>107</v>
      </c>
      <c r="F27" s="25" t="s">
        <v>108</v>
      </c>
      <c r="G27" s="25">
        <v>14.5</v>
      </c>
      <c r="H27" s="25">
        <v>2.5</v>
      </c>
      <c r="I27" s="30">
        <v>-12</v>
      </c>
      <c r="J27" s="25">
        <v>8.1999999999999993</v>
      </c>
      <c r="K27" s="25">
        <v>-10.5</v>
      </c>
      <c r="L27" s="25">
        <v>53</v>
      </c>
      <c r="M27" s="25">
        <v>48</v>
      </c>
      <c r="N27" s="30">
        <v>5</v>
      </c>
      <c r="O27" s="25"/>
      <c r="P27" s="25"/>
      <c r="Q27" s="25"/>
    </row>
    <row r="28" spans="1:17" x14ac:dyDescent="0.25">
      <c r="A28" s="25">
        <v>6</v>
      </c>
      <c r="B28" s="25" t="s">
        <v>30</v>
      </c>
      <c r="C28" s="25" t="s">
        <v>78</v>
      </c>
      <c r="D28" s="25" t="s">
        <v>78</v>
      </c>
      <c r="E28" s="25" t="s">
        <v>109</v>
      </c>
      <c r="F28" s="25" t="s">
        <v>110</v>
      </c>
      <c r="G28" s="25">
        <v>-8</v>
      </c>
      <c r="H28" s="25">
        <v>-3.5</v>
      </c>
      <c r="I28" s="30">
        <v>4.5</v>
      </c>
      <c r="J28" s="25">
        <v>-12.1</v>
      </c>
      <c r="K28" s="25">
        <v>-6.9</v>
      </c>
      <c r="L28" s="25">
        <v>51.4</v>
      </c>
      <c r="M28" s="25">
        <v>47</v>
      </c>
      <c r="N28" s="30">
        <v>4.4000000000000004</v>
      </c>
      <c r="O28" s="25"/>
      <c r="P28" s="25"/>
      <c r="Q28" s="25"/>
    </row>
    <row r="29" spans="1:17" x14ac:dyDescent="0.25">
      <c r="A29" s="25">
        <v>6</v>
      </c>
      <c r="B29" s="25" t="s">
        <v>30</v>
      </c>
      <c r="C29" s="25" t="s">
        <v>78</v>
      </c>
      <c r="D29" s="25" t="s">
        <v>78</v>
      </c>
      <c r="E29" s="25" t="s">
        <v>111</v>
      </c>
      <c r="F29" s="25" t="s">
        <v>112</v>
      </c>
      <c r="G29" s="25">
        <v>-18.899999999999999</v>
      </c>
      <c r="H29" s="25">
        <v>-19.5</v>
      </c>
      <c r="I29" s="25">
        <v>-0.6</v>
      </c>
      <c r="J29" s="25">
        <v>-14.1</v>
      </c>
      <c r="K29" s="25">
        <v>-21</v>
      </c>
      <c r="L29" s="25">
        <v>47.5</v>
      </c>
      <c r="M29" s="25">
        <v>55</v>
      </c>
      <c r="N29" s="30">
        <v>-7.5</v>
      </c>
      <c r="O29" s="25"/>
      <c r="P29" s="25"/>
      <c r="Q29" s="25"/>
    </row>
    <row r="30" spans="1:17" x14ac:dyDescent="0.25">
      <c r="A30" s="25">
        <v>6</v>
      </c>
      <c r="B30" s="25" t="s">
        <v>30</v>
      </c>
      <c r="C30" s="25" t="s">
        <v>78</v>
      </c>
      <c r="D30" s="25" t="s">
        <v>78</v>
      </c>
      <c r="E30" s="25" t="s">
        <v>113</v>
      </c>
      <c r="F30" s="25" t="s">
        <v>114</v>
      </c>
      <c r="G30" s="25">
        <v>-20.7</v>
      </c>
      <c r="H30" s="25">
        <v>-14</v>
      </c>
      <c r="I30" s="30">
        <v>6.7</v>
      </c>
      <c r="J30" s="25">
        <v>-18.8</v>
      </c>
      <c r="K30" s="25">
        <v>-17.2</v>
      </c>
      <c r="L30" s="25">
        <v>47.5</v>
      </c>
      <c r="M30" s="25">
        <v>43.5</v>
      </c>
      <c r="N30" s="30">
        <v>4</v>
      </c>
      <c r="O30" s="25"/>
      <c r="P30" s="25"/>
      <c r="Q30" s="25"/>
    </row>
    <row r="32" spans="1:17" ht="15.75" customHeight="1" x14ac:dyDescent="0.25">
      <c r="A32" s="24" t="s">
        <v>158</v>
      </c>
    </row>
    <row r="33" spans="1:17" ht="26.25" customHeight="1" x14ac:dyDescent="0.25">
      <c r="A33" s="29" t="s">
        <v>9</v>
      </c>
      <c r="B33" s="29" t="s">
        <v>10</v>
      </c>
      <c r="C33" s="29" t="s">
        <v>11</v>
      </c>
      <c r="D33" s="29" t="s">
        <v>12</v>
      </c>
      <c r="E33" s="29" t="s">
        <v>13</v>
      </c>
      <c r="F33" s="29" t="s">
        <v>14</v>
      </c>
      <c r="G33" s="29" t="s">
        <v>15</v>
      </c>
      <c r="H33" s="29" t="s">
        <v>16</v>
      </c>
      <c r="I33" s="29" t="s">
        <v>17</v>
      </c>
      <c r="J33" s="29" t="s">
        <v>18</v>
      </c>
      <c r="K33" s="29" t="s">
        <v>19</v>
      </c>
      <c r="L33" s="29" t="s">
        <v>20</v>
      </c>
      <c r="M33" s="29" t="s">
        <v>21</v>
      </c>
      <c r="N33" s="29" t="s">
        <v>22</v>
      </c>
      <c r="O33" s="29" t="s">
        <v>23</v>
      </c>
      <c r="P33" s="29" t="s">
        <v>24</v>
      </c>
      <c r="Q33" s="29" t="s">
        <v>25</v>
      </c>
    </row>
    <row r="34" spans="1:17" x14ac:dyDescent="0.25">
      <c r="A34" s="25">
        <v>5</v>
      </c>
      <c r="B34" s="25" t="s">
        <v>161</v>
      </c>
      <c r="C34" s="25" t="s">
        <v>78</v>
      </c>
      <c r="D34" s="25" t="s">
        <v>78</v>
      </c>
      <c r="E34" s="25" t="s">
        <v>112</v>
      </c>
      <c r="F34" s="25" t="s">
        <v>79</v>
      </c>
      <c r="G34" s="25">
        <v>21</v>
      </c>
      <c r="H34" s="25">
        <v>20.8</v>
      </c>
      <c r="I34" s="25">
        <v>-0.3</v>
      </c>
      <c r="J34" s="25">
        <v>12</v>
      </c>
      <c r="K34" s="25">
        <v>15.6</v>
      </c>
      <c r="L34" s="25">
        <v>52.3</v>
      </c>
      <c r="M34" s="25">
        <v>52.2</v>
      </c>
      <c r="N34" s="25">
        <v>0.1</v>
      </c>
      <c r="O34" s="25">
        <v>39</v>
      </c>
      <c r="P34" s="25">
        <v>24</v>
      </c>
      <c r="Q34" s="30" t="s">
        <v>160</v>
      </c>
    </row>
    <row r="35" spans="1:17" x14ac:dyDescent="0.25">
      <c r="A35" s="25">
        <v>5</v>
      </c>
      <c r="B35" s="25" t="s">
        <v>161</v>
      </c>
      <c r="C35" s="25" t="s">
        <v>78</v>
      </c>
      <c r="D35" s="25" t="s">
        <v>78</v>
      </c>
      <c r="E35" s="25" t="s">
        <v>114</v>
      </c>
      <c r="F35" s="25" t="s">
        <v>111</v>
      </c>
      <c r="G35" s="25">
        <v>12.4</v>
      </c>
      <c r="H35" s="25">
        <v>13.2</v>
      </c>
      <c r="I35" s="25">
        <v>0.8</v>
      </c>
      <c r="J35" s="25">
        <v>10.3</v>
      </c>
      <c r="K35" s="25">
        <v>7.3</v>
      </c>
      <c r="L35" s="25">
        <v>45.3</v>
      </c>
      <c r="M35" s="25">
        <v>46.2</v>
      </c>
      <c r="N35" s="25">
        <v>-0.9</v>
      </c>
      <c r="O35" s="25">
        <v>20</v>
      </c>
      <c r="P35" s="25">
        <v>17</v>
      </c>
      <c r="Q35" s="30" t="s">
        <v>160</v>
      </c>
    </row>
    <row r="36" spans="1:17" x14ac:dyDescent="0.25">
      <c r="A36" s="25">
        <v>5</v>
      </c>
      <c r="B36" s="25" t="s">
        <v>161</v>
      </c>
      <c r="C36" s="25" t="s">
        <v>78</v>
      </c>
      <c r="D36" s="25" t="s">
        <v>78</v>
      </c>
      <c r="E36" s="25" t="s">
        <v>104</v>
      </c>
      <c r="F36" s="25" t="s">
        <v>109</v>
      </c>
      <c r="G36" s="25">
        <v>-9.6999999999999993</v>
      </c>
      <c r="H36" s="25">
        <v>-6.8</v>
      </c>
      <c r="I36" s="30">
        <v>3</v>
      </c>
      <c r="J36" s="25">
        <v>-6.3</v>
      </c>
      <c r="K36" s="25">
        <v>-6.4</v>
      </c>
      <c r="L36" s="25">
        <v>47</v>
      </c>
      <c r="M36" s="25">
        <v>47.2</v>
      </c>
      <c r="N36" s="25">
        <v>-0.3</v>
      </c>
      <c r="O36" s="25">
        <v>17</v>
      </c>
      <c r="P36" s="25">
        <v>41</v>
      </c>
      <c r="Q36" s="30" t="s">
        <v>160</v>
      </c>
    </row>
    <row r="37" spans="1:17" x14ac:dyDescent="0.25">
      <c r="A37" s="25">
        <v>5</v>
      </c>
      <c r="B37" s="25" t="s">
        <v>161</v>
      </c>
      <c r="C37" s="25" t="s">
        <v>78</v>
      </c>
      <c r="D37" s="25" t="s">
        <v>78</v>
      </c>
      <c r="E37" s="25" t="s">
        <v>110</v>
      </c>
      <c r="F37" s="25" t="s">
        <v>113</v>
      </c>
      <c r="G37" s="25">
        <v>9.6</v>
      </c>
      <c r="H37" s="25">
        <v>3.5</v>
      </c>
      <c r="I37" s="30">
        <v>-6.1</v>
      </c>
      <c r="J37" s="25">
        <v>10.9</v>
      </c>
      <c r="K37" s="25">
        <v>9.4</v>
      </c>
      <c r="L37" s="25">
        <v>53.3</v>
      </c>
      <c r="M37" s="25">
        <v>50.8</v>
      </c>
      <c r="N37" s="30">
        <v>2.6</v>
      </c>
      <c r="O37" s="25">
        <v>13</v>
      </c>
      <c r="P37" s="25">
        <v>10</v>
      </c>
      <c r="Q37" s="30" t="s">
        <v>160</v>
      </c>
    </row>
    <row r="38" spans="1:17" x14ac:dyDescent="0.25">
      <c r="A38" s="25">
        <v>5</v>
      </c>
      <c r="B38" s="25" t="s">
        <v>161</v>
      </c>
      <c r="C38" s="25" t="s">
        <v>78</v>
      </c>
      <c r="D38" s="25" t="s">
        <v>78</v>
      </c>
      <c r="E38" s="25" t="s">
        <v>103</v>
      </c>
      <c r="F38" s="25" t="s">
        <v>108</v>
      </c>
      <c r="G38" s="25">
        <v>-2.2000000000000002</v>
      </c>
      <c r="H38" s="25">
        <v>-5.8</v>
      </c>
      <c r="I38" s="30">
        <v>-3.6</v>
      </c>
      <c r="J38" s="25">
        <v>1.4</v>
      </c>
      <c r="K38" s="25">
        <v>-24.6</v>
      </c>
      <c r="L38" s="25">
        <v>48.3</v>
      </c>
      <c r="M38" s="25">
        <v>49.2</v>
      </c>
      <c r="N38" s="25">
        <v>-1</v>
      </c>
      <c r="O38" s="25">
        <v>38</v>
      </c>
      <c r="P38" s="25">
        <v>14</v>
      </c>
      <c r="Q38" s="31" t="s">
        <v>164</v>
      </c>
    </row>
    <row r="39" spans="1:17" x14ac:dyDescent="0.25">
      <c r="A39" s="25">
        <v>5</v>
      </c>
      <c r="B39" s="25" t="s">
        <v>161</v>
      </c>
      <c r="C39" s="25" t="s">
        <v>78</v>
      </c>
      <c r="D39" s="25" t="s">
        <v>78</v>
      </c>
      <c r="E39" s="25" t="s">
        <v>106</v>
      </c>
      <c r="F39" s="25" t="s">
        <v>107</v>
      </c>
      <c r="G39" s="25">
        <v>-20.100000000000001</v>
      </c>
      <c r="H39" s="25">
        <v>-11.2</v>
      </c>
      <c r="I39" s="30">
        <v>8.8000000000000007</v>
      </c>
      <c r="J39" s="25">
        <v>-13.7</v>
      </c>
      <c r="K39" s="25">
        <v>-19.899999999999999</v>
      </c>
      <c r="L39" s="25">
        <v>48.6</v>
      </c>
      <c r="M39" s="25">
        <v>42.2</v>
      </c>
      <c r="N39" s="30">
        <v>6.4</v>
      </c>
      <c r="O39" s="25">
        <v>24</v>
      </c>
      <c r="P39" s="25">
        <v>20</v>
      </c>
      <c r="Q39" s="31" t="s">
        <v>164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33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517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518</v>
      </c>
      <c r="C3" s="28">
        <v>0.67500000000000004</v>
      </c>
    </row>
    <row r="4" spans="1:6" x14ac:dyDescent="0.25">
      <c r="A4" s="25" t="s">
        <v>6</v>
      </c>
      <c r="B4" s="25" t="s">
        <v>349</v>
      </c>
      <c r="C4" s="28">
        <v>0.6</v>
      </c>
    </row>
    <row r="6" spans="1:6" ht="15.6" customHeight="1" x14ac:dyDescent="0.25">
      <c r="A6" s="24" t="s">
        <v>519</v>
      </c>
    </row>
    <row r="7" spans="1:6" x14ac:dyDescent="0.25">
      <c r="A7" s="34" t="s">
        <v>313</v>
      </c>
      <c r="B7" s="34" t="s">
        <v>488</v>
      </c>
      <c r="C7" s="34" t="s">
        <v>489</v>
      </c>
      <c r="D7" s="34" t="s">
        <v>490</v>
      </c>
      <c r="E7" s="34" t="s">
        <v>491</v>
      </c>
      <c r="F7" s="34" t="s">
        <v>492</v>
      </c>
    </row>
    <row r="8" spans="1:6" x14ac:dyDescent="0.25">
      <c r="A8" s="25" t="s">
        <v>119</v>
      </c>
      <c r="B8" s="25">
        <v>2</v>
      </c>
      <c r="C8" s="25">
        <v>0</v>
      </c>
      <c r="D8" s="25">
        <v>1</v>
      </c>
      <c r="E8" s="25">
        <v>5</v>
      </c>
      <c r="F8" s="25">
        <v>0</v>
      </c>
    </row>
    <row r="9" spans="1:6" x14ac:dyDescent="0.25">
      <c r="A9" s="25" t="s">
        <v>183</v>
      </c>
      <c r="B9" s="25">
        <v>1</v>
      </c>
      <c r="C9" s="25">
        <v>0</v>
      </c>
      <c r="D9" s="25">
        <v>1</v>
      </c>
      <c r="E9" s="25">
        <v>4</v>
      </c>
      <c r="F9" s="25">
        <v>1</v>
      </c>
    </row>
    <row r="10" spans="1:6" x14ac:dyDescent="0.25">
      <c r="A10" s="25" t="s">
        <v>118</v>
      </c>
      <c r="B10" s="25">
        <v>1</v>
      </c>
      <c r="C10" s="25">
        <v>0</v>
      </c>
      <c r="D10" s="25">
        <v>1</v>
      </c>
      <c r="E10" s="25">
        <v>3</v>
      </c>
      <c r="F10" s="25">
        <v>2</v>
      </c>
    </row>
    <row r="11" spans="1:6" x14ac:dyDescent="0.25">
      <c r="A11" s="25" t="s">
        <v>120</v>
      </c>
      <c r="B11" s="25">
        <v>1</v>
      </c>
      <c r="C11" s="25">
        <v>0</v>
      </c>
      <c r="D11" s="25">
        <v>1</v>
      </c>
      <c r="E11" s="25">
        <v>3</v>
      </c>
      <c r="F11" s="25">
        <v>2</v>
      </c>
    </row>
    <row r="12" spans="1:6" x14ac:dyDescent="0.25">
      <c r="A12" s="25" t="s">
        <v>115</v>
      </c>
      <c r="B12" s="25">
        <v>1</v>
      </c>
      <c r="C12" s="25">
        <v>1</v>
      </c>
      <c r="D12" s="25">
        <v>0.5</v>
      </c>
      <c r="E12" s="25">
        <v>3</v>
      </c>
      <c r="F12" s="25">
        <v>1</v>
      </c>
    </row>
    <row r="13" spans="1:6" x14ac:dyDescent="0.25">
      <c r="A13" s="25" t="s">
        <v>117</v>
      </c>
      <c r="B13" s="25">
        <v>1</v>
      </c>
      <c r="C13" s="25">
        <v>1</v>
      </c>
      <c r="D13" s="25">
        <v>0.5</v>
      </c>
      <c r="E13" s="25">
        <v>2</v>
      </c>
      <c r="F13" s="25">
        <v>3</v>
      </c>
    </row>
    <row r="14" spans="1:6" ht="26.45" customHeight="1" x14ac:dyDescent="0.25">
      <c r="A14" s="25" t="s">
        <v>121</v>
      </c>
      <c r="B14" s="25">
        <v>0</v>
      </c>
      <c r="C14" s="25">
        <v>1</v>
      </c>
      <c r="D14" s="25">
        <v>0</v>
      </c>
      <c r="E14" s="25">
        <v>1</v>
      </c>
      <c r="F14" s="25">
        <v>3</v>
      </c>
    </row>
    <row r="15" spans="1:6" x14ac:dyDescent="0.25">
      <c r="A15" s="25" t="s">
        <v>69</v>
      </c>
      <c r="B15" s="25">
        <v>0</v>
      </c>
      <c r="C15" s="25">
        <v>3</v>
      </c>
      <c r="D15" s="25">
        <v>0</v>
      </c>
      <c r="E15" s="25">
        <v>1</v>
      </c>
      <c r="F15" s="25">
        <v>4</v>
      </c>
    </row>
    <row r="16" spans="1:6" x14ac:dyDescent="0.25">
      <c r="A16" s="25" t="s">
        <v>122</v>
      </c>
      <c r="B16" s="25">
        <v>0</v>
      </c>
      <c r="C16" s="25">
        <v>1</v>
      </c>
      <c r="D16" s="25">
        <v>0</v>
      </c>
      <c r="E16" s="25">
        <v>1</v>
      </c>
      <c r="F16" s="25">
        <v>4</v>
      </c>
    </row>
    <row r="17" spans="1:17" x14ac:dyDescent="0.25">
      <c r="A17" s="25" t="s">
        <v>116</v>
      </c>
      <c r="B17" s="25">
        <v>0</v>
      </c>
      <c r="C17" s="25">
        <v>0</v>
      </c>
      <c r="D17" s="25"/>
      <c r="E17" s="25">
        <v>0</v>
      </c>
      <c r="F17" s="25">
        <v>4</v>
      </c>
    </row>
    <row r="19" spans="1:17" ht="26.45" customHeight="1" x14ac:dyDescent="0.25">
      <c r="A19" s="24" t="s">
        <v>8</v>
      </c>
    </row>
    <row r="20" spans="1:17" ht="26.25" customHeight="1" x14ac:dyDescent="0.25">
      <c r="A20" s="29" t="s">
        <v>9</v>
      </c>
      <c r="B20" s="29" t="s">
        <v>10</v>
      </c>
      <c r="C20" s="29" t="s">
        <v>11</v>
      </c>
      <c r="D20" s="29" t="s">
        <v>12</v>
      </c>
      <c r="E20" s="29" t="s">
        <v>13</v>
      </c>
      <c r="F20" s="29" t="s">
        <v>14</v>
      </c>
      <c r="G20" s="29" t="s">
        <v>15</v>
      </c>
      <c r="H20" s="29" t="s">
        <v>16</v>
      </c>
      <c r="I20" s="29" t="s">
        <v>17</v>
      </c>
      <c r="J20" s="29" t="s">
        <v>18</v>
      </c>
      <c r="K20" s="29" t="s">
        <v>19</v>
      </c>
      <c r="L20" s="29" t="s">
        <v>20</v>
      </c>
      <c r="M20" s="29" t="s">
        <v>21</v>
      </c>
      <c r="N20" s="29" t="s">
        <v>22</v>
      </c>
      <c r="O20" s="29" t="s">
        <v>23</v>
      </c>
      <c r="P20" s="29" t="s">
        <v>24</v>
      </c>
      <c r="Q20" s="29" t="s">
        <v>25</v>
      </c>
    </row>
    <row r="21" spans="1:17" x14ac:dyDescent="0.25">
      <c r="A21" s="25">
        <v>6</v>
      </c>
      <c r="B21" s="25" t="s">
        <v>67</v>
      </c>
      <c r="C21" s="25" t="s">
        <v>58</v>
      </c>
      <c r="D21" s="25" t="s">
        <v>68</v>
      </c>
      <c r="E21" s="25" t="s">
        <v>69</v>
      </c>
      <c r="F21" s="25" t="s">
        <v>70</v>
      </c>
      <c r="G21" s="25">
        <v>-15.7</v>
      </c>
      <c r="H21" s="25">
        <v>-21</v>
      </c>
      <c r="I21" s="30">
        <v>-5.3</v>
      </c>
      <c r="J21" s="25">
        <v>-17.2</v>
      </c>
      <c r="K21" s="25">
        <v>-15.5</v>
      </c>
      <c r="L21" s="25">
        <v>47</v>
      </c>
      <c r="M21" s="25">
        <v>51</v>
      </c>
      <c r="N21" s="30">
        <v>-4</v>
      </c>
      <c r="O21" s="25"/>
      <c r="P21" s="25"/>
      <c r="Q21" s="25"/>
    </row>
    <row r="22" spans="1:17" x14ac:dyDescent="0.25">
      <c r="A22" s="25">
        <v>6</v>
      </c>
      <c r="B22" s="25" t="s">
        <v>30</v>
      </c>
      <c r="C22" s="25" t="s">
        <v>68</v>
      </c>
      <c r="D22" s="25" t="s">
        <v>68</v>
      </c>
      <c r="E22" s="25" t="s">
        <v>115</v>
      </c>
      <c r="F22" s="25" t="s">
        <v>116</v>
      </c>
      <c r="G22" s="25">
        <v>13.6</v>
      </c>
      <c r="H22" s="25">
        <v>10</v>
      </c>
      <c r="I22" s="30">
        <v>-3.6</v>
      </c>
      <c r="J22" s="25">
        <v>9.4</v>
      </c>
      <c r="K22" s="25">
        <v>7.9</v>
      </c>
      <c r="L22" s="25">
        <v>43.5</v>
      </c>
      <c r="M22" s="25">
        <v>47.5</v>
      </c>
      <c r="N22" s="30">
        <v>-4</v>
      </c>
      <c r="O22" s="25"/>
      <c r="P22" s="25"/>
      <c r="Q22" s="25"/>
    </row>
    <row r="23" spans="1:17" x14ac:dyDescent="0.25">
      <c r="A23" s="25">
        <v>6</v>
      </c>
      <c r="B23" s="25" t="s">
        <v>30</v>
      </c>
      <c r="C23" s="25" t="s">
        <v>68</v>
      </c>
      <c r="D23" s="25" t="s">
        <v>68</v>
      </c>
      <c r="E23" s="25" t="s">
        <v>117</v>
      </c>
      <c r="F23" s="25" t="s">
        <v>118</v>
      </c>
      <c r="G23" s="25">
        <v>-5.7</v>
      </c>
      <c r="H23" s="25">
        <v>-6.5</v>
      </c>
      <c r="I23" s="25">
        <v>-0.8</v>
      </c>
      <c r="J23" s="25">
        <v>1.5</v>
      </c>
      <c r="K23" s="25">
        <v>-8.8000000000000007</v>
      </c>
      <c r="L23" s="25">
        <v>46.8</v>
      </c>
      <c r="M23" s="25">
        <v>43.5</v>
      </c>
      <c r="N23" s="30">
        <v>3.3</v>
      </c>
      <c r="O23" s="25"/>
      <c r="P23" s="25"/>
      <c r="Q23" s="25"/>
    </row>
    <row r="24" spans="1:17" x14ac:dyDescent="0.25">
      <c r="A24" s="25">
        <v>6</v>
      </c>
      <c r="B24" s="25" t="s">
        <v>30</v>
      </c>
      <c r="C24" s="25" t="s">
        <v>68</v>
      </c>
      <c r="D24" s="25" t="s">
        <v>68</v>
      </c>
      <c r="E24" s="25" t="s">
        <v>119</v>
      </c>
      <c r="F24" s="25" t="s">
        <v>120</v>
      </c>
      <c r="G24" s="25">
        <v>10.4</v>
      </c>
      <c r="H24" s="25">
        <v>3</v>
      </c>
      <c r="I24" s="30">
        <v>-7.4</v>
      </c>
      <c r="J24" s="25">
        <v>8.1</v>
      </c>
      <c r="K24" s="25">
        <v>7.7</v>
      </c>
      <c r="L24" s="25">
        <v>44.2</v>
      </c>
      <c r="M24" s="25">
        <v>49.5</v>
      </c>
      <c r="N24" s="30">
        <v>-5.3</v>
      </c>
      <c r="O24" s="25"/>
      <c r="P24" s="25"/>
      <c r="Q24" s="25"/>
    </row>
    <row r="25" spans="1:17" x14ac:dyDescent="0.25">
      <c r="A25" s="25">
        <v>6</v>
      </c>
      <c r="B25" s="25" t="s">
        <v>30</v>
      </c>
      <c r="C25" s="25" t="s">
        <v>68</v>
      </c>
      <c r="D25" s="25" t="s">
        <v>68</v>
      </c>
      <c r="E25" s="25" t="s">
        <v>121</v>
      </c>
      <c r="F25" s="25" t="s">
        <v>122</v>
      </c>
      <c r="G25" s="25">
        <v>8.5</v>
      </c>
      <c r="H25" s="25">
        <v>9</v>
      </c>
      <c r="I25" s="25">
        <v>0.5</v>
      </c>
      <c r="J25" s="25">
        <v>5</v>
      </c>
      <c r="K25" s="25">
        <v>9.9</v>
      </c>
      <c r="L25" s="25">
        <v>45.4</v>
      </c>
      <c r="M25" s="25">
        <v>49.5</v>
      </c>
      <c r="N25" s="30">
        <v>-4.0999999999999996</v>
      </c>
      <c r="O25" s="25"/>
      <c r="P25" s="25"/>
      <c r="Q25" s="25"/>
    </row>
    <row r="27" spans="1:17" ht="15.75" customHeight="1" x14ac:dyDescent="0.25">
      <c r="A27" s="24" t="s">
        <v>158</v>
      </c>
    </row>
    <row r="28" spans="1:17" ht="26.25" customHeight="1" x14ac:dyDescent="0.25">
      <c r="A28" s="29" t="s">
        <v>9</v>
      </c>
      <c r="B28" s="29" t="s">
        <v>10</v>
      </c>
      <c r="C28" s="29" t="s">
        <v>11</v>
      </c>
      <c r="D28" s="29" t="s">
        <v>12</v>
      </c>
      <c r="E28" s="29" t="s">
        <v>13</v>
      </c>
      <c r="F28" s="29" t="s">
        <v>14</v>
      </c>
      <c r="G28" s="29" t="s">
        <v>15</v>
      </c>
      <c r="H28" s="29" t="s">
        <v>16</v>
      </c>
      <c r="I28" s="29" t="s">
        <v>17</v>
      </c>
      <c r="J28" s="29" t="s">
        <v>18</v>
      </c>
      <c r="K28" s="29" t="s">
        <v>19</v>
      </c>
      <c r="L28" s="29" t="s">
        <v>20</v>
      </c>
      <c r="M28" s="29" t="s">
        <v>21</v>
      </c>
      <c r="N28" s="29" t="s">
        <v>22</v>
      </c>
      <c r="O28" s="29" t="s">
        <v>23</v>
      </c>
      <c r="P28" s="29" t="s">
        <v>24</v>
      </c>
      <c r="Q28" s="29" t="s">
        <v>25</v>
      </c>
    </row>
    <row r="29" spans="1:17" x14ac:dyDescent="0.25">
      <c r="A29" s="25">
        <v>5</v>
      </c>
      <c r="B29" s="25" t="s">
        <v>161</v>
      </c>
      <c r="C29" s="25" t="s">
        <v>68</v>
      </c>
      <c r="D29" s="25" t="s">
        <v>42</v>
      </c>
      <c r="E29" s="25" t="s">
        <v>52</v>
      </c>
      <c r="F29" s="25" t="s">
        <v>115</v>
      </c>
      <c r="G29" s="25">
        <v>5</v>
      </c>
      <c r="H29" s="25">
        <v>-2.8</v>
      </c>
      <c r="I29" s="30">
        <v>-7.7</v>
      </c>
      <c r="J29" s="25">
        <v>-8.5</v>
      </c>
      <c r="K29" s="25">
        <v>-7.7</v>
      </c>
      <c r="L29" s="25">
        <v>55.1</v>
      </c>
      <c r="M29" s="25">
        <v>45.2</v>
      </c>
      <c r="N29" s="30">
        <v>9.8000000000000007</v>
      </c>
      <c r="O29" s="25">
        <v>9</v>
      </c>
      <c r="P29" s="25">
        <v>14</v>
      </c>
      <c r="Q29" s="31" t="s">
        <v>164</v>
      </c>
    </row>
    <row r="30" spans="1:17" x14ac:dyDescent="0.25">
      <c r="A30" s="25">
        <v>5</v>
      </c>
      <c r="B30" s="25" t="s">
        <v>161</v>
      </c>
      <c r="C30" s="25" t="s">
        <v>68</v>
      </c>
      <c r="D30" s="25" t="s">
        <v>68</v>
      </c>
      <c r="E30" s="25" t="s">
        <v>122</v>
      </c>
      <c r="F30" s="25" t="s">
        <v>183</v>
      </c>
      <c r="G30" s="25">
        <v>-32.299999999999997</v>
      </c>
      <c r="H30" s="25">
        <v>-23.2</v>
      </c>
      <c r="I30" s="30">
        <v>9.1</v>
      </c>
      <c r="J30" s="25">
        <v>-22.1</v>
      </c>
      <c r="K30" s="25">
        <v>-28.2</v>
      </c>
      <c r="L30" s="25">
        <v>43.7</v>
      </c>
      <c r="M30" s="25">
        <v>47.8</v>
      </c>
      <c r="N30" s="30">
        <v>-4.0999999999999996</v>
      </c>
      <c r="O30" s="25">
        <v>7</v>
      </c>
      <c r="P30" s="25">
        <v>61</v>
      </c>
      <c r="Q30" s="30" t="s">
        <v>160</v>
      </c>
    </row>
    <row r="31" spans="1:17" x14ac:dyDescent="0.25">
      <c r="A31" s="25">
        <v>5</v>
      </c>
      <c r="B31" s="25" t="s">
        <v>161</v>
      </c>
      <c r="C31" s="25" t="s">
        <v>68</v>
      </c>
      <c r="D31" s="25" t="s">
        <v>68</v>
      </c>
      <c r="E31" s="25" t="s">
        <v>117</v>
      </c>
      <c r="F31" s="25" t="s">
        <v>119</v>
      </c>
      <c r="G31" s="25">
        <v>-30.4</v>
      </c>
      <c r="H31" s="25">
        <v>-17.2</v>
      </c>
      <c r="I31" s="30">
        <v>13.1</v>
      </c>
      <c r="J31" s="25">
        <v>-22</v>
      </c>
      <c r="K31" s="25">
        <v>-20.8</v>
      </c>
      <c r="L31" s="25">
        <v>46.7</v>
      </c>
      <c r="M31" s="25">
        <v>44.5</v>
      </c>
      <c r="N31" s="30">
        <v>2.2000000000000002</v>
      </c>
      <c r="O31" s="25">
        <v>0</v>
      </c>
      <c r="P31" s="25">
        <v>28</v>
      </c>
      <c r="Q31" s="30" t="s">
        <v>160</v>
      </c>
    </row>
    <row r="32" spans="1:17" x14ac:dyDescent="0.25">
      <c r="A32" s="25">
        <v>5</v>
      </c>
      <c r="B32" s="25" t="s">
        <v>161</v>
      </c>
      <c r="C32" s="25" t="s">
        <v>68</v>
      </c>
      <c r="D32" s="25" t="s">
        <v>27</v>
      </c>
      <c r="E32" s="25" t="s">
        <v>32</v>
      </c>
      <c r="F32" s="25" t="s">
        <v>120</v>
      </c>
      <c r="G32" s="25">
        <v>-5.9</v>
      </c>
      <c r="H32" s="25">
        <v>-1.8</v>
      </c>
      <c r="I32" s="30">
        <v>4.2</v>
      </c>
      <c r="J32" s="25">
        <v>-15.5</v>
      </c>
      <c r="K32" s="25">
        <v>-3.1</v>
      </c>
      <c r="L32" s="25">
        <v>45.6</v>
      </c>
      <c r="M32" s="25">
        <v>52.2</v>
      </c>
      <c r="N32" s="30">
        <v>-6.7</v>
      </c>
      <c r="O32" s="25">
        <v>31</v>
      </c>
      <c r="P32" s="25">
        <v>39</v>
      </c>
      <c r="Q32" s="30" t="s">
        <v>160</v>
      </c>
    </row>
    <row r="33" spans="1:17" x14ac:dyDescent="0.25">
      <c r="A33" s="25">
        <v>5</v>
      </c>
      <c r="B33" s="25" t="s">
        <v>176</v>
      </c>
      <c r="C33" s="25" t="s">
        <v>68</v>
      </c>
      <c r="D33" s="25" t="s">
        <v>68</v>
      </c>
      <c r="E33" s="25" t="s">
        <v>118</v>
      </c>
      <c r="F33" s="25" t="s">
        <v>69</v>
      </c>
      <c r="G33" s="25">
        <v>-6.9</v>
      </c>
      <c r="H33" s="25">
        <v>-2.8</v>
      </c>
      <c r="I33" s="30">
        <v>4.2</v>
      </c>
      <c r="J33" s="25">
        <v>-6.7</v>
      </c>
      <c r="K33" s="25">
        <v>2.1</v>
      </c>
      <c r="L33" s="25">
        <v>48.5</v>
      </c>
      <c r="M33" s="25">
        <v>51.2</v>
      </c>
      <c r="N33" s="30">
        <v>-2.7</v>
      </c>
      <c r="O33" s="25">
        <v>20</v>
      </c>
      <c r="P33" s="25">
        <v>16</v>
      </c>
      <c r="Q33" s="31" t="s">
        <v>164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28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520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521</v>
      </c>
      <c r="C3" s="28">
        <v>0.58299999999999996</v>
      </c>
    </row>
    <row r="4" spans="1:6" x14ac:dyDescent="0.25">
      <c r="A4" s="25" t="s">
        <v>6</v>
      </c>
      <c r="B4" s="25" t="s">
        <v>346</v>
      </c>
      <c r="C4" s="28">
        <v>0.5</v>
      </c>
    </row>
    <row r="6" spans="1:6" ht="15.6" customHeight="1" x14ac:dyDescent="0.25">
      <c r="A6" s="24" t="s">
        <v>522</v>
      </c>
    </row>
    <row r="7" spans="1:6" x14ac:dyDescent="0.25">
      <c r="A7" s="34" t="s">
        <v>313</v>
      </c>
      <c r="B7" s="34" t="s">
        <v>488</v>
      </c>
      <c r="C7" s="34" t="s">
        <v>489</v>
      </c>
      <c r="D7" s="34" t="s">
        <v>490</v>
      </c>
      <c r="E7" s="34" t="s">
        <v>491</v>
      </c>
      <c r="F7" s="34" t="s">
        <v>492</v>
      </c>
    </row>
    <row r="8" spans="1:6" x14ac:dyDescent="0.25">
      <c r="A8" s="25" t="s">
        <v>128</v>
      </c>
      <c r="B8" s="25">
        <v>1</v>
      </c>
      <c r="C8" s="25">
        <v>0</v>
      </c>
      <c r="D8" s="25">
        <v>1</v>
      </c>
      <c r="E8" s="25">
        <v>4</v>
      </c>
      <c r="F8" s="25">
        <v>1</v>
      </c>
    </row>
    <row r="9" spans="1:6" x14ac:dyDescent="0.25">
      <c r="A9" s="25" t="s">
        <v>129</v>
      </c>
      <c r="B9" s="25">
        <v>1</v>
      </c>
      <c r="C9" s="25">
        <v>0</v>
      </c>
      <c r="D9" s="25">
        <v>1</v>
      </c>
      <c r="E9" s="25">
        <v>4</v>
      </c>
      <c r="F9" s="25">
        <v>1</v>
      </c>
    </row>
    <row r="10" spans="1:6" x14ac:dyDescent="0.25">
      <c r="A10" s="25" t="s">
        <v>125</v>
      </c>
      <c r="B10" s="25">
        <v>1</v>
      </c>
      <c r="C10" s="25">
        <v>0</v>
      </c>
      <c r="D10" s="25">
        <v>1</v>
      </c>
      <c r="E10" s="25">
        <v>3</v>
      </c>
      <c r="F10" s="25">
        <v>2</v>
      </c>
    </row>
    <row r="11" spans="1:6" x14ac:dyDescent="0.25">
      <c r="A11" s="25" t="s">
        <v>124</v>
      </c>
      <c r="B11" s="25">
        <v>1</v>
      </c>
      <c r="C11" s="25">
        <v>0</v>
      </c>
      <c r="D11" s="25">
        <v>1</v>
      </c>
      <c r="E11" s="25">
        <v>2</v>
      </c>
      <c r="F11" s="25">
        <v>3</v>
      </c>
    </row>
    <row r="12" spans="1:6" ht="26.45" customHeight="1" x14ac:dyDescent="0.25">
      <c r="A12" s="25" t="s">
        <v>184</v>
      </c>
      <c r="B12" s="25">
        <v>0</v>
      </c>
      <c r="C12" s="25">
        <v>1</v>
      </c>
      <c r="D12" s="25">
        <v>0</v>
      </c>
      <c r="E12" s="25">
        <v>2</v>
      </c>
      <c r="F12" s="25">
        <v>3</v>
      </c>
    </row>
    <row r="13" spans="1:6" x14ac:dyDescent="0.25">
      <c r="A13" s="25" t="s">
        <v>185</v>
      </c>
      <c r="B13" s="25">
        <v>0</v>
      </c>
      <c r="C13" s="25">
        <v>1</v>
      </c>
      <c r="D13" s="25">
        <v>0</v>
      </c>
      <c r="E13" s="25">
        <v>2</v>
      </c>
      <c r="F13" s="25">
        <v>3</v>
      </c>
    </row>
    <row r="14" spans="1:6" x14ac:dyDescent="0.25">
      <c r="A14" s="25" t="s">
        <v>127</v>
      </c>
      <c r="B14" s="25">
        <v>0</v>
      </c>
      <c r="C14" s="25">
        <v>1</v>
      </c>
      <c r="D14" s="25">
        <v>0</v>
      </c>
      <c r="E14" s="25">
        <v>1</v>
      </c>
      <c r="F14" s="25">
        <v>4</v>
      </c>
    </row>
    <row r="15" spans="1:6" x14ac:dyDescent="0.25">
      <c r="A15" s="25" t="s">
        <v>126</v>
      </c>
      <c r="B15" s="25">
        <v>0</v>
      </c>
      <c r="C15" s="25">
        <v>1</v>
      </c>
      <c r="D15" s="25">
        <v>0</v>
      </c>
      <c r="E15" s="25">
        <v>1</v>
      </c>
      <c r="F15" s="25">
        <v>4</v>
      </c>
    </row>
    <row r="17" spans="1:17" ht="26.45" customHeight="1" x14ac:dyDescent="0.25">
      <c r="A17" s="24" t="s">
        <v>8</v>
      </c>
    </row>
    <row r="18" spans="1:17" ht="26.25" customHeight="1" x14ac:dyDescent="0.25">
      <c r="A18" s="29" t="s">
        <v>9</v>
      </c>
      <c r="B18" s="29" t="s">
        <v>10</v>
      </c>
      <c r="C18" s="29" t="s">
        <v>11</v>
      </c>
      <c r="D18" s="29" t="s">
        <v>12</v>
      </c>
      <c r="E18" s="29" t="s">
        <v>13</v>
      </c>
      <c r="F18" s="29" t="s">
        <v>14</v>
      </c>
      <c r="G18" s="29" t="s">
        <v>15</v>
      </c>
      <c r="H18" s="29" t="s">
        <v>16</v>
      </c>
      <c r="I18" s="29" t="s">
        <v>17</v>
      </c>
      <c r="J18" s="29" t="s">
        <v>18</v>
      </c>
      <c r="K18" s="29" t="s">
        <v>19</v>
      </c>
      <c r="L18" s="29" t="s">
        <v>20</v>
      </c>
      <c r="M18" s="29" t="s">
        <v>21</v>
      </c>
      <c r="N18" s="29" t="s">
        <v>22</v>
      </c>
      <c r="O18" s="29" t="s">
        <v>23</v>
      </c>
      <c r="P18" s="29" t="s">
        <v>24</v>
      </c>
      <c r="Q18" s="29" t="s">
        <v>25</v>
      </c>
    </row>
    <row r="19" spans="1:17" x14ac:dyDescent="0.25">
      <c r="A19" s="25">
        <v>6</v>
      </c>
      <c r="B19" s="25" t="s">
        <v>30</v>
      </c>
      <c r="C19" s="25" t="s">
        <v>123</v>
      </c>
      <c r="D19" s="25" t="s">
        <v>123</v>
      </c>
      <c r="E19" s="25" t="s">
        <v>124</v>
      </c>
      <c r="F19" s="25" t="s">
        <v>125</v>
      </c>
      <c r="G19" s="25">
        <v>-5.0999999999999996</v>
      </c>
      <c r="H19" s="25">
        <v>-14</v>
      </c>
      <c r="I19" s="30">
        <v>-8.9</v>
      </c>
      <c r="J19" s="25">
        <v>-1.6</v>
      </c>
      <c r="K19" s="25">
        <v>-16.100000000000001</v>
      </c>
      <c r="L19" s="25">
        <v>47.2</v>
      </c>
      <c r="M19" s="25">
        <v>56</v>
      </c>
      <c r="N19" s="30">
        <v>-8.8000000000000007</v>
      </c>
      <c r="O19" s="25"/>
      <c r="P19" s="25"/>
      <c r="Q19" s="25"/>
    </row>
    <row r="20" spans="1:17" x14ac:dyDescent="0.25">
      <c r="A20" s="25">
        <v>6</v>
      </c>
      <c r="B20" s="25" t="s">
        <v>30</v>
      </c>
      <c r="C20" s="25" t="s">
        <v>123</v>
      </c>
      <c r="D20" s="25" t="s">
        <v>123</v>
      </c>
      <c r="E20" s="25" t="s">
        <v>126</v>
      </c>
      <c r="F20" s="25" t="s">
        <v>127</v>
      </c>
      <c r="G20" s="25">
        <v>-3.2</v>
      </c>
      <c r="H20" s="25">
        <v>-3.5</v>
      </c>
      <c r="I20" s="25">
        <v>-0.3</v>
      </c>
      <c r="J20" s="25">
        <v>-0.2</v>
      </c>
      <c r="K20" s="25">
        <v>-5.3</v>
      </c>
      <c r="L20" s="25">
        <v>41</v>
      </c>
      <c r="M20" s="25">
        <v>43.5</v>
      </c>
      <c r="N20" s="30">
        <v>-2.5</v>
      </c>
      <c r="O20" s="25"/>
      <c r="P20" s="25"/>
      <c r="Q20" s="25"/>
    </row>
    <row r="21" spans="1:17" x14ac:dyDescent="0.25">
      <c r="A21" s="25">
        <v>6</v>
      </c>
      <c r="B21" s="25" t="s">
        <v>67</v>
      </c>
      <c r="C21" s="25" t="s">
        <v>123</v>
      </c>
      <c r="D21" s="25" t="s">
        <v>123</v>
      </c>
      <c r="E21" s="25" t="s">
        <v>128</v>
      </c>
      <c r="F21" s="25" t="s">
        <v>129</v>
      </c>
      <c r="G21" s="25">
        <v>6.3</v>
      </c>
      <c r="H21" s="25">
        <v>6.5</v>
      </c>
      <c r="I21" s="25">
        <v>0.2</v>
      </c>
      <c r="J21" s="25">
        <v>3.1</v>
      </c>
      <c r="K21" s="25">
        <v>1.6</v>
      </c>
      <c r="L21" s="25">
        <v>49.9</v>
      </c>
      <c r="M21" s="25">
        <v>48.5</v>
      </c>
      <c r="N21" s="25">
        <v>1.4</v>
      </c>
      <c r="O21" s="25"/>
      <c r="P21" s="25"/>
      <c r="Q21" s="25"/>
    </row>
    <row r="23" spans="1:17" ht="15.75" customHeight="1" x14ac:dyDescent="0.25">
      <c r="A23" s="24" t="s">
        <v>158</v>
      </c>
    </row>
    <row r="24" spans="1:17" ht="26.25" customHeight="1" x14ac:dyDescent="0.25">
      <c r="A24" s="29" t="s">
        <v>9</v>
      </c>
      <c r="B24" s="29" t="s">
        <v>10</v>
      </c>
      <c r="C24" s="29" t="s">
        <v>11</v>
      </c>
      <c r="D24" s="29" t="s">
        <v>12</v>
      </c>
      <c r="E24" s="29" t="s">
        <v>13</v>
      </c>
      <c r="F24" s="29" t="s">
        <v>14</v>
      </c>
      <c r="G24" s="29" t="s">
        <v>15</v>
      </c>
      <c r="H24" s="29" t="s">
        <v>16</v>
      </c>
      <c r="I24" s="29" t="s">
        <v>17</v>
      </c>
      <c r="J24" s="29" t="s">
        <v>18</v>
      </c>
      <c r="K24" s="29" t="s">
        <v>19</v>
      </c>
      <c r="L24" s="29" t="s">
        <v>20</v>
      </c>
      <c r="M24" s="29" t="s">
        <v>21</v>
      </c>
      <c r="N24" s="29" t="s">
        <v>22</v>
      </c>
      <c r="O24" s="29" t="s">
        <v>23</v>
      </c>
      <c r="P24" s="29" t="s">
        <v>24</v>
      </c>
      <c r="Q24" s="29" t="s">
        <v>25</v>
      </c>
    </row>
    <row r="25" spans="1:17" x14ac:dyDescent="0.25">
      <c r="A25" s="25">
        <v>5</v>
      </c>
      <c r="B25" s="25" t="s">
        <v>161</v>
      </c>
      <c r="C25" s="25" t="s">
        <v>123</v>
      </c>
      <c r="D25" s="25" t="s">
        <v>123</v>
      </c>
      <c r="E25" s="25" t="s">
        <v>127</v>
      </c>
      <c r="F25" s="25" t="s">
        <v>128</v>
      </c>
      <c r="G25" s="25">
        <v>-14.9</v>
      </c>
      <c r="H25" s="25">
        <v>-19.5</v>
      </c>
      <c r="I25" s="30">
        <v>-4.5999999999999996</v>
      </c>
      <c r="J25" s="25">
        <v>-18.399999999999999</v>
      </c>
      <c r="K25" s="25">
        <v>-17.600000000000001</v>
      </c>
      <c r="L25" s="25">
        <v>49.5</v>
      </c>
      <c r="M25" s="25">
        <v>51</v>
      </c>
      <c r="N25" s="25">
        <v>-1.5</v>
      </c>
      <c r="O25" s="25">
        <v>18</v>
      </c>
      <c r="P25" s="25">
        <v>37</v>
      </c>
      <c r="Q25" s="30" t="s">
        <v>160</v>
      </c>
    </row>
    <row r="26" spans="1:17" x14ac:dyDescent="0.25">
      <c r="A26" s="25">
        <v>5</v>
      </c>
      <c r="B26" s="25" t="s">
        <v>161</v>
      </c>
      <c r="C26" s="25" t="s">
        <v>123</v>
      </c>
      <c r="D26" s="25" t="s">
        <v>123</v>
      </c>
      <c r="E26" s="25" t="s">
        <v>125</v>
      </c>
      <c r="F26" s="25" t="s">
        <v>184</v>
      </c>
      <c r="G26" s="25">
        <v>1.7</v>
      </c>
      <c r="H26" s="25">
        <v>7</v>
      </c>
      <c r="I26" s="30">
        <v>5.3</v>
      </c>
      <c r="J26" s="25">
        <v>-1.3</v>
      </c>
      <c r="K26" s="25">
        <v>-0.1</v>
      </c>
      <c r="L26" s="25">
        <v>56.2</v>
      </c>
      <c r="M26" s="25">
        <v>61.5</v>
      </c>
      <c r="N26" s="30">
        <v>-5.3</v>
      </c>
      <c r="O26" s="25">
        <v>56</v>
      </c>
      <c r="P26" s="25">
        <v>26</v>
      </c>
      <c r="Q26" s="30" t="s">
        <v>160</v>
      </c>
    </row>
    <row r="27" spans="1:17" x14ac:dyDescent="0.25">
      <c r="A27" s="25">
        <v>5</v>
      </c>
      <c r="B27" s="25" t="s">
        <v>176</v>
      </c>
      <c r="C27" s="25" t="s">
        <v>123</v>
      </c>
      <c r="D27" s="25" t="s">
        <v>123</v>
      </c>
      <c r="E27" s="25" t="s">
        <v>185</v>
      </c>
      <c r="F27" s="25" t="s">
        <v>124</v>
      </c>
      <c r="G27" s="25">
        <v>4.5</v>
      </c>
      <c r="H27" s="25">
        <v>9.8000000000000007</v>
      </c>
      <c r="I27" s="30">
        <v>5.3</v>
      </c>
      <c r="J27" s="25">
        <v>2.8</v>
      </c>
      <c r="K27" s="25">
        <v>-0.7</v>
      </c>
      <c r="L27" s="25">
        <v>53.5</v>
      </c>
      <c r="M27" s="25">
        <v>57.5</v>
      </c>
      <c r="N27" s="30">
        <v>-4</v>
      </c>
      <c r="O27" s="25">
        <v>29</v>
      </c>
      <c r="P27" s="25">
        <v>31</v>
      </c>
      <c r="Q27" s="31" t="s">
        <v>164</v>
      </c>
    </row>
    <row r="28" spans="1:17" x14ac:dyDescent="0.25">
      <c r="A28" s="25">
        <v>5</v>
      </c>
      <c r="B28" s="25" t="s">
        <v>176</v>
      </c>
      <c r="C28" s="25" t="s">
        <v>123</v>
      </c>
      <c r="D28" s="25" t="s">
        <v>123</v>
      </c>
      <c r="E28" s="25" t="s">
        <v>129</v>
      </c>
      <c r="F28" s="25" t="s">
        <v>126</v>
      </c>
      <c r="G28" s="25">
        <v>-7.7</v>
      </c>
      <c r="H28" s="25">
        <v>-2.2000000000000002</v>
      </c>
      <c r="I28" s="30">
        <v>5.5</v>
      </c>
      <c r="J28" s="25">
        <v>2.5</v>
      </c>
      <c r="K28" s="25">
        <v>1.7</v>
      </c>
      <c r="L28" s="25">
        <v>41.4</v>
      </c>
      <c r="M28" s="25">
        <v>45</v>
      </c>
      <c r="N28" s="30">
        <v>-3.6</v>
      </c>
      <c r="O28" s="25">
        <v>26</v>
      </c>
      <c r="P28" s="25">
        <v>6</v>
      </c>
      <c r="Q28" s="31" t="s">
        <v>164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43"/>
  <sheetViews>
    <sheetView showGridLines="0" tabSelected="1" workbookViewId="0">
      <selection activeCell="G43" sqref="G43"/>
    </sheetView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523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524</v>
      </c>
      <c r="C3" s="28">
        <v>0.5</v>
      </c>
    </row>
    <row r="4" spans="1:6" x14ac:dyDescent="0.25">
      <c r="A4" s="25" t="s">
        <v>6</v>
      </c>
      <c r="B4" s="25" t="s">
        <v>525</v>
      </c>
      <c r="C4" s="28">
        <v>0.71399999999999997</v>
      </c>
    </row>
    <row r="6" spans="1:6" ht="15.6" customHeight="1" x14ac:dyDescent="0.25">
      <c r="A6" s="24" t="s">
        <v>526</v>
      </c>
    </row>
    <row r="7" spans="1:6" x14ac:dyDescent="0.25">
      <c r="A7" s="34" t="s">
        <v>313</v>
      </c>
      <c r="B7" s="34" t="s">
        <v>488</v>
      </c>
      <c r="C7" s="34" t="s">
        <v>489</v>
      </c>
      <c r="D7" s="34" t="s">
        <v>490</v>
      </c>
      <c r="E7" s="34" t="s">
        <v>491</v>
      </c>
      <c r="F7" s="34" t="s">
        <v>492</v>
      </c>
    </row>
    <row r="8" spans="1:6" x14ac:dyDescent="0.25">
      <c r="A8" s="25" t="s">
        <v>132</v>
      </c>
      <c r="B8" s="25">
        <v>3</v>
      </c>
      <c r="C8" s="25">
        <v>0</v>
      </c>
      <c r="D8" s="25">
        <v>1</v>
      </c>
      <c r="E8" s="25">
        <v>5</v>
      </c>
      <c r="F8" s="25">
        <v>0</v>
      </c>
    </row>
    <row r="9" spans="1:6" x14ac:dyDescent="0.25">
      <c r="A9" s="25" t="s">
        <v>131</v>
      </c>
      <c r="B9" s="25">
        <v>3</v>
      </c>
      <c r="C9" s="25">
        <v>0</v>
      </c>
      <c r="D9" s="25">
        <v>1</v>
      </c>
      <c r="E9" s="25">
        <v>5</v>
      </c>
      <c r="F9" s="25">
        <v>0</v>
      </c>
    </row>
    <row r="10" spans="1:6" x14ac:dyDescent="0.25">
      <c r="A10" s="25" t="s">
        <v>141</v>
      </c>
      <c r="B10" s="25">
        <v>1</v>
      </c>
      <c r="C10" s="25">
        <v>0</v>
      </c>
      <c r="D10" s="25">
        <v>1</v>
      </c>
      <c r="E10" s="25">
        <v>4</v>
      </c>
      <c r="F10" s="25">
        <v>0</v>
      </c>
    </row>
    <row r="11" spans="1:6" x14ac:dyDescent="0.25">
      <c r="A11" s="25" t="s">
        <v>136</v>
      </c>
      <c r="B11" s="25">
        <v>2</v>
      </c>
      <c r="C11" s="25">
        <v>1</v>
      </c>
      <c r="D11" s="25">
        <v>0.66700000000000004</v>
      </c>
      <c r="E11" s="25">
        <v>4</v>
      </c>
      <c r="F11" s="25">
        <v>1</v>
      </c>
    </row>
    <row r="12" spans="1:6" x14ac:dyDescent="0.25">
      <c r="A12" s="25" t="s">
        <v>138</v>
      </c>
      <c r="B12" s="25">
        <v>2</v>
      </c>
      <c r="C12" s="25">
        <v>1</v>
      </c>
      <c r="D12" s="25">
        <v>0.66700000000000004</v>
      </c>
      <c r="E12" s="25">
        <v>4</v>
      </c>
      <c r="F12" s="25">
        <v>1</v>
      </c>
    </row>
    <row r="13" spans="1:6" x14ac:dyDescent="0.25">
      <c r="A13" s="25" t="s">
        <v>188</v>
      </c>
      <c r="B13" s="25">
        <v>2</v>
      </c>
      <c r="C13" s="25">
        <v>1</v>
      </c>
      <c r="D13" s="25">
        <v>0.66700000000000004</v>
      </c>
      <c r="E13" s="25">
        <v>4</v>
      </c>
      <c r="F13" s="25">
        <v>1</v>
      </c>
    </row>
    <row r="14" spans="1:6" x14ac:dyDescent="0.25">
      <c r="A14" s="25" t="s">
        <v>137</v>
      </c>
      <c r="B14" s="25">
        <v>1</v>
      </c>
      <c r="C14" s="25">
        <v>1</v>
      </c>
      <c r="D14" s="25">
        <v>0.5</v>
      </c>
      <c r="E14" s="25">
        <v>4</v>
      </c>
      <c r="F14" s="25">
        <v>1</v>
      </c>
    </row>
    <row r="15" spans="1:6" x14ac:dyDescent="0.25">
      <c r="A15" s="25" t="s">
        <v>140</v>
      </c>
      <c r="B15" s="25">
        <v>1</v>
      </c>
      <c r="C15" s="25">
        <v>1</v>
      </c>
      <c r="D15" s="25">
        <v>0.5</v>
      </c>
      <c r="E15" s="25">
        <v>4</v>
      </c>
      <c r="F15" s="25">
        <v>1</v>
      </c>
    </row>
    <row r="16" spans="1:6" x14ac:dyDescent="0.25">
      <c r="A16" s="25" t="s">
        <v>133</v>
      </c>
      <c r="B16" s="25">
        <v>1</v>
      </c>
      <c r="C16" s="25">
        <v>1</v>
      </c>
      <c r="D16" s="25">
        <v>0.5</v>
      </c>
      <c r="E16" s="25">
        <v>4</v>
      </c>
      <c r="F16" s="25">
        <v>1</v>
      </c>
    </row>
    <row r="17" spans="1:17" x14ac:dyDescent="0.25">
      <c r="A17" s="25" t="s">
        <v>143</v>
      </c>
      <c r="B17" s="25">
        <v>1</v>
      </c>
      <c r="C17" s="25">
        <v>1</v>
      </c>
      <c r="D17" s="25">
        <v>0.5</v>
      </c>
      <c r="E17" s="25">
        <v>3</v>
      </c>
      <c r="F17" s="25">
        <v>1</v>
      </c>
    </row>
    <row r="18" spans="1:17" x14ac:dyDescent="0.25">
      <c r="A18" s="25" t="s">
        <v>189</v>
      </c>
      <c r="B18" s="25">
        <v>1</v>
      </c>
      <c r="C18" s="25">
        <v>2</v>
      </c>
      <c r="D18" s="25">
        <v>0.33300000000000002</v>
      </c>
      <c r="E18" s="25">
        <v>3</v>
      </c>
      <c r="F18" s="25">
        <v>2</v>
      </c>
    </row>
    <row r="19" spans="1:17" x14ac:dyDescent="0.25">
      <c r="A19" s="25" t="s">
        <v>139</v>
      </c>
      <c r="B19" s="25">
        <v>1</v>
      </c>
      <c r="C19" s="25">
        <v>2</v>
      </c>
      <c r="D19" s="25">
        <v>0.33300000000000002</v>
      </c>
      <c r="E19" s="25">
        <v>3</v>
      </c>
      <c r="F19" s="25">
        <v>2</v>
      </c>
    </row>
    <row r="20" spans="1:17" ht="26.45" customHeight="1" x14ac:dyDescent="0.25">
      <c r="A20" s="25" t="s">
        <v>144</v>
      </c>
      <c r="B20" s="25">
        <v>0</v>
      </c>
      <c r="C20" s="25">
        <v>2</v>
      </c>
      <c r="D20" s="25">
        <v>0</v>
      </c>
      <c r="E20" s="25">
        <v>3</v>
      </c>
      <c r="F20" s="25">
        <v>2</v>
      </c>
    </row>
    <row r="21" spans="1:17" x14ac:dyDescent="0.25">
      <c r="A21" s="25" t="s">
        <v>142</v>
      </c>
      <c r="B21" s="25">
        <v>0</v>
      </c>
      <c r="C21" s="25">
        <v>1</v>
      </c>
      <c r="D21" s="25">
        <v>0</v>
      </c>
      <c r="E21" s="25">
        <v>2</v>
      </c>
      <c r="F21" s="25">
        <v>2</v>
      </c>
    </row>
    <row r="22" spans="1:17" x14ac:dyDescent="0.25">
      <c r="A22" s="25" t="s">
        <v>134</v>
      </c>
      <c r="B22" s="25">
        <v>0</v>
      </c>
      <c r="C22" s="25">
        <v>2</v>
      </c>
      <c r="D22" s="25">
        <v>0</v>
      </c>
      <c r="E22" s="25">
        <v>2</v>
      </c>
      <c r="F22" s="25">
        <v>3</v>
      </c>
    </row>
    <row r="23" spans="1:17" x14ac:dyDescent="0.25">
      <c r="A23" s="25" t="s">
        <v>135</v>
      </c>
      <c r="B23" s="25">
        <v>0</v>
      </c>
      <c r="C23" s="25">
        <v>3</v>
      </c>
      <c r="D23" s="25">
        <v>0</v>
      </c>
      <c r="E23" s="25">
        <v>2</v>
      </c>
      <c r="F23" s="25">
        <v>3</v>
      </c>
    </row>
    <row r="25" spans="1:17" ht="26.45" customHeight="1" x14ac:dyDescent="0.25">
      <c r="A25" s="24" t="s">
        <v>8</v>
      </c>
    </row>
    <row r="26" spans="1:17" ht="26.25" customHeight="1" x14ac:dyDescent="0.25">
      <c r="A26" s="29" t="s">
        <v>9</v>
      </c>
      <c r="B26" s="29" t="s">
        <v>10</v>
      </c>
      <c r="C26" s="29" t="s">
        <v>11</v>
      </c>
      <c r="D26" s="29" t="s">
        <v>12</v>
      </c>
      <c r="E26" s="29" t="s">
        <v>13</v>
      </c>
      <c r="F26" s="29" t="s">
        <v>14</v>
      </c>
      <c r="G26" s="29" t="s">
        <v>15</v>
      </c>
      <c r="H26" s="29" t="s">
        <v>16</v>
      </c>
      <c r="I26" s="29" t="s">
        <v>17</v>
      </c>
      <c r="J26" s="29" t="s">
        <v>18</v>
      </c>
      <c r="K26" s="29" t="s">
        <v>19</v>
      </c>
      <c r="L26" s="29" t="s">
        <v>20</v>
      </c>
      <c r="M26" s="29" t="s">
        <v>21</v>
      </c>
      <c r="N26" s="29" t="s">
        <v>22</v>
      </c>
      <c r="O26" s="29" t="s">
        <v>23</v>
      </c>
      <c r="P26" s="29" t="s">
        <v>24</v>
      </c>
      <c r="Q26" s="29" t="s">
        <v>25</v>
      </c>
    </row>
    <row r="27" spans="1:17" x14ac:dyDescent="0.25">
      <c r="A27" s="25">
        <v>6</v>
      </c>
      <c r="B27" s="25" t="s">
        <v>30</v>
      </c>
      <c r="C27" s="25" t="s">
        <v>130</v>
      </c>
      <c r="D27" s="25" t="s">
        <v>130</v>
      </c>
      <c r="E27" s="25" t="s">
        <v>131</v>
      </c>
      <c r="F27" s="25" t="s">
        <v>132</v>
      </c>
      <c r="G27" s="25">
        <v>-0.6</v>
      </c>
      <c r="H27" s="25">
        <v>0.8</v>
      </c>
      <c r="I27" s="25">
        <v>1.3</v>
      </c>
      <c r="J27" s="25">
        <v>2.6</v>
      </c>
      <c r="K27" s="25">
        <v>-6.4</v>
      </c>
      <c r="L27" s="25">
        <v>51.1</v>
      </c>
      <c r="M27" s="25">
        <v>56</v>
      </c>
      <c r="N27" s="30">
        <v>-4.9000000000000004</v>
      </c>
      <c r="O27" s="25"/>
      <c r="P27" s="25"/>
      <c r="Q27" s="25"/>
    </row>
    <row r="28" spans="1:17" x14ac:dyDescent="0.25">
      <c r="A28" s="25">
        <v>6</v>
      </c>
      <c r="B28" s="25" t="s">
        <v>30</v>
      </c>
      <c r="C28" s="25" t="s">
        <v>130</v>
      </c>
      <c r="D28" s="25" t="s">
        <v>130</v>
      </c>
      <c r="E28" s="25" t="s">
        <v>133</v>
      </c>
      <c r="F28" s="25" t="s">
        <v>134</v>
      </c>
      <c r="G28" s="25">
        <v>11.7</v>
      </c>
      <c r="H28" s="25">
        <v>13.5</v>
      </c>
      <c r="I28" s="25">
        <v>1.8</v>
      </c>
      <c r="J28" s="25">
        <v>14.4</v>
      </c>
      <c r="K28" s="25">
        <v>10.8</v>
      </c>
      <c r="L28" s="25">
        <v>53.2</v>
      </c>
      <c r="M28" s="25">
        <v>50</v>
      </c>
      <c r="N28" s="30">
        <v>3.2</v>
      </c>
      <c r="O28" s="25"/>
      <c r="P28" s="25"/>
      <c r="Q28" s="25"/>
    </row>
    <row r="29" spans="1:17" x14ac:dyDescent="0.25">
      <c r="A29" s="25">
        <v>6</v>
      </c>
      <c r="B29" s="25" t="s">
        <v>30</v>
      </c>
      <c r="C29" s="25" t="s">
        <v>130</v>
      </c>
      <c r="D29" s="25" t="s">
        <v>130</v>
      </c>
      <c r="E29" s="25" t="s">
        <v>135</v>
      </c>
      <c r="F29" s="25" t="s">
        <v>136</v>
      </c>
      <c r="G29" s="25">
        <v>0.3</v>
      </c>
      <c r="H29" s="25">
        <v>-14.2</v>
      </c>
      <c r="I29" s="30">
        <v>-14.5</v>
      </c>
      <c r="J29" s="25">
        <v>-9.1999999999999993</v>
      </c>
      <c r="K29" s="25">
        <v>-10.8</v>
      </c>
      <c r="L29" s="25">
        <v>53.9</v>
      </c>
      <c r="M29" s="25">
        <v>59.8</v>
      </c>
      <c r="N29" s="30">
        <v>-5.8</v>
      </c>
      <c r="O29" s="25"/>
      <c r="P29" s="25"/>
      <c r="Q29" s="25"/>
    </row>
    <row r="30" spans="1:17" x14ac:dyDescent="0.25">
      <c r="A30" s="25">
        <v>6</v>
      </c>
      <c r="B30" s="25" t="s">
        <v>30</v>
      </c>
      <c r="C30" s="25" t="s">
        <v>130</v>
      </c>
      <c r="D30" s="25" t="s">
        <v>130</v>
      </c>
      <c r="E30" s="25" t="s">
        <v>137</v>
      </c>
      <c r="F30" s="25" t="s">
        <v>138</v>
      </c>
      <c r="G30" s="25">
        <v>10.1</v>
      </c>
      <c r="H30" s="25">
        <v>10.199999999999999</v>
      </c>
      <c r="I30" s="25">
        <v>0.2</v>
      </c>
      <c r="J30" s="25">
        <v>6.8</v>
      </c>
      <c r="K30" s="25">
        <v>6.7</v>
      </c>
      <c r="L30" s="25">
        <v>46.2</v>
      </c>
      <c r="M30" s="25">
        <v>52.5</v>
      </c>
      <c r="N30" s="30">
        <v>-6.3</v>
      </c>
      <c r="O30" s="25"/>
      <c r="P30" s="25"/>
      <c r="Q30" s="25"/>
    </row>
    <row r="31" spans="1:17" x14ac:dyDescent="0.25">
      <c r="A31" s="25">
        <v>6</v>
      </c>
      <c r="B31" s="25" t="s">
        <v>30</v>
      </c>
      <c r="C31" s="25" t="s">
        <v>130</v>
      </c>
      <c r="D31" s="25" t="s">
        <v>130</v>
      </c>
      <c r="E31" s="25" t="s">
        <v>139</v>
      </c>
      <c r="F31" s="25" t="s">
        <v>140</v>
      </c>
      <c r="G31" s="25">
        <v>0.6</v>
      </c>
      <c r="H31" s="25">
        <v>-2.5</v>
      </c>
      <c r="I31" s="30">
        <v>-3.1</v>
      </c>
      <c r="J31" s="25">
        <v>0.2</v>
      </c>
      <c r="K31" s="25">
        <v>-9.1</v>
      </c>
      <c r="L31" s="25">
        <v>45.6</v>
      </c>
      <c r="M31" s="25">
        <v>49.2</v>
      </c>
      <c r="N31" s="30">
        <v>-3.7</v>
      </c>
      <c r="O31" s="25"/>
      <c r="P31" s="25"/>
      <c r="Q31" s="25"/>
    </row>
    <row r="32" spans="1:17" x14ac:dyDescent="0.25">
      <c r="A32" s="25">
        <v>6</v>
      </c>
      <c r="B32" s="25" t="s">
        <v>30</v>
      </c>
      <c r="C32" s="25" t="s">
        <v>130</v>
      </c>
      <c r="D32" s="25" t="s">
        <v>130</v>
      </c>
      <c r="E32" s="25" t="s">
        <v>141</v>
      </c>
      <c r="F32" s="25" t="s">
        <v>142</v>
      </c>
      <c r="G32" s="25">
        <v>8.1</v>
      </c>
      <c r="H32" s="25">
        <v>9</v>
      </c>
      <c r="I32" s="25">
        <v>0.9</v>
      </c>
      <c r="J32" s="25">
        <v>16.899999999999999</v>
      </c>
      <c r="K32" s="25">
        <v>10.4</v>
      </c>
      <c r="L32" s="25">
        <v>35.5</v>
      </c>
      <c r="M32" s="25">
        <v>40.200000000000003</v>
      </c>
      <c r="N32" s="30">
        <v>-4.7</v>
      </c>
      <c r="O32" s="25"/>
      <c r="P32" s="25"/>
      <c r="Q32" s="25"/>
    </row>
    <row r="33" spans="1:17" x14ac:dyDescent="0.25">
      <c r="A33" s="25">
        <v>6</v>
      </c>
      <c r="B33" s="25" t="s">
        <v>30</v>
      </c>
      <c r="C33" s="25" t="s">
        <v>130</v>
      </c>
      <c r="D33" s="25" t="s">
        <v>130</v>
      </c>
      <c r="E33" s="25" t="s">
        <v>143</v>
      </c>
      <c r="F33" s="25" t="s">
        <v>144</v>
      </c>
      <c r="G33" s="25">
        <v>-0.3</v>
      </c>
      <c r="H33" s="25">
        <v>10</v>
      </c>
      <c r="I33" s="30">
        <v>10.3</v>
      </c>
      <c r="J33" s="25">
        <v>5.2</v>
      </c>
      <c r="K33" s="25">
        <v>-0.9</v>
      </c>
      <c r="L33" s="25">
        <v>52.5</v>
      </c>
      <c r="M33" s="25">
        <v>59</v>
      </c>
      <c r="N33" s="30">
        <v>-6.5</v>
      </c>
      <c r="O33" s="25"/>
      <c r="P33" s="25"/>
      <c r="Q33" s="25"/>
    </row>
    <row r="35" spans="1:17" ht="15.75" customHeight="1" x14ac:dyDescent="0.25">
      <c r="A35" s="24" t="s">
        <v>158</v>
      </c>
    </row>
    <row r="36" spans="1:17" ht="26.25" customHeight="1" x14ac:dyDescent="0.25">
      <c r="A36" s="29" t="s">
        <v>9</v>
      </c>
      <c r="B36" s="29" t="s">
        <v>10</v>
      </c>
      <c r="C36" s="29" t="s">
        <v>11</v>
      </c>
      <c r="D36" s="29" t="s">
        <v>12</v>
      </c>
      <c r="E36" s="29" t="s">
        <v>13</v>
      </c>
      <c r="F36" s="29" t="s">
        <v>14</v>
      </c>
      <c r="G36" s="29" t="s">
        <v>15</v>
      </c>
      <c r="H36" s="29" t="s">
        <v>16</v>
      </c>
      <c r="I36" s="29" t="s">
        <v>17</v>
      </c>
      <c r="J36" s="29" t="s">
        <v>18</v>
      </c>
      <c r="K36" s="29" t="s">
        <v>19</v>
      </c>
      <c r="L36" s="29" t="s">
        <v>20</v>
      </c>
      <c r="M36" s="29" t="s">
        <v>21</v>
      </c>
      <c r="N36" s="29" t="s">
        <v>22</v>
      </c>
      <c r="O36" s="29" t="s">
        <v>23</v>
      </c>
      <c r="P36" s="29" t="s">
        <v>24</v>
      </c>
      <c r="Q36" s="29" t="s">
        <v>25</v>
      </c>
    </row>
    <row r="37" spans="1:17" x14ac:dyDescent="0.25">
      <c r="A37" s="25">
        <v>5</v>
      </c>
      <c r="B37" s="25" t="s">
        <v>161</v>
      </c>
      <c r="C37" s="25" t="s">
        <v>130</v>
      </c>
      <c r="D37" s="25" t="s">
        <v>130</v>
      </c>
      <c r="E37" s="25" t="s">
        <v>144</v>
      </c>
      <c r="F37" s="25" t="s">
        <v>131</v>
      </c>
      <c r="G37" s="25">
        <v>-15.4</v>
      </c>
      <c r="H37" s="25">
        <v>-25.5</v>
      </c>
      <c r="I37" s="30">
        <v>-10.1</v>
      </c>
      <c r="J37" s="25">
        <v>-20.6</v>
      </c>
      <c r="K37" s="25">
        <v>-23.4</v>
      </c>
      <c r="L37" s="25">
        <v>48.9</v>
      </c>
      <c r="M37" s="25">
        <v>50.2</v>
      </c>
      <c r="N37" s="25">
        <v>-1.4</v>
      </c>
      <c r="O37" s="25">
        <v>14</v>
      </c>
      <c r="P37" s="25">
        <v>38</v>
      </c>
      <c r="Q37" s="30" t="s">
        <v>160</v>
      </c>
    </row>
    <row r="38" spans="1:17" x14ac:dyDescent="0.25">
      <c r="A38" s="25">
        <v>5</v>
      </c>
      <c r="B38" s="25" t="s">
        <v>161</v>
      </c>
      <c r="C38" s="25" t="s">
        <v>130</v>
      </c>
      <c r="D38" s="25" t="s">
        <v>186</v>
      </c>
      <c r="E38" s="25" t="s">
        <v>187</v>
      </c>
      <c r="F38" s="25" t="s">
        <v>137</v>
      </c>
      <c r="G38" s="25">
        <v>-61.5</v>
      </c>
      <c r="H38" s="25">
        <v>-53.2</v>
      </c>
      <c r="I38" s="30">
        <v>8.1999999999999993</v>
      </c>
      <c r="J38" s="25">
        <v>-39</v>
      </c>
      <c r="K38" s="25">
        <v>-23.6</v>
      </c>
      <c r="L38" s="25">
        <v>57.7</v>
      </c>
      <c r="M38" s="25">
        <v>62</v>
      </c>
      <c r="N38" s="30">
        <v>-4.3</v>
      </c>
      <c r="O38" s="25">
        <v>14</v>
      </c>
      <c r="P38" s="25">
        <v>63</v>
      </c>
      <c r="Q38" s="30" t="s">
        <v>160</v>
      </c>
    </row>
    <row r="39" spans="1:17" x14ac:dyDescent="0.25">
      <c r="A39" s="25">
        <v>5</v>
      </c>
      <c r="B39" s="25" t="s">
        <v>161</v>
      </c>
      <c r="C39" s="25" t="s">
        <v>130</v>
      </c>
      <c r="D39" s="25" t="s">
        <v>130</v>
      </c>
      <c r="E39" s="25" t="s">
        <v>132</v>
      </c>
      <c r="F39" s="25" t="s">
        <v>188</v>
      </c>
      <c r="G39" s="25">
        <v>8.4</v>
      </c>
      <c r="H39" s="25">
        <v>5.5</v>
      </c>
      <c r="I39" s="30">
        <v>-2.9</v>
      </c>
      <c r="J39" s="25">
        <v>12.2</v>
      </c>
      <c r="K39" s="25">
        <v>-0.2</v>
      </c>
      <c r="L39" s="25">
        <v>55.3</v>
      </c>
      <c r="M39" s="25">
        <v>62</v>
      </c>
      <c r="N39" s="30">
        <v>-6.7</v>
      </c>
      <c r="O39" s="25">
        <v>56</v>
      </c>
      <c r="P39" s="25">
        <v>23</v>
      </c>
      <c r="Q39" s="30" t="s">
        <v>160</v>
      </c>
    </row>
    <row r="40" spans="1:17" x14ac:dyDescent="0.25">
      <c r="A40" s="25">
        <v>5</v>
      </c>
      <c r="B40" s="25" t="s">
        <v>161</v>
      </c>
      <c r="C40" s="25" t="s">
        <v>130</v>
      </c>
      <c r="D40" s="25" t="s">
        <v>130</v>
      </c>
      <c r="E40" s="25" t="s">
        <v>136</v>
      </c>
      <c r="F40" s="25" t="s">
        <v>140</v>
      </c>
      <c r="G40" s="25">
        <v>3</v>
      </c>
      <c r="H40" s="25">
        <v>5.5</v>
      </c>
      <c r="I40" s="30">
        <v>2.5</v>
      </c>
      <c r="J40" s="25">
        <v>0.9</v>
      </c>
      <c r="K40" s="25">
        <v>4.7</v>
      </c>
      <c r="L40" s="25">
        <v>51</v>
      </c>
      <c r="M40" s="25">
        <v>57.8</v>
      </c>
      <c r="N40" s="30">
        <v>-6.7</v>
      </c>
      <c r="O40" s="25">
        <v>17</v>
      </c>
      <c r="P40" s="25">
        <v>45</v>
      </c>
      <c r="Q40" s="31" t="s">
        <v>164</v>
      </c>
    </row>
    <row r="41" spans="1:17" x14ac:dyDescent="0.25">
      <c r="A41" s="25">
        <v>5</v>
      </c>
      <c r="B41" s="25" t="s">
        <v>161</v>
      </c>
      <c r="C41" s="25" t="s">
        <v>130</v>
      </c>
      <c r="D41" s="25" t="s">
        <v>130</v>
      </c>
      <c r="E41" s="25" t="s">
        <v>138</v>
      </c>
      <c r="F41" s="25" t="s">
        <v>135</v>
      </c>
      <c r="G41" s="25">
        <v>-15.8</v>
      </c>
      <c r="H41" s="25">
        <v>-2.5</v>
      </c>
      <c r="I41" s="30">
        <v>13.3</v>
      </c>
      <c r="J41" s="25">
        <v>-4</v>
      </c>
      <c r="K41" s="25">
        <v>-5.3</v>
      </c>
      <c r="L41" s="25">
        <v>51.8</v>
      </c>
      <c r="M41" s="25">
        <v>53</v>
      </c>
      <c r="N41" s="25">
        <v>-1.2</v>
      </c>
      <c r="O41" s="25">
        <v>35</v>
      </c>
      <c r="P41" s="25">
        <v>34</v>
      </c>
      <c r="Q41" s="31" t="s">
        <v>164</v>
      </c>
    </row>
    <row r="42" spans="1:17" x14ac:dyDescent="0.25">
      <c r="A42" s="25">
        <v>5</v>
      </c>
      <c r="B42" s="25" t="s">
        <v>161</v>
      </c>
      <c r="C42" s="25" t="s">
        <v>130</v>
      </c>
      <c r="D42" s="25" t="s">
        <v>130</v>
      </c>
      <c r="E42" s="25" t="s">
        <v>189</v>
      </c>
      <c r="F42" s="25" t="s">
        <v>133</v>
      </c>
      <c r="G42" s="25">
        <v>-11.1</v>
      </c>
      <c r="H42" s="25">
        <v>-6.2</v>
      </c>
      <c r="I42" s="30">
        <v>4.8</v>
      </c>
      <c r="J42" s="25">
        <v>-14.1</v>
      </c>
      <c r="K42" s="25">
        <v>-11</v>
      </c>
      <c r="L42" s="25">
        <v>48</v>
      </c>
      <c r="M42" s="25">
        <v>54.2</v>
      </c>
      <c r="N42" s="30">
        <v>-6.3</v>
      </c>
      <c r="O42" s="25">
        <v>14</v>
      </c>
      <c r="P42" s="25">
        <v>24</v>
      </c>
      <c r="Q42" s="30" t="s">
        <v>160</v>
      </c>
    </row>
    <row r="43" spans="1:17" x14ac:dyDescent="0.25">
      <c r="A43" s="25">
        <v>5</v>
      </c>
      <c r="B43" s="25" t="s">
        <v>161</v>
      </c>
      <c r="C43" s="25" t="s">
        <v>130</v>
      </c>
      <c r="D43" s="25" t="s">
        <v>130</v>
      </c>
      <c r="E43" s="25" t="s">
        <v>134</v>
      </c>
      <c r="F43" s="25" t="s">
        <v>139</v>
      </c>
      <c r="G43" s="25">
        <v>-17.100000000000001</v>
      </c>
      <c r="H43" s="25">
        <v>-13.8</v>
      </c>
      <c r="I43" s="30">
        <v>3.3</v>
      </c>
      <c r="J43" s="25">
        <v>-17</v>
      </c>
      <c r="K43" s="25">
        <v>-9.6999999999999993</v>
      </c>
      <c r="L43" s="25">
        <v>48.9</v>
      </c>
      <c r="M43" s="25">
        <v>50.8</v>
      </c>
      <c r="N43" s="25">
        <v>-1.8</v>
      </c>
      <c r="O43" s="25">
        <v>7</v>
      </c>
      <c r="P43" s="25">
        <v>34</v>
      </c>
      <c r="Q43" s="30" t="s">
        <v>160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Q39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527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498</v>
      </c>
      <c r="C3" s="28">
        <v>0.55900000000000005</v>
      </c>
    </row>
    <row r="4" spans="1:6" x14ac:dyDescent="0.25">
      <c r="A4" s="25" t="s">
        <v>6</v>
      </c>
      <c r="B4" s="25" t="s">
        <v>515</v>
      </c>
      <c r="C4" s="28">
        <v>0.5</v>
      </c>
    </row>
    <row r="6" spans="1:6" ht="15.6" customHeight="1" x14ac:dyDescent="0.25">
      <c r="A6" s="24" t="s">
        <v>528</v>
      </c>
    </row>
    <row r="7" spans="1:6" x14ac:dyDescent="0.25">
      <c r="A7" s="34" t="s">
        <v>313</v>
      </c>
      <c r="B7" s="34" t="s">
        <v>488</v>
      </c>
      <c r="C7" s="34" t="s">
        <v>489</v>
      </c>
      <c r="D7" s="34" t="s">
        <v>490</v>
      </c>
      <c r="E7" s="34" t="s">
        <v>491</v>
      </c>
      <c r="F7" s="34" t="s">
        <v>492</v>
      </c>
    </row>
    <row r="8" spans="1:6" x14ac:dyDescent="0.25">
      <c r="A8" s="25" t="s">
        <v>152</v>
      </c>
      <c r="B8" s="25">
        <v>2</v>
      </c>
      <c r="C8" s="25">
        <v>0</v>
      </c>
      <c r="D8" s="25">
        <v>1</v>
      </c>
      <c r="E8" s="25">
        <v>5</v>
      </c>
      <c r="F8" s="25">
        <v>0</v>
      </c>
    </row>
    <row r="9" spans="1:6" x14ac:dyDescent="0.25">
      <c r="A9" s="25" t="s">
        <v>190</v>
      </c>
      <c r="B9" s="25">
        <v>1</v>
      </c>
      <c r="C9" s="25">
        <v>0</v>
      </c>
      <c r="D9" s="25">
        <v>1</v>
      </c>
      <c r="E9" s="25">
        <v>4</v>
      </c>
      <c r="F9" s="25">
        <v>1</v>
      </c>
    </row>
    <row r="10" spans="1:6" x14ac:dyDescent="0.25">
      <c r="A10" s="25" t="s">
        <v>154</v>
      </c>
      <c r="B10" s="25">
        <v>1</v>
      </c>
      <c r="C10" s="25">
        <v>0</v>
      </c>
      <c r="D10" s="25">
        <v>1</v>
      </c>
      <c r="E10" s="25">
        <v>4</v>
      </c>
      <c r="F10" s="25">
        <v>1</v>
      </c>
    </row>
    <row r="11" spans="1:6" x14ac:dyDescent="0.25">
      <c r="A11" s="25" t="s">
        <v>148</v>
      </c>
      <c r="B11" s="25">
        <v>1</v>
      </c>
      <c r="C11" s="25">
        <v>0</v>
      </c>
      <c r="D11" s="25">
        <v>1</v>
      </c>
      <c r="E11" s="25">
        <v>3</v>
      </c>
      <c r="F11" s="25">
        <v>2</v>
      </c>
    </row>
    <row r="12" spans="1:6" x14ac:dyDescent="0.25">
      <c r="A12" s="25" t="s">
        <v>153</v>
      </c>
      <c r="B12" s="25">
        <v>1</v>
      </c>
      <c r="C12" s="25">
        <v>0</v>
      </c>
      <c r="D12" s="25">
        <v>1</v>
      </c>
      <c r="E12" s="25">
        <v>2</v>
      </c>
      <c r="F12" s="25">
        <v>3</v>
      </c>
    </row>
    <row r="13" spans="1:6" x14ac:dyDescent="0.25">
      <c r="A13" s="25" t="s">
        <v>151</v>
      </c>
      <c r="B13" s="25">
        <v>0</v>
      </c>
      <c r="C13" s="25">
        <v>0</v>
      </c>
      <c r="D13" s="25"/>
      <c r="E13" s="25">
        <v>3</v>
      </c>
      <c r="F13" s="25">
        <v>1</v>
      </c>
    </row>
    <row r="14" spans="1:6" x14ac:dyDescent="0.25">
      <c r="A14" s="25" t="s">
        <v>157</v>
      </c>
      <c r="B14" s="25">
        <v>0</v>
      </c>
      <c r="C14" s="25">
        <v>1</v>
      </c>
      <c r="D14" s="25">
        <v>0</v>
      </c>
      <c r="E14" s="25">
        <v>3</v>
      </c>
      <c r="F14" s="25">
        <v>2</v>
      </c>
    </row>
    <row r="15" spans="1:6" x14ac:dyDescent="0.25">
      <c r="A15" s="25" t="s">
        <v>155</v>
      </c>
      <c r="B15" s="25">
        <v>0</v>
      </c>
      <c r="C15" s="25">
        <v>0</v>
      </c>
      <c r="D15" s="25"/>
      <c r="E15" s="25">
        <v>2</v>
      </c>
      <c r="F15" s="25">
        <v>2</v>
      </c>
    </row>
    <row r="16" spans="1:6" x14ac:dyDescent="0.25">
      <c r="A16" s="25" t="s">
        <v>147</v>
      </c>
      <c r="B16" s="25">
        <v>0</v>
      </c>
      <c r="C16" s="25">
        <v>0</v>
      </c>
      <c r="D16" s="25"/>
      <c r="E16" s="25">
        <v>2</v>
      </c>
      <c r="F16" s="25">
        <v>2</v>
      </c>
    </row>
    <row r="17" spans="1:17" x14ac:dyDescent="0.25">
      <c r="A17" s="25" t="s">
        <v>149</v>
      </c>
      <c r="B17" s="25">
        <v>0</v>
      </c>
      <c r="C17" s="25">
        <v>1</v>
      </c>
      <c r="D17" s="25">
        <v>0</v>
      </c>
      <c r="E17" s="25">
        <v>2</v>
      </c>
      <c r="F17" s="25">
        <v>3</v>
      </c>
    </row>
    <row r="18" spans="1:17" ht="26.45" customHeight="1" x14ac:dyDescent="0.25">
      <c r="A18" s="25" t="s">
        <v>146</v>
      </c>
      <c r="B18" s="25">
        <v>0</v>
      </c>
      <c r="C18" s="25">
        <v>0</v>
      </c>
      <c r="D18" s="25"/>
      <c r="E18" s="25">
        <v>1</v>
      </c>
      <c r="F18" s="25">
        <v>3</v>
      </c>
    </row>
    <row r="19" spans="1:17" x14ac:dyDescent="0.25">
      <c r="A19" s="25" t="s">
        <v>156</v>
      </c>
      <c r="B19" s="25">
        <v>0</v>
      </c>
      <c r="C19" s="25">
        <v>1</v>
      </c>
      <c r="D19" s="25">
        <v>0</v>
      </c>
      <c r="E19" s="25">
        <v>1</v>
      </c>
      <c r="F19" s="25">
        <v>4</v>
      </c>
    </row>
    <row r="20" spans="1:17" x14ac:dyDescent="0.25">
      <c r="A20" s="25" t="s">
        <v>150</v>
      </c>
      <c r="B20" s="25">
        <v>0</v>
      </c>
      <c r="C20" s="25">
        <v>2</v>
      </c>
      <c r="D20" s="25">
        <v>0</v>
      </c>
      <c r="E20" s="25">
        <v>1</v>
      </c>
      <c r="F20" s="25">
        <v>4</v>
      </c>
    </row>
    <row r="21" spans="1:17" x14ac:dyDescent="0.25">
      <c r="A21" s="25" t="s">
        <v>191</v>
      </c>
      <c r="B21" s="25">
        <v>0</v>
      </c>
      <c r="C21" s="25">
        <v>1</v>
      </c>
      <c r="D21" s="25">
        <v>0</v>
      </c>
      <c r="E21" s="25">
        <v>0</v>
      </c>
      <c r="F21" s="25">
        <v>5</v>
      </c>
    </row>
    <row r="23" spans="1:17" ht="26.45" customHeight="1" x14ac:dyDescent="0.25">
      <c r="A23" s="24" t="s">
        <v>8</v>
      </c>
    </row>
    <row r="24" spans="1:17" ht="26.25" customHeight="1" x14ac:dyDescent="0.25">
      <c r="A24" s="29" t="s">
        <v>9</v>
      </c>
      <c r="B24" s="29" t="s">
        <v>10</v>
      </c>
      <c r="C24" s="29" t="s">
        <v>11</v>
      </c>
      <c r="D24" s="29" t="s">
        <v>12</v>
      </c>
      <c r="E24" s="29" t="s">
        <v>13</v>
      </c>
      <c r="F24" s="29" t="s">
        <v>14</v>
      </c>
      <c r="G24" s="29" t="s">
        <v>15</v>
      </c>
      <c r="H24" s="29" t="s">
        <v>16</v>
      </c>
      <c r="I24" s="29" t="s">
        <v>17</v>
      </c>
      <c r="J24" s="29" t="s">
        <v>18</v>
      </c>
      <c r="K24" s="29" t="s">
        <v>19</v>
      </c>
      <c r="L24" s="29" t="s">
        <v>20</v>
      </c>
      <c r="M24" s="29" t="s">
        <v>21</v>
      </c>
      <c r="N24" s="29" t="s">
        <v>22</v>
      </c>
      <c r="O24" s="29" t="s">
        <v>23</v>
      </c>
      <c r="P24" s="29" t="s">
        <v>24</v>
      </c>
      <c r="Q24" s="29" t="s">
        <v>25</v>
      </c>
    </row>
    <row r="25" spans="1:17" x14ac:dyDescent="0.25">
      <c r="A25" s="25">
        <v>6</v>
      </c>
      <c r="B25" s="25" t="s">
        <v>91</v>
      </c>
      <c r="C25" s="25" t="s">
        <v>145</v>
      </c>
      <c r="D25" s="25" t="s">
        <v>145</v>
      </c>
      <c r="E25" s="25" t="s">
        <v>146</v>
      </c>
      <c r="F25" s="25" t="s">
        <v>147</v>
      </c>
      <c r="G25" s="25">
        <v>-7</v>
      </c>
      <c r="H25" s="25">
        <v>-10</v>
      </c>
      <c r="I25" s="30">
        <v>-3</v>
      </c>
      <c r="J25" s="25">
        <v>-10.4</v>
      </c>
      <c r="K25" s="25">
        <v>-9.5</v>
      </c>
      <c r="L25" s="25">
        <v>49.5</v>
      </c>
      <c r="M25" s="25">
        <v>49</v>
      </c>
      <c r="N25" s="25">
        <v>0.5</v>
      </c>
      <c r="O25" s="25"/>
      <c r="P25" s="25"/>
      <c r="Q25" s="25"/>
    </row>
    <row r="26" spans="1:17" x14ac:dyDescent="0.25">
      <c r="A26" s="25">
        <v>6</v>
      </c>
      <c r="B26" s="25" t="s">
        <v>41</v>
      </c>
      <c r="C26" s="25" t="s">
        <v>145</v>
      </c>
      <c r="D26" s="25" t="s">
        <v>145</v>
      </c>
      <c r="E26" s="25" t="s">
        <v>148</v>
      </c>
      <c r="F26" s="25" t="s">
        <v>149</v>
      </c>
      <c r="G26" s="25">
        <v>-7.7</v>
      </c>
      <c r="H26" s="25">
        <v>-2</v>
      </c>
      <c r="I26" s="30">
        <v>5.7</v>
      </c>
      <c r="J26" s="25">
        <v>-0.2</v>
      </c>
      <c r="K26" s="25">
        <v>-5</v>
      </c>
      <c r="L26" s="25">
        <v>59.4</v>
      </c>
      <c r="M26" s="25">
        <v>57.5</v>
      </c>
      <c r="N26" s="25">
        <v>1.9</v>
      </c>
      <c r="O26" s="25"/>
      <c r="P26" s="25"/>
      <c r="Q26" s="25"/>
    </row>
    <row r="27" spans="1:17" x14ac:dyDescent="0.25">
      <c r="A27" s="25">
        <v>6</v>
      </c>
      <c r="B27" s="25" t="s">
        <v>30</v>
      </c>
      <c r="C27" s="25" t="s">
        <v>145</v>
      </c>
      <c r="D27" s="25" t="s">
        <v>145</v>
      </c>
      <c r="E27" s="25" t="s">
        <v>150</v>
      </c>
      <c r="F27" s="25" t="s">
        <v>151</v>
      </c>
      <c r="G27" s="25">
        <v>5.6</v>
      </c>
      <c r="H27" s="25">
        <v>-10</v>
      </c>
      <c r="I27" s="30">
        <v>-15.6</v>
      </c>
      <c r="J27" s="25">
        <v>-8.6</v>
      </c>
      <c r="K27" s="25">
        <v>-14.9</v>
      </c>
      <c r="L27" s="25">
        <v>49</v>
      </c>
      <c r="M27" s="25">
        <v>51</v>
      </c>
      <c r="N27" s="30">
        <v>-2</v>
      </c>
      <c r="O27" s="25"/>
      <c r="P27" s="25"/>
      <c r="Q27" s="25"/>
    </row>
    <row r="28" spans="1:17" x14ac:dyDescent="0.25">
      <c r="A28" s="25">
        <v>6</v>
      </c>
      <c r="B28" s="25" t="s">
        <v>30</v>
      </c>
      <c r="C28" s="25" t="s">
        <v>145</v>
      </c>
      <c r="D28" s="25" t="s">
        <v>145</v>
      </c>
      <c r="E28" s="25" t="s">
        <v>152</v>
      </c>
      <c r="F28" s="25" t="s">
        <v>153</v>
      </c>
      <c r="G28" s="25">
        <v>16.399999999999999</v>
      </c>
      <c r="H28" s="25">
        <v>9.5</v>
      </c>
      <c r="I28" s="30">
        <v>-6.9</v>
      </c>
      <c r="J28" s="25">
        <v>15.4</v>
      </c>
      <c r="K28" s="25">
        <v>10.6</v>
      </c>
      <c r="L28" s="25">
        <v>52.5</v>
      </c>
      <c r="M28" s="25">
        <v>53.5</v>
      </c>
      <c r="N28" s="25">
        <v>-1</v>
      </c>
      <c r="O28" s="25"/>
      <c r="P28" s="25"/>
      <c r="Q28" s="25"/>
    </row>
    <row r="29" spans="1:17" x14ac:dyDescent="0.25">
      <c r="A29" s="25">
        <v>6</v>
      </c>
      <c r="B29" s="25" t="s">
        <v>30</v>
      </c>
      <c r="C29" s="25" t="s">
        <v>145</v>
      </c>
      <c r="D29" s="25" t="s">
        <v>145</v>
      </c>
      <c r="E29" s="25" t="s">
        <v>154</v>
      </c>
      <c r="F29" s="25" t="s">
        <v>155</v>
      </c>
      <c r="G29" s="25">
        <v>-3.5</v>
      </c>
      <c r="H29" s="25">
        <v>-3</v>
      </c>
      <c r="I29" s="25">
        <v>0.5</v>
      </c>
      <c r="J29" s="25">
        <v>4.3</v>
      </c>
      <c r="K29" s="25">
        <v>-8</v>
      </c>
      <c r="L29" s="25">
        <v>45.2</v>
      </c>
      <c r="M29" s="25">
        <v>48.5</v>
      </c>
      <c r="N29" s="30">
        <v>-3.3</v>
      </c>
      <c r="O29" s="25"/>
      <c r="P29" s="25"/>
      <c r="Q29" s="25"/>
    </row>
    <row r="30" spans="1:17" x14ac:dyDescent="0.25">
      <c r="A30" s="25">
        <v>6</v>
      </c>
      <c r="B30" s="25" t="s">
        <v>30</v>
      </c>
      <c r="C30" s="25" t="s">
        <v>145</v>
      </c>
      <c r="D30" s="25" t="s">
        <v>145</v>
      </c>
      <c r="E30" s="25" t="s">
        <v>156</v>
      </c>
      <c r="F30" s="25" t="s">
        <v>157</v>
      </c>
      <c r="G30" s="25">
        <v>-3.3</v>
      </c>
      <c r="H30" s="25"/>
      <c r="I30" s="25"/>
      <c r="J30" s="25">
        <v>-15.7</v>
      </c>
      <c r="K30" s="25">
        <v>1.7</v>
      </c>
      <c r="L30" s="25">
        <v>59.5</v>
      </c>
      <c r="M30" s="25"/>
      <c r="N30" s="25"/>
      <c r="O30" s="25"/>
      <c r="P30" s="25"/>
      <c r="Q30" s="25"/>
    </row>
    <row r="32" spans="1:17" ht="15.75" customHeight="1" x14ac:dyDescent="0.25">
      <c r="A32" s="24" t="s">
        <v>158</v>
      </c>
    </row>
    <row r="33" spans="1:17" ht="26.25" customHeight="1" x14ac:dyDescent="0.25">
      <c r="A33" s="29" t="s">
        <v>9</v>
      </c>
      <c r="B33" s="29" t="s">
        <v>10</v>
      </c>
      <c r="C33" s="29" t="s">
        <v>11</v>
      </c>
      <c r="D33" s="29" t="s">
        <v>12</v>
      </c>
      <c r="E33" s="29" t="s">
        <v>13</v>
      </c>
      <c r="F33" s="29" t="s">
        <v>14</v>
      </c>
      <c r="G33" s="29" t="s">
        <v>15</v>
      </c>
      <c r="H33" s="29" t="s">
        <v>16</v>
      </c>
      <c r="I33" s="29" t="s">
        <v>17</v>
      </c>
      <c r="J33" s="29" t="s">
        <v>18</v>
      </c>
      <c r="K33" s="29" t="s">
        <v>19</v>
      </c>
      <c r="L33" s="29" t="s">
        <v>20</v>
      </c>
      <c r="M33" s="29" t="s">
        <v>21</v>
      </c>
      <c r="N33" s="29" t="s">
        <v>22</v>
      </c>
      <c r="O33" s="29" t="s">
        <v>23</v>
      </c>
      <c r="P33" s="29" t="s">
        <v>24</v>
      </c>
      <c r="Q33" s="29" t="s">
        <v>25</v>
      </c>
    </row>
    <row r="34" spans="1:17" x14ac:dyDescent="0.25">
      <c r="A34" s="25">
        <v>5</v>
      </c>
      <c r="B34" s="25" t="s">
        <v>161</v>
      </c>
      <c r="C34" s="25" t="s">
        <v>145</v>
      </c>
      <c r="D34" s="25" t="s">
        <v>145</v>
      </c>
      <c r="E34" s="25" t="s">
        <v>153</v>
      </c>
      <c r="F34" s="25" t="s">
        <v>156</v>
      </c>
      <c r="G34" s="25">
        <v>0.2</v>
      </c>
      <c r="H34" s="25">
        <v>2.2000000000000002</v>
      </c>
      <c r="I34" s="30">
        <v>2</v>
      </c>
      <c r="J34" s="25">
        <v>0.4</v>
      </c>
      <c r="K34" s="25">
        <v>-3.7</v>
      </c>
      <c r="L34" s="25">
        <v>55.6</v>
      </c>
      <c r="M34" s="25">
        <v>53.5</v>
      </c>
      <c r="N34" s="30">
        <v>2.1</v>
      </c>
      <c r="O34" s="25">
        <v>31</v>
      </c>
      <c r="P34" s="25">
        <v>24</v>
      </c>
      <c r="Q34" s="30" t="s">
        <v>160</v>
      </c>
    </row>
    <row r="35" spans="1:17" x14ac:dyDescent="0.25">
      <c r="A35" s="25">
        <v>5</v>
      </c>
      <c r="B35" s="25" t="s">
        <v>161</v>
      </c>
      <c r="C35" s="25" t="s">
        <v>145</v>
      </c>
      <c r="D35" s="25" t="s">
        <v>145</v>
      </c>
      <c r="E35" s="25" t="s">
        <v>150</v>
      </c>
      <c r="F35" s="25" t="s">
        <v>190</v>
      </c>
      <c r="G35" s="25">
        <v>11.1</v>
      </c>
      <c r="H35" s="25">
        <v>-2</v>
      </c>
      <c r="I35" s="30">
        <v>-13.1</v>
      </c>
      <c r="J35" s="25">
        <v>-0.2</v>
      </c>
      <c r="K35" s="25">
        <v>-18.2</v>
      </c>
      <c r="L35" s="25">
        <v>48.5</v>
      </c>
      <c r="M35" s="25">
        <v>51.5</v>
      </c>
      <c r="N35" s="30">
        <v>-3</v>
      </c>
      <c r="O35" s="25">
        <v>10</v>
      </c>
      <c r="P35" s="25">
        <v>42</v>
      </c>
      <c r="Q35" s="31" t="s">
        <v>164</v>
      </c>
    </row>
    <row r="36" spans="1:17" x14ac:dyDescent="0.25">
      <c r="A36" s="25">
        <v>5</v>
      </c>
      <c r="B36" s="25" t="s">
        <v>161</v>
      </c>
      <c r="C36" s="25" t="s">
        <v>145</v>
      </c>
      <c r="D36" s="25" t="s">
        <v>145</v>
      </c>
      <c r="E36" s="25" t="s">
        <v>157</v>
      </c>
      <c r="F36" s="25" t="s">
        <v>152</v>
      </c>
      <c r="G36" s="25">
        <v>-28.6</v>
      </c>
      <c r="H36" s="25">
        <v>-16.2</v>
      </c>
      <c r="I36" s="30">
        <v>12.4</v>
      </c>
      <c r="J36" s="25">
        <v>-12.3</v>
      </c>
      <c r="K36" s="25">
        <v>-26.5</v>
      </c>
      <c r="L36" s="25">
        <v>56.1</v>
      </c>
      <c r="M36" s="25">
        <v>55.8</v>
      </c>
      <c r="N36" s="25">
        <v>0.4</v>
      </c>
      <c r="O36" s="25">
        <v>17</v>
      </c>
      <c r="P36" s="25">
        <v>45</v>
      </c>
      <c r="Q36" s="30" t="s">
        <v>160</v>
      </c>
    </row>
    <row r="37" spans="1:17" x14ac:dyDescent="0.25">
      <c r="A37" s="25">
        <v>5</v>
      </c>
      <c r="B37" s="25" t="s">
        <v>161</v>
      </c>
      <c r="C37" s="25" t="s">
        <v>145</v>
      </c>
      <c r="D37" s="25" t="s">
        <v>42</v>
      </c>
      <c r="E37" s="25" t="s">
        <v>46</v>
      </c>
      <c r="F37" s="25" t="s">
        <v>155</v>
      </c>
      <c r="G37" s="25">
        <v>4.8</v>
      </c>
      <c r="H37" s="25">
        <v>-0.2</v>
      </c>
      <c r="I37" s="30">
        <v>-5.0999999999999996</v>
      </c>
      <c r="J37" s="25">
        <v>-8.1</v>
      </c>
      <c r="K37" s="25">
        <v>-1.8</v>
      </c>
      <c r="L37" s="25">
        <v>53.3</v>
      </c>
      <c r="M37" s="25">
        <v>46.8</v>
      </c>
      <c r="N37" s="30">
        <v>6.5</v>
      </c>
      <c r="O37" s="25">
        <v>29</v>
      </c>
      <c r="P37" s="25">
        <v>31</v>
      </c>
      <c r="Q37" s="31" t="s">
        <v>164</v>
      </c>
    </row>
    <row r="38" spans="1:17" x14ac:dyDescent="0.25">
      <c r="A38" s="25">
        <v>5</v>
      </c>
      <c r="B38" s="25" t="s">
        <v>161</v>
      </c>
      <c r="C38" s="25" t="s">
        <v>145</v>
      </c>
      <c r="D38" s="25" t="s">
        <v>145</v>
      </c>
      <c r="E38" s="25" t="s">
        <v>191</v>
      </c>
      <c r="F38" s="25" t="s">
        <v>148</v>
      </c>
      <c r="G38" s="25">
        <v>-15.6</v>
      </c>
      <c r="H38" s="25">
        <v>-13.2</v>
      </c>
      <c r="I38" s="30">
        <v>2.4</v>
      </c>
      <c r="J38" s="25">
        <v>-21</v>
      </c>
      <c r="K38" s="25">
        <v>-18</v>
      </c>
      <c r="L38" s="25">
        <v>56.6</v>
      </c>
      <c r="M38" s="25">
        <v>57</v>
      </c>
      <c r="N38" s="25">
        <v>-0.4</v>
      </c>
      <c r="O38" s="25">
        <v>35</v>
      </c>
      <c r="P38" s="25">
        <v>52</v>
      </c>
      <c r="Q38" s="30" t="s">
        <v>160</v>
      </c>
    </row>
    <row r="39" spans="1:17" x14ac:dyDescent="0.25">
      <c r="A39" s="25">
        <v>5</v>
      </c>
      <c r="B39" s="25" t="s">
        <v>176</v>
      </c>
      <c r="C39" s="25" t="s">
        <v>145</v>
      </c>
      <c r="D39" s="25" t="s">
        <v>145</v>
      </c>
      <c r="E39" s="25" t="s">
        <v>149</v>
      </c>
      <c r="F39" s="25" t="s">
        <v>154</v>
      </c>
      <c r="G39" s="25">
        <v>-4.7</v>
      </c>
      <c r="H39" s="25">
        <v>-5.2</v>
      </c>
      <c r="I39" s="25">
        <v>-0.6</v>
      </c>
      <c r="J39" s="25">
        <v>-7.4</v>
      </c>
      <c r="K39" s="25">
        <v>-10.4</v>
      </c>
      <c r="L39" s="25">
        <v>51.4</v>
      </c>
      <c r="M39" s="25">
        <v>49</v>
      </c>
      <c r="N39" s="30">
        <v>2.4</v>
      </c>
      <c r="O39" s="25">
        <v>20</v>
      </c>
      <c r="P39" s="25">
        <v>23</v>
      </c>
      <c r="Q39" s="30" t="s">
        <v>160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B79"/>
  <sheetViews>
    <sheetView showGridLines="0" workbookViewId="0"/>
  </sheetViews>
  <sheetFormatPr defaultRowHeight="15" x14ac:dyDescent="0.2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customHeight="1" x14ac:dyDescent="0.25">
      <c r="A1" s="17" t="s">
        <v>529</v>
      </c>
    </row>
    <row r="2" spans="1:12" x14ac:dyDescent="0.25">
      <c r="A2" s="16" t="s">
        <v>530</v>
      </c>
    </row>
    <row r="4" spans="1:12" x14ac:dyDescent="0.25">
      <c r="A4" s="18" t="s">
        <v>531</v>
      </c>
    </row>
    <row r="5" spans="1:12" ht="39" customHeight="1" x14ac:dyDescent="0.25">
      <c r="A5" s="19" t="s">
        <v>532</v>
      </c>
      <c r="B5" s="19" t="s">
        <v>533</v>
      </c>
      <c r="C5" s="19" t="s">
        <v>534</v>
      </c>
      <c r="D5" s="19" t="s">
        <v>535</v>
      </c>
      <c r="E5" s="19" t="s">
        <v>536</v>
      </c>
      <c r="F5" s="19" t="s">
        <v>537</v>
      </c>
      <c r="G5" s="19" t="s">
        <v>538</v>
      </c>
      <c r="H5" s="19" t="s">
        <v>539</v>
      </c>
      <c r="I5" s="19" t="s">
        <v>540</v>
      </c>
      <c r="J5" s="19" t="s">
        <v>541</v>
      </c>
      <c r="K5" s="19" t="s">
        <v>542</v>
      </c>
      <c r="L5" s="19" t="s">
        <v>543</v>
      </c>
    </row>
    <row r="6" spans="1:12" x14ac:dyDescent="0.25">
      <c r="A6" s="15" t="s">
        <v>544</v>
      </c>
      <c r="B6" s="15">
        <v>8802</v>
      </c>
      <c r="C6" s="15">
        <v>364</v>
      </c>
      <c r="D6" s="15">
        <v>197</v>
      </c>
      <c r="E6" s="15">
        <v>167</v>
      </c>
      <c r="F6" s="15">
        <v>5</v>
      </c>
      <c r="G6" s="15" t="s">
        <v>545</v>
      </c>
      <c r="H6" s="15" t="s">
        <v>546</v>
      </c>
      <c r="I6" s="15">
        <v>296</v>
      </c>
      <c r="J6" s="15" t="s">
        <v>547</v>
      </c>
      <c r="K6" s="15" t="s">
        <v>548</v>
      </c>
      <c r="L6" s="15" t="s">
        <v>549</v>
      </c>
    </row>
    <row r="7" spans="1:12" x14ac:dyDescent="0.25">
      <c r="A7" s="15" t="s">
        <v>550</v>
      </c>
      <c r="B7" s="15">
        <v>995</v>
      </c>
      <c r="C7" s="15">
        <v>39</v>
      </c>
      <c r="D7" s="15">
        <v>27</v>
      </c>
      <c r="E7" s="15">
        <v>12</v>
      </c>
      <c r="F7" s="15">
        <v>0</v>
      </c>
      <c r="G7" s="15" t="s">
        <v>551</v>
      </c>
      <c r="H7" s="15" t="s">
        <v>552</v>
      </c>
      <c r="I7" s="15">
        <v>31</v>
      </c>
      <c r="J7" s="15" t="s">
        <v>553</v>
      </c>
      <c r="K7" s="15" t="s">
        <v>554</v>
      </c>
      <c r="L7" s="15" t="s">
        <v>555</v>
      </c>
    </row>
    <row r="8" spans="1:12" x14ac:dyDescent="0.25">
      <c r="A8" s="15" t="s">
        <v>556</v>
      </c>
      <c r="B8" s="15">
        <v>8802</v>
      </c>
      <c r="C8" s="15">
        <v>8729</v>
      </c>
      <c r="D8" s="15">
        <v>4369</v>
      </c>
      <c r="E8" s="15">
        <v>4360</v>
      </c>
      <c r="F8" s="15">
        <v>73</v>
      </c>
      <c r="G8" s="15" t="s">
        <v>557</v>
      </c>
      <c r="H8" s="15" t="s">
        <v>558</v>
      </c>
      <c r="I8" s="15">
        <v>6906</v>
      </c>
      <c r="J8" s="15" t="s">
        <v>559</v>
      </c>
      <c r="K8" s="15" t="s">
        <v>560</v>
      </c>
      <c r="L8" s="15" t="s">
        <v>561</v>
      </c>
    </row>
    <row r="9" spans="1:12" x14ac:dyDescent="0.25">
      <c r="A9" s="15" t="s">
        <v>562</v>
      </c>
      <c r="B9" s="15">
        <v>995</v>
      </c>
      <c r="C9" s="15">
        <v>983</v>
      </c>
      <c r="D9" s="15">
        <v>503</v>
      </c>
      <c r="E9" s="15">
        <v>480</v>
      </c>
      <c r="F9" s="15">
        <v>12</v>
      </c>
      <c r="G9" s="15" t="s">
        <v>563</v>
      </c>
      <c r="H9" s="15" t="s">
        <v>564</v>
      </c>
      <c r="I9" s="15">
        <v>797</v>
      </c>
      <c r="J9" s="15" t="s">
        <v>565</v>
      </c>
      <c r="K9" s="15" t="s">
        <v>566</v>
      </c>
      <c r="L9" s="15" t="s">
        <v>567</v>
      </c>
    </row>
    <row r="10" spans="1:12" x14ac:dyDescent="0.25">
      <c r="A10" s="15" t="s">
        <v>568</v>
      </c>
      <c r="B10" s="15">
        <v>8802</v>
      </c>
      <c r="C10" s="15">
        <v>8729</v>
      </c>
      <c r="D10" s="15">
        <v>4362</v>
      </c>
      <c r="E10" s="15">
        <v>4367</v>
      </c>
      <c r="F10" s="15">
        <v>73</v>
      </c>
      <c r="G10" s="15" t="s">
        <v>557</v>
      </c>
      <c r="H10" s="15" t="s">
        <v>569</v>
      </c>
      <c r="I10" s="15">
        <v>6818</v>
      </c>
      <c r="J10" s="15" t="s">
        <v>570</v>
      </c>
      <c r="K10" s="15" t="s">
        <v>571</v>
      </c>
      <c r="L10" s="15" t="s">
        <v>572</v>
      </c>
    </row>
    <row r="11" spans="1:12" x14ac:dyDescent="0.25">
      <c r="A11" s="15" t="s">
        <v>573</v>
      </c>
      <c r="B11" s="15">
        <v>995</v>
      </c>
      <c r="C11" s="15">
        <v>983</v>
      </c>
      <c r="D11" s="15">
        <v>493</v>
      </c>
      <c r="E11" s="15">
        <v>490</v>
      </c>
      <c r="F11" s="15">
        <v>12</v>
      </c>
      <c r="G11" s="15" t="s">
        <v>574</v>
      </c>
      <c r="H11" s="15" t="s">
        <v>575</v>
      </c>
      <c r="I11" s="15">
        <v>762</v>
      </c>
      <c r="J11" s="15" t="s">
        <v>576</v>
      </c>
      <c r="K11" s="15" t="s">
        <v>577</v>
      </c>
      <c r="L11" s="15" t="s">
        <v>578</v>
      </c>
    </row>
    <row r="12" spans="1:12" x14ac:dyDescent="0.25">
      <c r="A12" s="15" t="s">
        <v>579</v>
      </c>
      <c r="B12" s="15">
        <v>8802</v>
      </c>
      <c r="C12" s="15">
        <v>7550</v>
      </c>
      <c r="D12" s="15">
        <v>3820</v>
      </c>
      <c r="E12" s="15">
        <v>3730</v>
      </c>
      <c r="F12" s="15">
        <v>63</v>
      </c>
      <c r="G12" s="15" t="s">
        <v>580</v>
      </c>
      <c r="H12" s="15" t="s">
        <v>581</v>
      </c>
      <c r="I12" s="15">
        <v>5775</v>
      </c>
      <c r="J12" s="15" t="s">
        <v>580</v>
      </c>
      <c r="K12" s="15" t="s">
        <v>582</v>
      </c>
      <c r="L12" s="15" t="s">
        <v>583</v>
      </c>
    </row>
    <row r="13" spans="1:12" x14ac:dyDescent="0.25">
      <c r="A13" s="15" t="s">
        <v>584</v>
      </c>
      <c r="B13" s="15">
        <v>995</v>
      </c>
      <c r="C13" s="15">
        <v>842</v>
      </c>
      <c r="D13" s="15">
        <v>429</v>
      </c>
      <c r="E13" s="15">
        <v>413</v>
      </c>
      <c r="F13" s="15">
        <v>10</v>
      </c>
      <c r="G13" s="15" t="s">
        <v>576</v>
      </c>
      <c r="H13" s="15" t="s">
        <v>585</v>
      </c>
      <c r="I13" s="15">
        <v>641</v>
      </c>
      <c r="J13" s="15" t="s">
        <v>586</v>
      </c>
      <c r="K13" s="15" t="s">
        <v>587</v>
      </c>
      <c r="L13" s="15" t="s">
        <v>588</v>
      </c>
    </row>
    <row r="15" spans="1:12" x14ac:dyDescent="0.25">
      <c r="A15" s="18" t="s">
        <v>589</v>
      </c>
    </row>
    <row r="16" spans="1:12" ht="39" customHeight="1" x14ac:dyDescent="0.25">
      <c r="A16" s="19" t="s">
        <v>532</v>
      </c>
      <c r="B16" s="19" t="s">
        <v>533</v>
      </c>
      <c r="C16" s="19" t="s">
        <v>534</v>
      </c>
      <c r="D16" s="19" t="s">
        <v>535</v>
      </c>
      <c r="E16" s="19" t="s">
        <v>536</v>
      </c>
      <c r="F16" s="19" t="s">
        <v>537</v>
      </c>
      <c r="G16" s="19" t="s">
        <v>538</v>
      </c>
      <c r="H16" s="19" t="s">
        <v>539</v>
      </c>
      <c r="I16" s="19" t="s">
        <v>540</v>
      </c>
      <c r="J16" s="19" t="s">
        <v>541</v>
      </c>
      <c r="K16" s="19" t="s">
        <v>542</v>
      </c>
      <c r="L16" s="19" t="s">
        <v>543</v>
      </c>
    </row>
    <row r="17" spans="1:12" x14ac:dyDescent="0.25">
      <c r="A17" s="15" t="s">
        <v>544</v>
      </c>
      <c r="B17" s="15">
        <v>369</v>
      </c>
      <c r="C17" s="15">
        <v>364</v>
      </c>
      <c r="D17" s="15">
        <v>197</v>
      </c>
      <c r="E17" s="15">
        <v>167</v>
      </c>
      <c r="F17" s="15">
        <v>5</v>
      </c>
      <c r="G17" s="15" t="s">
        <v>545</v>
      </c>
      <c r="H17" s="15" t="s">
        <v>546</v>
      </c>
      <c r="I17" s="15">
        <v>296</v>
      </c>
      <c r="J17" s="15" t="s">
        <v>547</v>
      </c>
      <c r="K17" s="15" t="s">
        <v>548</v>
      </c>
      <c r="L17" s="15" t="s">
        <v>549</v>
      </c>
    </row>
    <row r="18" spans="1:12" x14ac:dyDescent="0.25">
      <c r="A18" s="15" t="s">
        <v>550</v>
      </c>
      <c r="B18" s="15">
        <v>39</v>
      </c>
      <c r="C18" s="15">
        <v>39</v>
      </c>
      <c r="D18" s="15">
        <v>27</v>
      </c>
      <c r="E18" s="15">
        <v>12</v>
      </c>
      <c r="F18" s="15">
        <v>0</v>
      </c>
      <c r="G18" s="15" t="s">
        <v>551</v>
      </c>
      <c r="H18" s="15" t="s">
        <v>552</v>
      </c>
      <c r="I18" s="15">
        <v>31</v>
      </c>
      <c r="J18" s="15" t="s">
        <v>553</v>
      </c>
      <c r="K18" s="15" t="s">
        <v>554</v>
      </c>
      <c r="L18" s="15" t="s">
        <v>555</v>
      </c>
    </row>
    <row r="19" spans="1:12" x14ac:dyDescent="0.25">
      <c r="A19" s="15" t="s">
        <v>556</v>
      </c>
      <c r="B19" s="15">
        <v>369</v>
      </c>
      <c r="C19" s="15">
        <v>364</v>
      </c>
      <c r="D19" s="15">
        <v>174</v>
      </c>
      <c r="E19" s="15">
        <v>190</v>
      </c>
      <c r="F19" s="15">
        <v>5</v>
      </c>
      <c r="G19" s="15" t="s">
        <v>590</v>
      </c>
      <c r="H19" s="15" t="s">
        <v>591</v>
      </c>
      <c r="I19" s="15">
        <v>310</v>
      </c>
      <c r="J19" s="15" t="s">
        <v>592</v>
      </c>
      <c r="K19" s="15" t="s">
        <v>593</v>
      </c>
      <c r="L19" s="15" t="s">
        <v>594</v>
      </c>
    </row>
    <row r="20" spans="1:12" x14ac:dyDescent="0.25">
      <c r="A20" s="15" t="s">
        <v>562</v>
      </c>
      <c r="B20" s="15">
        <v>39</v>
      </c>
      <c r="C20" s="15">
        <v>39</v>
      </c>
      <c r="D20" s="15">
        <v>22</v>
      </c>
      <c r="E20" s="15">
        <v>17</v>
      </c>
      <c r="F20" s="15">
        <v>0</v>
      </c>
      <c r="G20" s="15" t="s">
        <v>595</v>
      </c>
      <c r="H20" s="15" t="s">
        <v>596</v>
      </c>
      <c r="I20" s="15">
        <v>32</v>
      </c>
      <c r="J20" s="15" t="s">
        <v>597</v>
      </c>
      <c r="K20" s="15" t="s">
        <v>598</v>
      </c>
      <c r="L20" s="15" t="s">
        <v>599</v>
      </c>
    </row>
    <row r="21" spans="1:12" x14ac:dyDescent="0.25">
      <c r="A21" s="15" t="s">
        <v>568</v>
      </c>
      <c r="B21" s="15">
        <v>369</v>
      </c>
      <c r="C21" s="15">
        <v>364</v>
      </c>
      <c r="D21" s="15">
        <v>180</v>
      </c>
      <c r="E21" s="15">
        <v>184</v>
      </c>
      <c r="F21" s="15">
        <v>5</v>
      </c>
      <c r="G21" s="15" t="s">
        <v>600</v>
      </c>
      <c r="H21" s="15" t="s">
        <v>601</v>
      </c>
      <c r="I21" s="15">
        <v>293</v>
      </c>
      <c r="J21" s="15" t="s">
        <v>602</v>
      </c>
      <c r="K21" s="15" t="s">
        <v>603</v>
      </c>
      <c r="L21" s="15" t="s">
        <v>604</v>
      </c>
    </row>
    <row r="22" spans="1:12" x14ac:dyDescent="0.25">
      <c r="A22" s="15" t="s">
        <v>573</v>
      </c>
      <c r="B22" s="15">
        <v>39</v>
      </c>
      <c r="C22" s="15">
        <v>39</v>
      </c>
      <c r="D22" s="15">
        <v>20</v>
      </c>
      <c r="E22" s="15">
        <v>19</v>
      </c>
      <c r="F22" s="15">
        <v>0</v>
      </c>
      <c r="G22" s="15" t="s">
        <v>605</v>
      </c>
      <c r="H22" s="15" t="s">
        <v>606</v>
      </c>
      <c r="I22" s="15">
        <v>28</v>
      </c>
      <c r="J22" s="15" t="s">
        <v>607</v>
      </c>
      <c r="K22" s="15" t="s">
        <v>608</v>
      </c>
      <c r="L22" s="15" t="s">
        <v>609</v>
      </c>
    </row>
    <row r="23" spans="1:12" x14ac:dyDescent="0.25">
      <c r="A23" s="15" t="s">
        <v>579</v>
      </c>
      <c r="B23" s="15">
        <v>369</v>
      </c>
      <c r="C23" s="15">
        <v>267</v>
      </c>
      <c r="D23" s="15">
        <v>125</v>
      </c>
      <c r="E23" s="15">
        <v>142</v>
      </c>
      <c r="F23" s="15">
        <v>3</v>
      </c>
      <c r="G23" s="15" t="s">
        <v>610</v>
      </c>
      <c r="H23" s="15" t="s">
        <v>611</v>
      </c>
      <c r="I23" s="15">
        <v>243</v>
      </c>
      <c r="J23" s="15" t="s">
        <v>612</v>
      </c>
      <c r="K23" s="15" t="s">
        <v>613</v>
      </c>
      <c r="L23" s="15" t="s">
        <v>614</v>
      </c>
    </row>
    <row r="24" spans="1:12" x14ac:dyDescent="0.25">
      <c r="A24" s="15" t="s">
        <v>584</v>
      </c>
      <c r="B24" s="15">
        <v>39</v>
      </c>
      <c r="C24" s="15">
        <v>26</v>
      </c>
      <c r="D24" s="15">
        <v>17</v>
      </c>
      <c r="E24" s="15">
        <v>9</v>
      </c>
      <c r="F24" s="15">
        <v>0</v>
      </c>
      <c r="G24" s="15" t="s">
        <v>615</v>
      </c>
      <c r="H24" s="15" t="s">
        <v>616</v>
      </c>
      <c r="I24" s="15">
        <v>23</v>
      </c>
      <c r="J24" s="15" t="s">
        <v>617</v>
      </c>
      <c r="K24" s="15" t="s">
        <v>618</v>
      </c>
      <c r="L24" s="15" t="s">
        <v>619</v>
      </c>
    </row>
    <row r="26" spans="1:12" x14ac:dyDescent="0.25">
      <c r="A26" s="16" t="s">
        <v>620</v>
      </c>
    </row>
    <row r="28" spans="1:12" x14ac:dyDescent="0.25">
      <c r="A28" s="18" t="s">
        <v>621</v>
      </c>
    </row>
    <row r="29" spans="1:12" x14ac:dyDescent="0.25">
      <c r="A29" s="16" t="s">
        <v>622</v>
      </c>
    </row>
    <row r="30" spans="1:12" ht="39" customHeight="1" x14ac:dyDescent="0.25">
      <c r="A30" s="19" t="s">
        <v>9</v>
      </c>
      <c r="B30" s="19" t="s">
        <v>229</v>
      </c>
      <c r="C30" s="19" t="s">
        <v>16</v>
      </c>
      <c r="D30" s="19" t="s">
        <v>623</v>
      </c>
      <c r="E30" s="19" t="s">
        <v>624</v>
      </c>
      <c r="F30" s="19" t="s">
        <v>625</v>
      </c>
      <c r="G30" s="19" t="s">
        <v>626</v>
      </c>
      <c r="H30" s="19" t="s">
        <v>627</v>
      </c>
      <c r="I30" s="19" t="s">
        <v>628</v>
      </c>
      <c r="J30" s="19" t="s">
        <v>629</v>
      </c>
      <c r="K30" s="19" t="s">
        <v>630</v>
      </c>
    </row>
    <row r="31" spans="1:12" x14ac:dyDescent="0.25">
      <c r="A31" s="15">
        <v>5</v>
      </c>
      <c r="B31" s="15" t="s">
        <v>302</v>
      </c>
      <c r="C31" s="15" t="s">
        <v>631</v>
      </c>
      <c r="D31" s="15" t="s">
        <v>632</v>
      </c>
      <c r="E31" s="15" t="s">
        <v>633</v>
      </c>
      <c r="F31" s="15" t="s">
        <v>634</v>
      </c>
      <c r="G31" s="15" t="s">
        <v>358</v>
      </c>
      <c r="H31" s="15" t="s">
        <v>635</v>
      </c>
      <c r="I31" s="15" t="s">
        <v>358</v>
      </c>
      <c r="J31" s="15" t="s">
        <v>636</v>
      </c>
      <c r="K31" s="20" t="s">
        <v>637</v>
      </c>
    </row>
    <row r="32" spans="1:12" x14ac:dyDescent="0.25">
      <c r="A32" s="15">
        <v>5</v>
      </c>
      <c r="B32" s="15" t="s">
        <v>301</v>
      </c>
      <c r="C32" s="15" t="s">
        <v>638</v>
      </c>
      <c r="D32" s="15" t="s">
        <v>639</v>
      </c>
      <c r="E32" s="15" t="s">
        <v>640</v>
      </c>
      <c r="F32" s="15" t="s">
        <v>641</v>
      </c>
      <c r="G32" s="15" t="s">
        <v>358</v>
      </c>
      <c r="H32" s="15" t="s">
        <v>642</v>
      </c>
      <c r="I32" s="15" t="s">
        <v>362</v>
      </c>
      <c r="J32" s="15" t="s">
        <v>643</v>
      </c>
      <c r="K32" s="20" t="s">
        <v>637</v>
      </c>
    </row>
    <row r="33" spans="1:28" x14ac:dyDescent="0.25">
      <c r="A33" s="15">
        <v>5</v>
      </c>
      <c r="B33" s="15" t="s">
        <v>644</v>
      </c>
      <c r="C33" s="15" t="s">
        <v>645</v>
      </c>
      <c r="D33" s="15" t="s">
        <v>646</v>
      </c>
      <c r="E33" s="15" t="s">
        <v>647</v>
      </c>
      <c r="F33" s="15" t="s">
        <v>647</v>
      </c>
      <c r="G33" s="15" t="s">
        <v>358</v>
      </c>
      <c r="H33" s="15" t="s">
        <v>358</v>
      </c>
      <c r="I33" s="15" t="s">
        <v>358</v>
      </c>
      <c r="J33" s="15" t="s">
        <v>636</v>
      </c>
      <c r="K33" s="15" t="s">
        <v>648</v>
      </c>
    </row>
    <row r="34" spans="1:28" x14ac:dyDescent="0.25">
      <c r="A34" s="15">
        <v>5</v>
      </c>
      <c r="B34" s="15" t="s">
        <v>303</v>
      </c>
      <c r="C34" s="15" t="s">
        <v>649</v>
      </c>
      <c r="D34" s="15" t="s">
        <v>650</v>
      </c>
      <c r="E34" s="15" t="s">
        <v>651</v>
      </c>
      <c r="F34" s="15" t="s">
        <v>652</v>
      </c>
      <c r="G34" s="15" t="s">
        <v>642</v>
      </c>
      <c r="H34" s="15" t="s">
        <v>635</v>
      </c>
      <c r="I34" s="15" t="s">
        <v>358</v>
      </c>
      <c r="J34" s="15" t="s">
        <v>643</v>
      </c>
      <c r="K34" s="20" t="s">
        <v>637</v>
      </c>
    </row>
    <row r="35" spans="1:28" x14ac:dyDescent="0.25">
      <c r="A35" s="15">
        <v>5</v>
      </c>
      <c r="B35" s="15" t="s">
        <v>653</v>
      </c>
      <c r="C35" s="15" t="s">
        <v>638</v>
      </c>
      <c r="D35" s="15" t="s">
        <v>654</v>
      </c>
      <c r="E35" s="15" t="s">
        <v>655</v>
      </c>
      <c r="F35" s="15" t="s">
        <v>654</v>
      </c>
      <c r="G35" s="15" t="s">
        <v>358</v>
      </c>
      <c r="H35" s="15" t="s">
        <v>358</v>
      </c>
      <c r="I35" s="15" t="s">
        <v>358</v>
      </c>
      <c r="J35" s="15" t="s">
        <v>636</v>
      </c>
      <c r="K35" s="15" t="s">
        <v>648</v>
      </c>
    </row>
    <row r="36" spans="1:28" x14ac:dyDescent="0.25">
      <c r="A36" s="16" t="s">
        <v>656</v>
      </c>
    </row>
    <row r="39" spans="1:28" x14ac:dyDescent="0.25">
      <c r="A39" s="18" t="s">
        <v>657</v>
      </c>
    </row>
    <row r="40" spans="1:28" ht="26.1" customHeight="1" x14ac:dyDescent="0.25">
      <c r="A40" s="19" t="s">
        <v>9</v>
      </c>
      <c r="B40" s="19" t="s">
        <v>229</v>
      </c>
      <c r="C40" s="19" t="s">
        <v>658</v>
      </c>
      <c r="D40" s="19" t="s">
        <v>659</v>
      </c>
      <c r="E40" s="19" t="s">
        <v>660</v>
      </c>
      <c r="F40" s="19" t="s">
        <v>623</v>
      </c>
      <c r="G40" s="19" t="s">
        <v>661</v>
      </c>
      <c r="H40" s="19" t="s">
        <v>626</v>
      </c>
      <c r="I40" s="19" t="s">
        <v>662</v>
      </c>
      <c r="J40" s="19" t="s">
        <v>624</v>
      </c>
      <c r="K40" s="19" t="s">
        <v>663</v>
      </c>
      <c r="L40" s="19" t="s">
        <v>627</v>
      </c>
      <c r="M40" s="19" t="s">
        <v>664</v>
      </c>
      <c r="N40" s="19" t="s">
        <v>625</v>
      </c>
      <c r="O40" s="19" t="s">
        <v>665</v>
      </c>
      <c r="P40" s="19" t="s">
        <v>628</v>
      </c>
      <c r="Q40" s="19" t="s">
        <v>666</v>
      </c>
      <c r="R40" s="19" t="s">
        <v>667</v>
      </c>
      <c r="S40" s="19" t="s">
        <v>668</v>
      </c>
      <c r="T40" s="19" t="s">
        <v>669</v>
      </c>
      <c r="U40" s="19" t="s">
        <v>670</v>
      </c>
      <c r="V40" s="19" t="s">
        <v>629</v>
      </c>
      <c r="W40" s="19" t="s">
        <v>671</v>
      </c>
      <c r="X40" s="19" t="s">
        <v>672</v>
      </c>
      <c r="Y40" s="19" t="s">
        <v>673</v>
      </c>
      <c r="Z40" s="19" t="s">
        <v>674</v>
      </c>
      <c r="AA40" s="19" t="s">
        <v>675</v>
      </c>
      <c r="AB40" s="19" t="s">
        <v>676</v>
      </c>
    </row>
    <row r="41" spans="1:28" x14ac:dyDescent="0.25">
      <c r="A41" s="15">
        <v>1</v>
      </c>
      <c r="B41" s="15" t="s">
        <v>677</v>
      </c>
      <c r="C41" s="15" t="s">
        <v>678</v>
      </c>
      <c r="D41" s="15" t="s">
        <v>679</v>
      </c>
      <c r="E41" s="15" t="s">
        <v>680</v>
      </c>
      <c r="F41" s="15" t="s">
        <v>681</v>
      </c>
      <c r="G41" s="15" t="s">
        <v>682</v>
      </c>
      <c r="H41" s="15" t="s">
        <v>362</v>
      </c>
      <c r="I41" s="21" t="s">
        <v>164</v>
      </c>
      <c r="J41" s="15" t="s">
        <v>683</v>
      </c>
      <c r="K41" s="15" t="s">
        <v>684</v>
      </c>
      <c r="L41" s="15" t="s">
        <v>362</v>
      </c>
      <c r="M41" s="21" t="s">
        <v>685</v>
      </c>
      <c r="N41" s="15" t="s">
        <v>686</v>
      </c>
      <c r="O41" s="15" t="s">
        <v>687</v>
      </c>
      <c r="P41" s="15" t="s">
        <v>358</v>
      </c>
      <c r="Q41" s="20" t="s">
        <v>688</v>
      </c>
      <c r="R41" s="15" t="s">
        <v>689</v>
      </c>
      <c r="S41" s="15" t="s">
        <v>689</v>
      </c>
      <c r="T41" s="15" t="s">
        <v>690</v>
      </c>
      <c r="U41" s="15" t="s">
        <v>690</v>
      </c>
      <c r="V41" s="15" t="s">
        <v>636</v>
      </c>
      <c r="W41" s="15" t="s">
        <v>643</v>
      </c>
      <c r="X41" s="20" t="s">
        <v>637</v>
      </c>
      <c r="Y41" s="15" t="s">
        <v>682</v>
      </c>
      <c r="Z41" s="15" t="s">
        <v>684</v>
      </c>
      <c r="AA41" s="15" t="s">
        <v>687</v>
      </c>
      <c r="AB41" s="15" t="s">
        <v>691</v>
      </c>
    </row>
    <row r="42" spans="1:28" x14ac:dyDescent="0.25">
      <c r="A42" s="15">
        <v>1</v>
      </c>
      <c r="B42" s="15" t="s">
        <v>692</v>
      </c>
      <c r="C42" s="15" t="s">
        <v>693</v>
      </c>
      <c r="D42" s="15" t="s">
        <v>638</v>
      </c>
      <c r="E42" s="15" t="s">
        <v>694</v>
      </c>
      <c r="F42" s="15" t="s">
        <v>695</v>
      </c>
      <c r="G42" s="15" t="s">
        <v>696</v>
      </c>
      <c r="H42" s="15" t="s">
        <v>358</v>
      </c>
      <c r="I42" s="20" t="s">
        <v>160</v>
      </c>
      <c r="J42" s="15" t="s">
        <v>697</v>
      </c>
      <c r="K42" s="15" t="s">
        <v>698</v>
      </c>
      <c r="L42" s="15" t="s">
        <v>358</v>
      </c>
      <c r="M42" s="20" t="s">
        <v>699</v>
      </c>
      <c r="N42" s="15" t="s">
        <v>700</v>
      </c>
      <c r="O42" s="15" t="s">
        <v>701</v>
      </c>
      <c r="P42" s="15" t="s">
        <v>358</v>
      </c>
      <c r="Q42" s="20" t="s">
        <v>688</v>
      </c>
      <c r="R42" s="15" t="s">
        <v>689</v>
      </c>
      <c r="S42" s="15" t="s">
        <v>689</v>
      </c>
      <c r="T42" s="15" t="s">
        <v>690</v>
      </c>
      <c r="U42" s="15" t="s">
        <v>690</v>
      </c>
      <c r="V42" s="15" t="s">
        <v>636</v>
      </c>
      <c r="W42" s="15" t="s">
        <v>636</v>
      </c>
      <c r="X42" s="20" t="s">
        <v>637</v>
      </c>
      <c r="Y42" s="15" t="s">
        <v>702</v>
      </c>
      <c r="Z42" s="15" t="s">
        <v>703</v>
      </c>
      <c r="AA42" s="15" t="s">
        <v>704</v>
      </c>
      <c r="AB42" s="15" t="s">
        <v>691</v>
      </c>
    </row>
    <row r="43" spans="1:28" x14ac:dyDescent="0.25">
      <c r="A43" s="15">
        <v>1</v>
      </c>
      <c r="B43" s="15" t="s">
        <v>251</v>
      </c>
      <c r="C43" s="15" t="s">
        <v>705</v>
      </c>
      <c r="D43" s="15" t="s">
        <v>706</v>
      </c>
      <c r="E43" s="15" t="s">
        <v>707</v>
      </c>
      <c r="F43" s="15" t="s">
        <v>708</v>
      </c>
      <c r="G43" s="15" t="s">
        <v>709</v>
      </c>
      <c r="H43" s="15" t="s">
        <v>358</v>
      </c>
      <c r="I43" s="21" t="s">
        <v>164</v>
      </c>
      <c r="J43" s="15" t="s">
        <v>710</v>
      </c>
      <c r="K43" s="15" t="s">
        <v>711</v>
      </c>
      <c r="L43" s="15" t="s">
        <v>358</v>
      </c>
      <c r="M43" s="21" t="s">
        <v>164</v>
      </c>
      <c r="N43" s="15" t="s">
        <v>712</v>
      </c>
      <c r="O43" s="15" t="s">
        <v>640</v>
      </c>
      <c r="P43" s="15" t="s">
        <v>362</v>
      </c>
      <c r="Q43" s="20" t="s">
        <v>688</v>
      </c>
      <c r="R43" s="15" t="s">
        <v>689</v>
      </c>
      <c r="S43" s="15" t="s">
        <v>689</v>
      </c>
      <c r="T43" s="15" t="s">
        <v>690</v>
      </c>
      <c r="U43" s="15" t="s">
        <v>690</v>
      </c>
      <c r="V43" s="15" t="s">
        <v>636</v>
      </c>
      <c r="W43" s="15" t="s">
        <v>643</v>
      </c>
      <c r="X43" s="20" t="s">
        <v>713</v>
      </c>
      <c r="Y43" s="15" t="s">
        <v>714</v>
      </c>
      <c r="Z43" s="15" t="s">
        <v>715</v>
      </c>
      <c r="AA43" s="15" t="s">
        <v>716</v>
      </c>
      <c r="AB43" s="15" t="s">
        <v>691</v>
      </c>
    </row>
    <row r="44" spans="1:28" x14ac:dyDescent="0.25">
      <c r="A44" s="15">
        <v>1</v>
      </c>
      <c r="B44" s="15" t="s">
        <v>717</v>
      </c>
      <c r="C44" s="15" t="s">
        <v>718</v>
      </c>
      <c r="D44" s="15" t="s">
        <v>719</v>
      </c>
      <c r="E44" s="15" t="s">
        <v>720</v>
      </c>
      <c r="F44" s="15" t="s">
        <v>721</v>
      </c>
      <c r="G44" s="15" t="s">
        <v>722</v>
      </c>
      <c r="H44" s="15" t="s">
        <v>362</v>
      </c>
      <c r="I44" s="20" t="s">
        <v>699</v>
      </c>
      <c r="J44" s="15" t="s">
        <v>723</v>
      </c>
      <c r="K44" s="15" t="s">
        <v>724</v>
      </c>
      <c r="L44" s="15" t="s">
        <v>358</v>
      </c>
      <c r="M44" s="21" t="s">
        <v>164</v>
      </c>
      <c r="N44" s="15" t="s">
        <v>725</v>
      </c>
      <c r="O44" s="15" t="s">
        <v>684</v>
      </c>
      <c r="P44" s="15" t="s">
        <v>362</v>
      </c>
      <c r="Q44" s="20" t="s">
        <v>726</v>
      </c>
      <c r="R44" s="15" t="s">
        <v>689</v>
      </c>
      <c r="S44" s="15" t="s">
        <v>689</v>
      </c>
      <c r="T44" s="15" t="s">
        <v>690</v>
      </c>
      <c r="U44" s="15" t="s">
        <v>690</v>
      </c>
      <c r="V44" s="15" t="s">
        <v>643</v>
      </c>
      <c r="W44" s="15" t="s">
        <v>636</v>
      </c>
      <c r="X44" s="20" t="s">
        <v>727</v>
      </c>
      <c r="Y44" s="15" t="s">
        <v>728</v>
      </c>
      <c r="Z44" s="15" t="s">
        <v>729</v>
      </c>
      <c r="AA44" s="15" t="s">
        <v>687</v>
      </c>
      <c r="AB44" s="15" t="s">
        <v>691</v>
      </c>
    </row>
    <row r="45" spans="1:28" x14ac:dyDescent="0.25">
      <c r="A45" s="15">
        <v>1</v>
      </c>
      <c r="B45" s="15" t="s">
        <v>730</v>
      </c>
      <c r="C45" s="15" t="s">
        <v>731</v>
      </c>
      <c r="D45" s="15" t="s">
        <v>732</v>
      </c>
      <c r="E45" s="15" t="s">
        <v>733</v>
      </c>
      <c r="F45" s="15" t="s">
        <v>734</v>
      </c>
      <c r="G45" s="15" t="s">
        <v>735</v>
      </c>
      <c r="H45" s="15" t="s">
        <v>362</v>
      </c>
      <c r="I45" s="21" t="s">
        <v>164</v>
      </c>
      <c r="J45" s="15" t="s">
        <v>736</v>
      </c>
      <c r="K45" s="15" t="s">
        <v>737</v>
      </c>
      <c r="L45" s="15" t="s">
        <v>362</v>
      </c>
      <c r="M45" s="21" t="s">
        <v>164</v>
      </c>
      <c r="N45" s="15" t="s">
        <v>738</v>
      </c>
      <c r="O45" s="15" t="s">
        <v>739</v>
      </c>
      <c r="P45" s="15" t="s">
        <v>358</v>
      </c>
      <c r="Q45" s="20" t="s">
        <v>688</v>
      </c>
      <c r="R45" s="15" t="s">
        <v>689</v>
      </c>
      <c r="S45" s="15" t="s">
        <v>689</v>
      </c>
      <c r="T45" s="15" t="s">
        <v>690</v>
      </c>
      <c r="U45" s="15" t="s">
        <v>690</v>
      </c>
      <c r="V45" s="15" t="s">
        <v>636</v>
      </c>
      <c r="W45" s="15" t="s">
        <v>643</v>
      </c>
      <c r="X45" s="20" t="s">
        <v>727</v>
      </c>
      <c r="Y45" s="15" t="s">
        <v>719</v>
      </c>
      <c r="Z45" s="15" t="s">
        <v>714</v>
      </c>
      <c r="AA45" s="15" t="s">
        <v>740</v>
      </c>
      <c r="AB45" s="15" t="s">
        <v>691</v>
      </c>
    </row>
    <row r="46" spans="1:28" x14ac:dyDescent="0.25">
      <c r="A46" s="15">
        <v>1</v>
      </c>
      <c r="B46" s="15" t="s">
        <v>741</v>
      </c>
      <c r="C46" s="15" t="s">
        <v>742</v>
      </c>
      <c r="D46" s="15" t="s">
        <v>743</v>
      </c>
      <c r="E46" s="15" t="s">
        <v>744</v>
      </c>
      <c r="F46" s="15" t="s">
        <v>745</v>
      </c>
      <c r="G46" s="15" t="s">
        <v>746</v>
      </c>
      <c r="H46" s="15" t="s">
        <v>362</v>
      </c>
      <c r="I46" s="21" t="s">
        <v>164</v>
      </c>
      <c r="J46" s="15" t="s">
        <v>747</v>
      </c>
      <c r="K46" s="15" t="s">
        <v>737</v>
      </c>
      <c r="L46" s="15" t="s">
        <v>362</v>
      </c>
      <c r="M46" s="21" t="s">
        <v>164</v>
      </c>
      <c r="N46" s="15" t="s">
        <v>748</v>
      </c>
      <c r="O46" s="15" t="s">
        <v>749</v>
      </c>
      <c r="P46" s="15" t="s">
        <v>358</v>
      </c>
      <c r="Q46" s="20" t="s">
        <v>688</v>
      </c>
      <c r="R46" s="15" t="s">
        <v>689</v>
      </c>
      <c r="S46" s="15" t="s">
        <v>689</v>
      </c>
      <c r="T46" s="15" t="s">
        <v>690</v>
      </c>
      <c r="U46" s="15" t="s">
        <v>690</v>
      </c>
      <c r="V46" s="15" t="s">
        <v>636</v>
      </c>
      <c r="W46" s="15" t="s">
        <v>643</v>
      </c>
      <c r="X46" s="20" t="s">
        <v>713</v>
      </c>
      <c r="Y46" s="15" t="s">
        <v>750</v>
      </c>
      <c r="Z46" s="15" t="s">
        <v>722</v>
      </c>
      <c r="AA46" s="15" t="s">
        <v>751</v>
      </c>
      <c r="AB46" s="15" t="s">
        <v>691</v>
      </c>
    </row>
    <row r="47" spans="1:28" x14ac:dyDescent="0.25">
      <c r="A47" s="15">
        <v>1</v>
      </c>
      <c r="B47" s="15" t="s">
        <v>256</v>
      </c>
      <c r="C47" s="15" t="s">
        <v>752</v>
      </c>
      <c r="D47" s="15" t="s">
        <v>753</v>
      </c>
      <c r="E47" s="15" t="s">
        <v>754</v>
      </c>
      <c r="F47" s="15" t="s">
        <v>755</v>
      </c>
      <c r="G47" s="15" t="s">
        <v>728</v>
      </c>
      <c r="H47" s="15" t="s">
        <v>358</v>
      </c>
      <c r="I47" s="20" t="s">
        <v>160</v>
      </c>
      <c r="J47" s="15" t="s">
        <v>756</v>
      </c>
      <c r="K47" s="15" t="s">
        <v>757</v>
      </c>
      <c r="L47" s="15" t="s">
        <v>358</v>
      </c>
      <c r="M47" s="20" t="s">
        <v>699</v>
      </c>
      <c r="N47" s="15" t="s">
        <v>758</v>
      </c>
      <c r="O47" s="15" t="s">
        <v>759</v>
      </c>
      <c r="P47" s="15" t="s">
        <v>358</v>
      </c>
      <c r="Q47" s="20" t="s">
        <v>688</v>
      </c>
      <c r="R47" s="15" t="s">
        <v>689</v>
      </c>
      <c r="S47" s="15" t="s">
        <v>689</v>
      </c>
      <c r="T47" s="15" t="s">
        <v>690</v>
      </c>
      <c r="U47" s="15" t="s">
        <v>690</v>
      </c>
      <c r="V47" s="15" t="s">
        <v>636</v>
      </c>
      <c r="W47" s="15" t="s">
        <v>636</v>
      </c>
      <c r="X47" s="20" t="s">
        <v>637</v>
      </c>
      <c r="Y47" s="15" t="s">
        <v>760</v>
      </c>
      <c r="Z47" s="15" t="s">
        <v>698</v>
      </c>
      <c r="AA47" s="15" t="s">
        <v>761</v>
      </c>
      <c r="AB47" s="15" t="s">
        <v>691</v>
      </c>
    </row>
    <row r="48" spans="1:28" x14ac:dyDescent="0.25">
      <c r="A48" s="15">
        <v>1</v>
      </c>
      <c r="B48" s="15" t="s">
        <v>762</v>
      </c>
      <c r="C48" s="15" t="s">
        <v>763</v>
      </c>
      <c r="D48" s="15" t="s">
        <v>764</v>
      </c>
      <c r="E48" s="15" t="s">
        <v>765</v>
      </c>
      <c r="F48" s="15" t="s">
        <v>766</v>
      </c>
      <c r="G48" s="15" t="s">
        <v>767</v>
      </c>
      <c r="H48" s="15" t="s">
        <v>362</v>
      </c>
      <c r="I48" s="20" t="s">
        <v>699</v>
      </c>
      <c r="J48" s="15" t="s">
        <v>768</v>
      </c>
      <c r="K48" s="15" t="s">
        <v>769</v>
      </c>
      <c r="L48" s="15" t="s">
        <v>362</v>
      </c>
      <c r="M48" s="20" t="s">
        <v>160</v>
      </c>
      <c r="N48" s="15" t="s">
        <v>770</v>
      </c>
      <c r="O48" s="15" t="s">
        <v>771</v>
      </c>
      <c r="P48" s="15" t="s">
        <v>358</v>
      </c>
      <c r="Q48" s="21" t="s">
        <v>772</v>
      </c>
      <c r="R48" s="15" t="s">
        <v>689</v>
      </c>
      <c r="S48" s="15" t="s">
        <v>689</v>
      </c>
      <c r="T48" s="15" t="s">
        <v>690</v>
      </c>
      <c r="U48" s="15" t="s">
        <v>690</v>
      </c>
      <c r="V48" s="15" t="s">
        <v>636</v>
      </c>
      <c r="W48" s="15" t="s">
        <v>643</v>
      </c>
      <c r="X48" s="20" t="s">
        <v>727</v>
      </c>
      <c r="Y48" s="15" t="s">
        <v>773</v>
      </c>
      <c r="Z48" s="15" t="s">
        <v>707</v>
      </c>
      <c r="AA48" s="15" t="s">
        <v>774</v>
      </c>
      <c r="AB48" s="15" t="s">
        <v>691</v>
      </c>
    </row>
    <row r="49" spans="1:28" x14ac:dyDescent="0.25">
      <c r="A49" s="15">
        <v>1</v>
      </c>
      <c r="B49" s="15" t="s">
        <v>241</v>
      </c>
      <c r="C49" s="15" t="s">
        <v>775</v>
      </c>
      <c r="D49" s="15" t="s">
        <v>654</v>
      </c>
      <c r="E49" s="15" t="s">
        <v>776</v>
      </c>
      <c r="F49" s="15" t="s">
        <v>777</v>
      </c>
      <c r="G49" s="15" t="s">
        <v>778</v>
      </c>
      <c r="H49" s="15" t="s">
        <v>358</v>
      </c>
      <c r="I49" s="20" t="s">
        <v>160</v>
      </c>
      <c r="J49" s="15" t="s">
        <v>779</v>
      </c>
      <c r="K49" s="15" t="s">
        <v>780</v>
      </c>
      <c r="L49" s="15" t="s">
        <v>358</v>
      </c>
      <c r="M49" s="20" t="s">
        <v>160</v>
      </c>
      <c r="N49" s="15" t="s">
        <v>781</v>
      </c>
      <c r="O49" s="15" t="s">
        <v>782</v>
      </c>
      <c r="P49" s="15" t="s">
        <v>358</v>
      </c>
      <c r="Q49" s="20" t="s">
        <v>688</v>
      </c>
      <c r="R49" s="15" t="s">
        <v>689</v>
      </c>
      <c r="S49" s="15" t="s">
        <v>689</v>
      </c>
      <c r="T49" s="15" t="s">
        <v>690</v>
      </c>
      <c r="U49" s="15" t="s">
        <v>690</v>
      </c>
      <c r="V49" s="15" t="s">
        <v>636</v>
      </c>
      <c r="W49" s="15" t="s">
        <v>636</v>
      </c>
      <c r="X49" s="20" t="s">
        <v>637</v>
      </c>
      <c r="Y49" s="15" t="s">
        <v>783</v>
      </c>
      <c r="Z49" s="15" t="s">
        <v>784</v>
      </c>
      <c r="AA49" s="15" t="s">
        <v>785</v>
      </c>
      <c r="AB49" s="15" t="s">
        <v>691</v>
      </c>
    </row>
    <row r="50" spans="1:28" x14ac:dyDescent="0.25">
      <c r="A50" s="15">
        <v>1</v>
      </c>
      <c r="B50" s="15" t="s">
        <v>270</v>
      </c>
      <c r="C50" s="15" t="s">
        <v>786</v>
      </c>
      <c r="D50" s="15" t="s">
        <v>787</v>
      </c>
      <c r="E50" s="15" t="s">
        <v>788</v>
      </c>
      <c r="F50" s="15" t="s">
        <v>789</v>
      </c>
      <c r="G50" s="15" t="s">
        <v>790</v>
      </c>
      <c r="H50" s="15" t="s">
        <v>362</v>
      </c>
      <c r="I50" s="21" t="s">
        <v>164</v>
      </c>
      <c r="J50" s="15" t="s">
        <v>791</v>
      </c>
      <c r="K50" s="15" t="s">
        <v>792</v>
      </c>
      <c r="L50" s="15" t="s">
        <v>362</v>
      </c>
      <c r="M50" s="21" t="s">
        <v>164</v>
      </c>
      <c r="N50" s="15" t="s">
        <v>793</v>
      </c>
      <c r="O50" s="15" t="s">
        <v>794</v>
      </c>
      <c r="P50" s="15" t="s">
        <v>358</v>
      </c>
      <c r="Q50" s="20" t="s">
        <v>688</v>
      </c>
      <c r="R50" s="15" t="s">
        <v>689</v>
      </c>
      <c r="S50" s="15" t="s">
        <v>689</v>
      </c>
      <c r="T50" s="15" t="s">
        <v>690</v>
      </c>
      <c r="U50" s="15" t="s">
        <v>690</v>
      </c>
      <c r="V50" s="15" t="s">
        <v>636</v>
      </c>
      <c r="W50" s="15" t="s">
        <v>643</v>
      </c>
      <c r="X50" s="20" t="s">
        <v>713</v>
      </c>
      <c r="Y50" s="15" t="s">
        <v>795</v>
      </c>
      <c r="Z50" s="15" t="s">
        <v>796</v>
      </c>
      <c r="AA50" s="15" t="s">
        <v>797</v>
      </c>
      <c r="AB50" s="15" t="s">
        <v>691</v>
      </c>
    </row>
    <row r="51" spans="1:28" x14ac:dyDescent="0.25">
      <c r="A51" s="15">
        <v>1</v>
      </c>
      <c r="B51" s="15" t="s">
        <v>798</v>
      </c>
      <c r="C51" s="15" t="s">
        <v>799</v>
      </c>
      <c r="D51" s="15" t="s">
        <v>800</v>
      </c>
      <c r="E51" s="15" t="s">
        <v>801</v>
      </c>
      <c r="F51" s="15" t="s">
        <v>706</v>
      </c>
      <c r="G51" s="15" t="s">
        <v>802</v>
      </c>
      <c r="H51" s="15" t="s">
        <v>362</v>
      </c>
      <c r="I51" s="21" t="s">
        <v>164</v>
      </c>
      <c r="J51" s="15" t="s">
        <v>803</v>
      </c>
      <c r="K51" s="15" t="s">
        <v>804</v>
      </c>
      <c r="L51" s="15" t="s">
        <v>362</v>
      </c>
      <c r="M51" s="21" t="s">
        <v>164</v>
      </c>
      <c r="N51" s="15" t="s">
        <v>753</v>
      </c>
      <c r="O51" s="15" t="s">
        <v>714</v>
      </c>
      <c r="P51" s="15" t="s">
        <v>358</v>
      </c>
      <c r="Q51" s="20" t="s">
        <v>688</v>
      </c>
      <c r="R51" s="15" t="s">
        <v>689</v>
      </c>
      <c r="S51" s="15" t="s">
        <v>689</v>
      </c>
      <c r="T51" s="15" t="s">
        <v>690</v>
      </c>
      <c r="U51" s="15" t="s">
        <v>690</v>
      </c>
      <c r="V51" s="15" t="s">
        <v>636</v>
      </c>
      <c r="W51" s="15" t="s">
        <v>643</v>
      </c>
      <c r="X51" s="20" t="s">
        <v>727</v>
      </c>
      <c r="Y51" s="15" t="s">
        <v>805</v>
      </c>
      <c r="Z51" s="15" t="s">
        <v>806</v>
      </c>
      <c r="AA51" s="15" t="s">
        <v>807</v>
      </c>
      <c r="AB51" s="15" t="s">
        <v>691</v>
      </c>
    </row>
    <row r="52" spans="1:28" x14ac:dyDescent="0.25">
      <c r="A52" s="15">
        <v>1</v>
      </c>
      <c r="B52" s="15" t="s">
        <v>245</v>
      </c>
      <c r="C52" s="15" t="s">
        <v>705</v>
      </c>
      <c r="D52" s="15" t="s">
        <v>800</v>
      </c>
      <c r="E52" s="15" t="s">
        <v>707</v>
      </c>
      <c r="F52" s="15" t="s">
        <v>808</v>
      </c>
      <c r="G52" s="15" t="s">
        <v>728</v>
      </c>
      <c r="H52" s="15" t="s">
        <v>358</v>
      </c>
      <c r="I52" s="21" t="s">
        <v>164</v>
      </c>
      <c r="J52" s="15" t="s">
        <v>737</v>
      </c>
      <c r="K52" s="15" t="s">
        <v>809</v>
      </c>
      <c r="L52" s="15" t="s">
        <v>358</v>
      </c>
      <c r="M52" s="21" t="s">
        <v>685</v>
      </c>
      <c r="N52" s="15" t="s">
        <v>810</v>
      </c>
      <c r="O52" s="15" t="s">
        <v>769</v>
      </c>
      <c r="P52" s="15" t="s">
        <v>362</v>
      </c>
      <c r="Q52" s="20" t="s">
        <v>688</v>
      </c>
      <c r="R52" s="15" t="s">
        <v>689</v>
      </c>
      <c r="S52" s="15" t="s">
        <v>689</v>
      </c>
      <c r="T52" s="15" t="s">
        <v>690</v>
      </c>
      <c r="U52" s="15" t="s">
        <v>690</v>
      </c>
      <c r="V52" s="15" t="s">
        <v>636</v>
      </c>
      <c r="W52" s="15" t="s">
        <v>643</v>
      </c>
      <c r="X52" s="20" t="s">
        <v>637</v>
      </c>
      <c r="Y52" s="15" t="s">
        <v>811</v>
      </c>
      <c r="Z52" s="15" t="s">
        <v>812</v>
      </c>
      <c r="AA52" s="15" t="s">
        <v>813</v>
      </c>
      <c r="AB52" s="15" t="s">
        <v>691</v>
      </c>
    </row>
    <row r="53" spans="1:28" x14ac:dyDescent="0.25">
      <c r="A53" s="15">
        <v>1</v>
      </c>
      <c r="B53" s="15" t="s">
        <v>814</v>
      </c>
      <c r="C53" s="15" t="s">
        <v>815</v>
      </c>
      <c r="D53" s="15" t="s">
        <v>816</v>
      </c>
      <c r="E53" s="15" t="s">
        <v>817</v>
      </c>
      <c r="F53" s="15" t="s">
        <v>818</v>
      </c>
      <c r="G53" s="15" t="s">
        <v>819</v>
      </c>
      <c r="H53" s="15" t="s">
        <v>362</v>
      </c>
      <c r="I53" s="20" t="s">
        <v>160</v>
      </c>
      <c r="J53" s="15" t="s">
        <v>820</v>
      </c>
      <c r="K53" s="15" t="s">
        <v>767</v>
      </c>
      <c r="L53" s="15" t="s">
        <v>362</v>
      </c>
      <c r="M53" s="20" t="s">
        <v>699</v>
      </c>
      <c r="N53" s="15" t="s">
        <v>821</v>
      </c>
      <c r="O53" s="15" t="s">
        <v>796</v>
      </c>
      <c r="P53" s="15" t="s">
        <v>362</v>
      </c>
      <c r="Q53" s="20" t="s">
        <v>688</v>
      </c>
      <c r="R53" s="15" t="s">
        <v>689</v>
      </c>
      <c r="S53" s="15" t="s">
        <v>689</v>
      </c>
      <c r="T53" s="15" t="s">
        <v>690</v>
      </c>
      <c r="U53" s="15" t="s">
        <v>690</v>
      </c>
      <c r="V53" s="15" t="s">
        <v>636</v>
      </c>
      <c r="W53" s="15" t="s">
        <v>636</v>
      </c>
      <c r="X53" s="20" t="s">
        <v>637</v>
      </c>
      <c r="Y53" s="15" t="s">
        <v>822</v>
      </c>
      <c r="Z53" s="15" t="s">
        <v>753</v>
      </c>
      <c r="AA53" s="15" t="s">
        <v>823</v>
      </c>
      <c r="AB53" s="15" t="s">
        <v>691</v>
      </c>
    </row>
    <row r="54" spans="1:28" x14ac:dyDescent="0.25">
      <c r="A54" s="15">
        <v>2</v>
      </c>
      <c r="B54" s="15" t="s">
        <v>824</v>
      </c>
      <c r="C54" s="15" t="s">
        <v>825</v>
      </c>
      <c r="D54" s="15" t="s">
        <v>809</v>
      </c>
      <c r="E54" s="15" t="s">
        <v>707</v>
      </c>
      <c r="F54" s="15" t="s">
        <v>771</v>
      </c>
      <c r="G54" s="15" t="s">
        <v>826</v>
      </c>
      <c r="H54" s="15" t="s">
        <v>362</v>
      </c>
      <c r="I54" s="20" t="s">
        <v>160</v>
      </c>
      <c r="J54" s="15" t="s">
        <v>827</v>
      </c>
      <c r="K54" s="15" t="s">
        <v>828</v>
      </c>
      <c r="L54" s="15" t="s">
        <v>362</v>
      </c>
      <c r="M54" s="20" t="s">
        <v>160</v>
      </c>
      <c r="N54" s="15" t="s">
        <v>829</v>
      </c>
      <c r="O54" s="15" t="s">
        <v>830</v>
      </c>
      <c r="P54" s="15" t="s">
        <v>362</v>
      </c>
      <c r="Q54" s="20" t="s">
        <v>160</v>
      </c>
      <c r="R54" s="15" t="s">
        <v>831</v>
      </c>
      <c r="S54" s="15" t="s">
        <v>832</v>
      </c>
      <c r="T54" s="15" t="s">
        <v>362</v>
      </c>
      <c r="U54" s="20" t="s">
        <v>699</v>
      </c>
      <c r="V54" s="15" t="s">
        <v>636</v>
      </c>
      <c r="W54" s="15" t="s">
        <v>636</v>
      </c>
      <c r="X54" s="20" t="s">
        <v>833</v>
      </c>
      <c r="Y54" s="15" t="s">
        <v>834</v>
      </c>
      <c r="Z54" s="15" t="s">
        <v>835</v>
      </c>
      <c r="AA54" s="15" t="s">
        <v>836</v>
      </c>
      <c r="AB54" s="15" t="s">
        <v>832</v>
      </c>
    </row>
    <row r="55" spans="1:28" x14ac:dyDescent="0.25">
      <c r="A55" s="15">
        <v>2</v>
      </c>
      <c r="B55" s="15" t="s">
        <v>837</v>
      </c>
      <c r="C55" s="15" t="s">
        <v>838</v>
      </c>
      <c r="D55" s="15" t="s">
        <v>839</v>
      </c>
      <c r="E55" s="15" t="s">
        <v>801</v>
      </c>
      <c r="F55" s="15" t="s">
        <v>840</v>
      </c>
      <c r="G55" s="15" t="s">
        <v>841</v>
      </c>
      <c r="H55" s="15" t="s">
        <v>358</v>
      </c>
      <c r="I55" s="20" t="s">
        <v>160</v>
      </c>
      <c r="J55" s="15" t="s">
        <v>842</v>
      </c>
      <c r="K55" s="15" t="s">
        <v>843</v>
      </c>
      <c r="L55" s="15" t="s">
        <v>358</v>
      </c>
      <c r="M55" s="20" t="s">
        <v>160</v>
      </c>
      <c r="N55" s="15" t="s">
        <v>844</v>
      </c>
      <c r="O55" s="15" t="s">
        <v>845</v>
      </c>
      <c r="P55" s="15" t="s">
        <v>358</v>
      </c>
      <c r="Q55" s="20" t="s">
        <v>699</v>
      </c>
      <c r="R55" s="15" t="s">
        <v>846</v>
      </c>
      <c r="S55" s="15" t="s">
        <v>847</v>
      </c>
      <c r="T55" s="15" t="s">
        <v>362</v>
      </c>
      <c r="U55" s="21" t="s">
        <v>164</v>
      </c>
      <c r="V55" s="15" t="s">
        <v>636</v>
      </c>
      <c r="W55" s="15" t="s">
        <v>636</v>
      </c>
      <c r="X55" s="20" t="s">
        <v>713</v>
      </c>
      <c r="Y55" s="15" t="s">
        <v>848</v>
      </c>
      <c r="Z55" s="15" t="s">
        <v>849</v>
      </c>
      <c r="AA55" s="15" t="s">
        <v>850</v>
      </c>
      <c r="AB55" s="15" t="s">
        <v>851</v>
      </c>
    </row>
    <row r="56" spans="1:28" x14ac:dyDescent="0.25">
      <c r="A56" s="15">
        <v>2</v>
      </c>
      <c r="B56" s="15" t="s">
        <v>852</v>
      </c>
      <c r="C56" s="15" t="s">
        <v>853</v>
      </c>
      <c r="D56" s="15" t="s">
        <v>854</v>
      </c>
      <c r="E56" s="15" t="s">
        <v>682</v>
      </c>
      <c r="F56" s="15" t="s">
        <v>631</v>
      </c>
      <c r="G56" s="15" t="s">
        <v>855</v>
      </c>
      <c r="H56" s="15" t="s">
        <v>358</v>
      </c>
      <c r="I56" s="21" t="s">
        <v>164</v>
      </c>
      <c r="J56" s="15" t="s">
        <v>806</v>
      </c>
      <c r="K56" s="15" t="s">
        <v>856</v>
      </c>
      <c r="L56" s="15" t="s">
        <v>358</v>
      </c>
      <c r="M56" s="21" t="s">
        <v>164</v>
      </c>
      <c r="N56" s="15" t="s">
        <v>857</v>
      </c>
      <c r="O56" s="15" t="s">
        <v>858</v>
      </c>
      <c r="P56" s="15" t="s">
        <v>358</v>
      </c>
      <c r="Q56" s="21" t="s">
        <v>164</v>
      </c>
      <c r="R56" s="15" t="s">
        <v>859</v>
      </c>
      <c r="S56" s="15" t="s">
        <v>860</v>
      </c>
      <c r="T56" s="15" t="s">
        <v>358</v>
      </c>
      <c r="U56" s="21" t="s">
        <v>164</v>
      </c>
      <c r="V56" s="15" t="s">
        <v>636</v>
      </c>
      <c r="W56" s="15" t="s">
        <v>636</v>
      </c>
      <c r="X56" s="20" t="s">
        <v>833</v>
      </c>
      <c r="Y56" s="15" t="s">
        <v>861</v>
      </c>
      <c r="Z56" s="15" t="s">
        <v>750</v>
      </c>
      <c r="AA56" s="15" t="s">
        <v>862</v>
      </c>
      <c r="AB56" s="15" t="s">
        <v>809</v>
      </c>
    </row>
    <row r="57" spans="1:28" x14ac:dyDescent="0.25">
      <c r="A57" s="15">
        <v>2</v>
      </c>
      <c r="B57" s="15" t="s">
        <v>863</v>
      </c>
      <c r="C57" s="15" t="s">
        <v>864</v>
      </c>
      <c r="D57" s="15" t="s">
        <v>865</v>
      </c>
      <c r="E57" s="15" t="s">
        <v>866</v>
      </c>
      <c r="F57" s="15" t="s">
        <v>681</v>
      </c>
      <c r="G57" s="15" t="s">
        <v>867</v>
      </c>
      <c r="H57" s="15" t="s">
        <v>362</v>
      </c>
      <c r="I57" s="21" t="s">
        <v>164</v>
      </c>
      <c r="J57" s="15" t="s">
        <v>868</v>
      </c>
      <c r="K57" s="15" t="s">
        <v>869</v>
      </c>
      <c r="L57" s="15" t="s">
        <v>362</v>
      </c>
      <c r="M57" s="21" t="s">
        <v>164</v>
      </c>
      <c r="N57" s="15" t="s">
        <v>870</v>
      </c>
      <c r="O57" s="15" t="s">
        <v>745</v>
      </c>
      <c r="P57" s="15" t="s">
        <v>358</v>
      </c>
      <c r="Q57" s="20" t="s">
        <v>160</v>
      </c>
      <c r="R57" s="15" t="s">
        <v>871</v>
      </c>
      <c r="S57" s="15" t="s">
        <v>872</v>
      </c>
      <c r="T57" s="15" t="s">
        <v>362</v>
      </c>
      <c r="U57" s="21" t="s">
        <v>164</v>
      </c>
      <c r="V57" s="15" t="s">
        <v>636</v>
      </c>
      <c r="W57" s="15" t="s">
        <v>643</v>
      </c>
      <c r="X57" s="20" t="s">
        <v>713</v>
      </c>
      <c r="Y57" s="15" t="s">
        <v>873</v>
      </c>
      <c r="Z57" s="15" t="s">
        <v>720</v>
      </c>
      <c r="AA57" s="15" t="s">
        <v>874</v>
      </c>
      <c r="AB57" s="15" t="s">
        <v>875</v>
      </c>
    </row>
    <row r="58" spans="1:28" x14ac:dyDescent="0.25">
      <c r="A58" s="15">
        <v>2</v>
      </c>
      <c r="B58" s="15" t="s">
        <v>274</v>
      </c>
      <c r="C58" s="15" t="s">
        <v>876</v>
      </c>
      <c r="D58" s="15" t="s">
        <v>719</v>
      </c>
      <c r="E58" s="15" t="s">
        <v>765</v>
      </c>
      <c r="F58" s="15" t="s">
        <v>877</v>
      </c>
      <c r="G58" s="15" t="s">
        <v>843</v>
      </c>
      <c r="H58" s="15" t="s">
        <v>358</v>
      </c>
      <c r="I58" s="20" t="s">
        <v>160</v>
      </c>
      <c r="J58" s="15" t="s">
        <v>831</v>
      </c>
      <c r="K58" s="15" t="s">
        <v>878</v>
      </c>
      <c r="L58" s="15" t="s">
        <v>358</v>
      </c>
      <c r="M58" s="20" t="s">
        <v>699</v>
      </c>
      <c r="N58" s="15" t="s">
        <v>879</v>
      </c>
      <c r="O58" s="15" t="s">
        <v>715</v>
      </c>
      <c r="P58" s="15" t="s">
        <v>358</v>
      </c>
      <c r="Q58" s="20" t="s">
        <v>160</v>
      </c>
      <c r="R58" s="15" t="s">
        <v>880</v>
      </c>
      <c r="S58" s="15" t="s">
        <v>746</v>
      </c>
      <c r="T58" s="15" t="s">
        <v>362</v>
      </c>
      <c r="U58" s="21" t="s">
        <v>164</v>
      </c>
      <c r="V58" s="15" t="s">
        <v>636</v>
      </c>
      <c r="W58" s="15" t="s">
        <v>636</v>
      </c>
      <c r="X58" s="20" t="s">
        <v>637</v>
      </c>
      <c r="Y58" s="15" t="s">
        <v>760</v>
      </c>
      <c r="Z58" s="15" t="s">
        <v>881</v>
      </c>
      <c r="AA58" s="15" t="s">
        <v>882</v>
      </c>
      <c r="AB58" s="15" t="s">
        <v>883</v>
      </c>
    </row>
    <row r="59" spans="1:28" x14ac:dyDescent="0.25">
      <c r="A59" s="15">
        <v>2</v>
      </c>
      <c r="B59" s="15" t="s">
        <v>884</v>
      </c>
      <c r="C59" s="15" t="s">
        <v>885</v>
      </c>
      <c r="D59" s="15" t="s">
        <v>848</v>
      </c>
      <c r="E59" s="15" t="s">
        <v>886</v>
      </c>
      <c r="F59" s="15" t="s">
        <v>720</v>
      </c>
      <c r="G59" s="15" t="s">
        <v>887</v>
      </c>
      <c r="H59" s="15" t="s">
        <v>358</v>
      </c>
      <c r="I59" s="21" t="s">
        <v>164</v>
      </c>
      <c r="J59" s="15" t="s">
        <v>888</v>
      </c>
      <c r="K59" s="15" t="s">
        <v>889</v>
      </c>
      <c r="L59" s="15" t="s">
        <v>358</v>
      </c>
      <c r="M59" s="21" t="s">
        <v>164</v>
      </c>
      <c r="N59" s="15" t="s">
        <v>890</v>
      </c>
      <c r="O59" s="15" t="s">
        <v>891</v>
      </c>
      <c r="P59" s="15" t="s">
        <v>358</v>
      </c>
      <c r="Q59" s="21" t="s">
        <v>164</v>
      </c>
      <c r="R59" s="15" t="s">
        <v>854</v>
      </c>
      <c r="S59" s="15" t="s">
        <v>748</v>
      </c>
      <c r="T59" s="15" t="s">
        <v>362</v>
      </c>
      <c r="U59" s="20" t="s">
        <v>160</v>
      </c>
      <c r="V59" s="15" t="s">
        <v>636</v>
      </c>
      <c r="W59" s="15" t="s">
        <v>636</v>
      </c>
      <c r="X59" s="20" t="s">
        <v>833</v>
      </c>
      <c r="Y59" s="15" t="s">
        <v>892</v>
      </c>
      <c r="Z59" s="15" t="s">
        <v>725</v>
      </c>
      <c r="AA59" s="15" t="s">
        <v>893</v>
      </c>
      <c r="AB59" s="15" t="s">
        <v>867</v>
      </c>
    </row>
    <row r="60" spans="1:28" x14ac:dyDescent="0.25">
      <c r="A60" s="15">
        <v>2</v>
      </c>
      <c r="B60" s="15" t="s">
        <v>894</v>
      </c>
      <c r="C60" s="15" t="s">
        <v>895</v>
      </c>
      <c r="D60" s="15" t="s">
        <v>896</v>
      </c>
      <c r="E60" s="15" t="s">
        <v>801</v>
      </c>
      <c r="F60" s="15" t="s">
        <v>897</v>
      </c>
      <c r="G60" s="15" t="s">
        <v>684</v>
      </c>
      <c r="H60" s="15" t="s">
        <v>362</v>
      </c>
      <c r="I60" s="20" t="s">
        <v>699</v>
      </c>
      <c r="J60" s="15" t="s">
        <v>868</v>
      </c>
      <c r="K60" s="15" t="s">
        <v>898</v>
      </c>
      <c r="L60" s="15" t="s">
        <v>358</v>
      </c>
      <c r="M60" s="21" t="s">
        <v>164</v>
      </c>
      <c r="N60" s="15" t="s">
        <v>899</v>
      </c>
      <c r="O60" s="15" t="s">
        <v>739</v>
      </c>
      <c r="P60" s="15" t="s">
        <v>358</v>
      </c>
      <c r="Q60" s="21" t="s">
        <v>164</v>
      </c>
      <c r="R60" s="15" t="s">
        <v>737</v>
      </c>
      <c r="S60" s="15" t="s">
        <v>720</v>
      </c>
      <c r="T60" s="15" t="s">
        <v>362</v>
      </c>
      <c r="U60" s="20" t="s">
        <v>160</v>
      </c>
      <c r="V60" s="15" t="s">
        <v>643</v>
      </c>
      <c r="W60" s="15" t="s">
        <v>643</v>
      </c>
      <c r="X60" s="20" t="s">
        <v>727</v>
      </c>
      <c r="Y60" s="15" t="s">
        <v>900</v>
      </c>
      <c r="Z60" s="15" t="s">
        <v>901</v>
      </c>
      <c r="AA60" s="15" t="s">
        <v>902</v>
      </c>
      <c r="AB60" s="15" t="s">
        <v>903</v>
      </c>
    </row>
    <row r="61" spans="1:28" x14ac:dyDescent="0.25">
      <c r="A61" s="15">
        <v>2</v>
      </c>
      <c r="B61" s="15" t="s">
        <v>904</v>
      </c>
      <c r="C61" s="15" t="s">
        <v>905</v>
      </c>
      <c r="D61" s="15" t="s">
        <v>906</v>
      </c>
      <c r="E61" s="15" t="s">
        <v>907</v>
      </c>
      <c r="F61" s="15" t="s">
        <v>908</v>
      </c>
      <c r="G61" s="15" t="s">
        <v>909</v>
      </c>
      <c r="H61" s="15" t="s">
        <v>362</v>
      </c>
      <c r="I61" s="21" t="s">
        <v>164</v>
      </c>
      <c r="J61" s="15" t="s">
        <v>910</v>
      </c>
      <c r="K61" s="15" t="s">
        <v>654</v>
      </c>
      <c r="L61" s="15" t="s">
        <v>362</v>
      </c>
      <c r="M61" s="21" t="s">
        <v>164</v>
      </c>
      <c r="N61" s="15" t="s">
        <v>875</v>
      </c>
      <c r="O61" s="15" t="s">
        <v>839</v>
      </c>
      <c r="P61" s="15" t="s">
        <v>362</v>
      </c>
      <c r="Q61" s="21" t="s">
        <v>164</v>
      </c>
      <c r="R61" s="15" t="s">
        <v>911</v>
      </c>
      <c r="S61" s="15" t="s">
        <v>912</v>
      </c>
      <c r="T61" s="15" t="s">
        <v>362</v>
      </c>
      <c r="U61" s="21" t="s">
        <v>164</v>
      </c>
      <c r="V61" s="15" t="s">
        <v>636</v>
      </c>
      <c r="W61" s="15" t="s">
        <v>636</v>
      </c>
      <c r="X61" s="20" t="s">
        <v>637</v>
      </c>
      <c r="Y61" s="15" t="s">
        <v>739</v>
      </c>
      <c r="Z61" s="15" t="s">
        <v>794</v>
      </c>
      <c r="AA61" s="15" t="s">
        <v>913</v>
      </c>
      <c r="AB61" s="15" t="s">
        <v>914</v>
      </c>
    </row>
    <row r="62" spans="1:28" x14ac:dyDescent="0.25">
      <c r="A62" s="15">
        <v>2</v>
      </c>
      <c r="B62" s="15" t="s">
        <v>915</v>
      </c>
      <c r="C62" s="15" t="s">
        <v>916</v>
      </c>
      <c r="D62" s="15" t="s">
        <v>917</v>
      </c>
      <c r="E62" s="15" t="s">
        <v>715</v>
      </c>
      <c r="F62" s="15" t="s">
        <v>918</v>
      </c>
      <c r="G62" s="15" t="s">
        <v>919</v>
      </c>
      <c r="H62" s="15" t="s">
        <v>362</v>
      </c>
      <c r="I62" s="20" t="s">
        <v>160</v>
      </c>
      <c r="J62" s="15" t="s">
        <v>920</v>
      </c>
      <c r="K62" s="15" t="s">
        <v>921</v>
      </c>
      <c r="L62" s="15" t="s">
        <v>362</v>
      </c>
      <c r="M62" s="20" t="s">
        <v>699</v>
      </c>
      <c r="N62" s="15" t="s">
        <v>922</v>
      </c>
      <c r="O62" s="15" t="s">
        <v>923</v>
      </c>
      <c r="P62" s="15" t="s">
        <v>358</v>
      </c>
      <c r="Q62" s="21" t="s">
        <v>164</v>
      </c>
      <c r="R62" s="15" t="s">
        <v>712</v>
      </c>
      <c r="S62" s="15" t="s">
        <v>924</v>
      </c>
      <c r="T62" s="15" t="s">
        <v>362</v>
      </c>
      <c r="U62" s="20" t="s">
        <v>160</v>
      </c>
      <c r="V62" s="15" t="s">
        <v>636</v>
      </c>
      <c r="W62" s="15" t="s">
        <v>643</v>
      </c>
      <c r="X62" s="20" t="s">
        <v>637</v>
      </c>
      <c r="Y62" s="15" t="s">
        <v>925</v>
      </c>
      <c r="Z62" s="15" t="s">
        <v>809</v>
      </c>
      <c r="AA62" s="15" t="s">
        <v>926</v>
      </c>
      <c r="AB62" s="15" t="s">
        <v>927</v>
      </c>
    </row>
    <row r="63" spans="1:28" x14ac:dyDescent="0.25">
      <c r="A63" s="15">
        <v>3</v>
      </c>
      <c r="B63" s="15" t="s">
        <v>928</v>
      </c>
      <c r="C63" s="15" t="s">
        <v>929</v>
      </c>
      <c r="D63" s="15" t="s">
        <v>930</v>
      </c>
      <c r="E63" s="15" t="s">
        <v>931</v>
      </c>
      <c r="F63" s="15" t="s">
        <v>932</v>
      </c>
      <c r="G63" s="15" t="s">
        <v>933</v>
      </c>
      <c r="H63" s="15" t="s">
        <v>362</v>
      </c>
      <c r="I63" s="20" t="s">
        <v>160</v>
      </c>
      <c r="J63" s="15" t="s">
        <v>934</v>
      </c>
      <c r="K63" s="15" t="s">
        <v>935</v>
      </c>
      <c r="L63" s="15" t="s">
        <v>362</v>
      </c>
      <c r="M63" s="20" t="s">
        <v>160</v>
      </c>
      <c r="N63" s="15" t="s">
        <v>936</v>
      </c>
      <c r="O63" s="15" t="s">
        <v>937</v>
      </c>
      <c r="P63" s="15" t="s">
        <v>362</v>
      </c>
      <c r="Q63" s="20" t="s">
        <v>699</v>
      </c>
      <c r="R63" s="15" t="s">
        <v>938</v>
      </c>
      <c r="S63" s="15" t="s">
        <v>646</v>
      </c>
      <c r="T63" s="15" t="s">
        <v>362</v>
      </c>
      <c r="U63" s="20" t="s">
        <v>160</v>
      </c>
      <c r="V63" s="15" t="s">
        <v>636</v>
      </c>
      <c r="W63" s="15" t="s">
        <v>636</v>
      </c>
      <c r="X63" s="20" t="s">
        <v>713</v>
      </c>
      <c r="Y63" s="15" t="s">
        <v>939</v>
      </c>
      <c r="Z63" s="15" t="s">
        <v>859</v>
      </c>
      <c r="AA63" s="15" t="s">
        <v>940</v>
      </c>
      <c r="AB63" s="15" t="s">
        <v>941</v>
      </c>
    </row>
    <row r="64" spans="1:28" x14ac:dyDescent="0.25">
      <c r="A64" s="15">
        <v>3</v>
      </c>
      <c r="B64" s="15" t="s">
        <v>283</v>
      </c>
      <c r="C64" s="15" t="s">
        <v>942</v>
      </c>
      <c r="D64" s="15" t="s">
        <v>809</v>
      </c>
      <c r="E64" s="15" t="s">
        <v>943</v>
      </c>
      <c r="F64" s="15" t="s">
        <v>944</v>
      </c>
      <c r="G64" s="15" t="s">
        <v>945</v>
      </c>
      <c r="H64" s="15" t="s">
        <v>358</v>
      </c>
      <c r="I64" s="20" t="s">
        <v>160</v>
      </c>
      <c r="J64" s="15" t="s">
        <v>946</v>
      </c>
      <c r="K64" s="15" t="s">
        <v>947</v>
      </c>
      <c r="L64" s="15" t="s">
        <v>358</v>
      </c>
      <c r="M64" s="20" t="s">
        <v>160</v>
      </c>
      <c r="N64" s="15" t="s">
        <v>948</v>
      </c>
      <c r="O64" s="15" t="s">
        <v>949</v>
      </c>
      <c r="P64" s="15" t="s">
        <v>358</v>
      </c>
      <c r="Q64" s="20" t="s">
        <v>160</v>
      </c>
      <c r="R64" s="15" t="s">
        <v>950</v>
      </c>
      <c r="S64" s="15" t="s">
        <v>951</v>
      </c>
      <c r="T64" s="15" t="s">
        <v>358</v>
      </c>
      <c r="U64" s="20" t="s">
        <v>160</v>
      </c>
      <c r="V64" s="15" t="s">
        <v>636</v>
      </c>
      <c r="W64" s="15" t="s">
        <v>636</v>
      </c>
      <c r="X64" s="20" t="s">
        <v>833</v>
      </c>
      <c r="Y64" s="15" t="s">
        <v>696</v>
      </c>
      <c r="Z64" s="15" t="s">
        <v>921</v>
      </c>
      <c r="AA64" s="15" t="s">
        <v>952</v>
      </c>
      <c r="AB64" s="15" t="s">
        <v>953</v>
      </c>
    </row>
    <row r="65" spans="1:28" x14ac:dyDescent="0.25">
      <c r="A65" s="15">
        <v>3</v>
      </c>
      <c r="B65" s="15" t="s">
        <v>954</v>
      </c>
      <c r="C65" s="15" t="s">
        <v>955</v>
      </c>
      <c r="D65" s="15" t="s">
        <v>930</v>
      </c>
      <c r="E65" s="15" t="s">
        <v>744</v>
      </c>
      <c r="F65" s="15" t="s">
        <v>912</v>
      </c>
      <c r="G65" s="15" t="s">
        <v>712</v>
      </c>
      <c r="H65" s="15" t="s">
        <v>358</v>
      </c>
      <c r="I65" s="20" t="s">
        <v>699</v>
      </c>
      <c r="J65" s="15" t="s">
        <v>732</v>
      </c>
      <c r="K65" s="15" t="s">
        <v>819</v>
      </c>
      <c r="L65" s="15" t="s">
        <v>362</v>
      </c>
      <c r="M65" s="21" t="s">
        <v>164</v>
      </c>
      <c r="N65" s="15" t="s">
        <v>956</v>
      </c>
      <c r="O65" s="15" t="s">
        <v>723</v>
      </c>
      <c r="P65" s="15" t="s">
        <v>362</v>
      </c>
      <c r="Q65" s="21" t="s">
        <v>164</v>
      </c>
      <c r="R65" s="15" t="s">
        <v>859</v>
      </c>
      <c r="S65" s="15" t="s">
        <v>883</v>
      </c>
      <c r="T65" s="15" t="s">
        <v>362</v>
      </c>
      <c r="U65" s="21" t="s">
        <v>164</v>
      </c>
      <c r="V65" s="15" t="s">
        <v>643</v>
      </c>
      <c r="W65" s="15" t="s">
        <v>643</v>
      </c>
      <c r="X65" s="20" t="s">
        <v>727</v>
      </c>
      <c r="Y65" s="15" t="s">
        <v>957</v>
      </c>
      <c r="Z65" s="15" t="s">
        <v>958</v>
      </c>
      <c r="AA65" s="15" t="s">
        <v>959</v>
      </c>
      <c r="AB65" s="15" t="s">
        <v>960</v>
      </c>
    </row>
    <row r="66" spans="1:28" x14ac:dyDescent="0.25">
      <c r="A66" s="15">
        <v>3</v>
      </c>
      <c r="B66" s="15" t="s">
        <v>961</v>
      </c>
      <c r="C66" s="15" t="s">
        <v>962</v>
      </c>
      <c r="D66" s="15" t="s">
        <v>963</v>
      </c>
      <c r="E66" s="15" t="s">
        <v>964</v>
      </c>
      <c r="F66" s="15" t="s">
        <v>877</v>
      </c>
      <c r="G66" s="15" t="s">
        <v>965</v>
      </c>
      <c r="H66" s="15" t="s">
        <v>358</v>
      </c>
      <c r="I66" s="20" t="s">
        <v>160</v>
      </c>
      <c r="J66" s="15" t="s">
        <v>966</v>
      </c>
      <c r="K66" s="15" t="s">
        <v>967</v>
      </c>
      <c r="L66" s="15" t="s">
        <v>358</v>
      </c>
      <c r="M66" s="20" t="s">
        <v>699</v>
      </c>
      <c r="N66" s="15" t="s">
        <v>968</v>
      </c>
      <c r="O66" s="15" t="s">
        <v>784</v>
      </c>
      <c r="P66" s="15" t="s">
        <v>358</v>
      </c>
      <c r="Q66" s="20" t="s">
        <v>160</v>
      </c>
      <c r="R66" s="15" t="s">
        <v>969</v>
      </c>
      <c r="S66" s="15" t="s">
        <v>970</v>
      </c>
      <c r="T66" s="15" t="s">
        <v>358</v>
      </c>
      <c r="U66" s="20" t="s">
        <v>160</v>
      </c>
      <c r="V66" s="15" t="s">
        <v>636</v>
      </c>
      <c r="W66" s="15" t="s">
        <v>636</v>
      </c>
      <c r="X66" s="20" t="s">
        <v>637</v>
      </c>
      <c r="Y66" s="15" t="s">
        <v>729</v>
      </c>
      <c r="Z66" s="15" t="s">
        <v>971</v>
      </c>
      <c r="AA66" s="15" t="s">
        <v>972</v>
      </c>
      <c r="AB66" s="15" t="s">
        <v>973</v>
      </c>
    </row>
    <row r="67" spans="1:28" x14ac:dyDescent="0.25">
      <c r="A67" s="15">
        <v>3</v>
      </c>
      <c r="B67" s="15" t="s">
        <v>974</v>
      </c>
      <c r="C67" s="15" t="s">
        <v>975</v>
      </c>
      <c r="D67" s="15" t="s">
        <v>976</v>
      </c>
      <c r="E67" s="15" t="s">
        <v>715</v>
      </c>
      <c r="F67" s="15" t="s">
        <v>840</v>
      </c>
      <c r="G67" s="15" t="s">
        <v>919</v>
      </c>
      <c r="H67" s="15" t="s">
        <v>362</v>
      </c>
      <c r="I67" s="20" t="s">
        <v>160</v>
      </c>
      <c r="J67" s="15" t="s">
        <v>869</v>
      </c>
      <c r="K67" s="15" t="s">
        <v>737</v>
      </c>
      <c r="L67" s="15" t="s">
        <v>362</v>
      </c>
      <c r="M67" s="20" t="s">
        <v>160</v>
      </c>
      <c r="N67" s="15" t="s">
        <v>806</v>
      </c>
      <c r="O67" s="15" t="s">
        <v>977</v>
      </c>
      <c r="P67" s="15" t="s">
        <v>362</v>
      </c>
      <c r="Q67" s="20" t="s">
        <v>160</v>
      </c>
      <c r="R67" s="15" t="s">
        <v>757</v>
      </c>
      <c r="S67" s="15" t="s">
        <v>872</v>
      </c>
      <c r="T67" s="15" t="s">
        <v>362</v>
      </c>
      <c r="U67" s="20" t="s">
        <v>160</v>
      </c>
      <c r="V67" s="15" t="s">
        <v>636</v>
      </c>
      <c r="W67" s="15" t="s">
        <v>636</v>
      </c>
      <c r="X67" s="20" t="s">
        <v>637</v>
      </c>
      <c r="Y67" s="15" t="s">
        <v>880</v>
      </c>
      <c r="Z67" s="15" t="s">
        <v>978</v>
      </c>
      <c r="AA67" s="15" t="s">
        <v>979</v>
      </c>
      <c r="AB67" s="15" t="s">
        <v>980</v>
      </c>
    </row>
    <row r="68" spans="1:28" x14ac:dyDescent="0.25">
      <c r="A68" s="15">
        <v>3</v>
      </c>
      <c r="B68" s="15" t="s">
        <v>981</v>
      </c>
      <c r="C68" s="15" t="s">
        <v>982</v>
      </c>
      <c r="D68" s="15" t="s">
        <v>983</v>
      </c>
      <c r="E68" s="15" t="s">
        <v>984</v>
      </c>
      <c r="F68" s="15" t="s">
        <v>985</v>
      </c>
      <c r="G68" s="15" t="s">
        <v>986</v>
      </c>
      <c r="H68" s="15" t="s">
        <v>358</v>
      </c>
      <c r="I68" s="20" t="s">
        <v>160</v>
      </c>
      <c r="J68" s="15" t="s">
        <v>829</v>
      </c>
      <c r="K68" s="15" t="s">
        <v>987</v>
      </c>
      <c r="L68" s="15" t="s">
        <v>358</v>
      </c>
      <c r="M68" s="20" t="s">
        <v>160</v>
      </c>
      <c r="N68" s="15" t="s">
        <v>988</v>
      </c>
      <c r="O68" s="15" t="s">
        <v>989</v>
      </c>
      <c r="P68" s="15" t="s">
        <v>362</v>
      </c>
      <c r="Q68" s="21" t="s">
        <v>164</v>
      </c>
      <c r="R68" s="15" t="s">
        <v>990</v>
      </c>
      <c r="S68" s="15" t="s">
        <v>991</v>
      </c>
      <c r="T68" s="15" t="s">
        <v>358</v>
      </c>
      <c r="U68" s="20" t="s">
        <v>160</v>
      </c>
      <c r="V68" s="15" t="s">
        <v>636</v>
      </c>
      <c r="W68" s="15" t="s">
        <v>643</v>
      </c>
      <c r="X68" s="20" t="s">
        <v>637</v>
      </c>
      <c r="Y68" s="15" t="s">
        <v>992</v>
      </c>
      <c r="Z68" s="15" t="s">
        <v>723</v>
      </c>
      <c r="AA68" s="15" t="s">
        <v>993</v>
      </c>
      <c r="AB68" s="15" t="s">
        <v>994</v>
      </c>
    </row>
    <row r="69" spans="1:28" x14ac:dyDescent="0.25">
      <c r="A69" s="15">
        <v>3</v>
      </c>
      <c r="B69" s="15" t="s">
        <v>995</v>
      </c>
      <c r="C69" s="15" t="s">
        <v>996</v>
      </c>
      <c r="D69" s="15" t="s">
        <v>951</v>
      </c>
      <c r="E69" s="15" t="s">
        <v>997</v>
      </c>
      <c r="F69" s="15" t="s">
        <v>998</v>
      </c>
      <c r="G69" s="15" t="s">
        <v>999</v>
      </c>
      <c r="H69" s="15" t="s">
        <v>358</v>
      </c>
      <c r="I69" s="21" t="s">
        <v>685</v>
      </c>
      <c r="J69" s="15" t="s">
        <v>947</v>
      </c>
      <c r="K69" s="15" t="s">
        <v>1000</v>
      </c>
      <c r="L69" s="15" t="s">
        <v>362</v>
      </c>
      <c r="M69" s="20" t="s">
        <v>160</v>
      </c>
      <c r="N69" s="15" t="s">
        <v>794</v>
      </c>
      <c r="O69" s="15" t="s">
        <v>757</v>
      </c>
      <c r="P69" s="15" t="s">
        <v>358</v>
      </c>
      <c r="Q69" s="21" t="s">
        <v>685</v>
      </c>
      <c r="R69" s="15" t="s">
        <v>950</v>
      </c>
      <c r="S69" s="15" t="s">
        <v>728</v>
      </c>
      <c r="T69" s="15" t="s">
        <v>358</v>
      </c>
      <c r="U69" s="21" t="s">
        <v>164</v>
      </c>
      <c r="V69" s="15" t="s">
        <v>643</v>
      </c>
      <c r="W69" s="15" t="s">
        <v>636</v>
      </c>
      <c r="X69" s="20" t="s">
        <v>713</v>
      </c>
      <c r="Y69" s="15" t="s">
        <v>1001</v>
      </c>
      <c r="Z69" s="15" t="s">
        <v>933</v>
      </c>
      <c r="AA69" s="15" t="s">
        <v>1002</v>
      </c>
      <c r="AB69" s="15" t="s">
        <v>1003</v>
      </c>
    </row>
    <row r="70" spans="1:28" x14ac:dyDescent="0.25">
      <c r="A70" s="15">
        <v>4</v>
      </c>
      <c r="B70" s="15" t="s">
        <v>292</v>
      </c>
      <c r="C70" s="15" t="s">
        <v>1004</v>
      </c>
      <c r="D70" s="15" t="s">
        <v>1005</v>
      </c>
      <c r="E70" s="15" t="s">
        <v>1006</v>
      </c>
      <c r="F70" s="15" t="s">
        <v>1007</v>
      </c>
      <c r="G70" s="15" t="s">
        <v>1008</v>
      </c>
      <c r="H70" s="15" t="s">
        <v>358</v>
      </c>
      <c r="I70" s="21" t="s">
        <v>164</v>
      </c>
      <c r="J70" s="15" t="s">
        <v>1009</v>
      </c>
      <c r="K70" s="15" t="s">
        <v>696</v>
      </c>
      <c r="L70" s="15" t="s">
        <v>358</v>
      </c>
      <c r="M70" s="21" t="s">
        <v>164</v>
      </c>
      <c r="N70" s="15" t="s">
        <v>760</v>
      </c>
      <c r="O70" s="15" t="s">
        <v>987</v>
      </c>
      <c r="P70" s="15" t="s">
        <v>358</v>
      </c>
      <c r="Q70" s="21" t="s">
        <v>164</v>
      </c>
      <c r="R70" s="15" t="s">
        <v>647</v>
      </c>
      <c r="S70" s="15" t="s">
        <v>1010</v>
      </c>
      <c r="T70" s="15" t="s">
        <v>358</v>
      </c>
      <c r="U70" s="21" t="s">
        <v>164</v>
      </c>
      <c r="V70" s="15" t="s">
        <v>636</v>
      </c>
      <c r="W70" s="15" t="s">
        <v>636</v>
      </c>
      <c r="X70" s="20" t="s">
        <v>637</v>
      </c>
      <c r="Y70" s="15" t="s">
        <v>1011</v>
      </c>
      <c r="Z70" s="15" t="s">
        <v>697</v>
      </c>
      <c r="AA70" s="15" t="s">
        <v>1012</v>
      </c>
      <c r="AB70" s="15" t="s">
        <v>1013</v>
      </c>
    </row>
    <row r="71" spans="1:28" x14ac:dyDescent="0.25">
      <c r="A71" s="15">
        <v>4</v>
      </c>
      <c r="B71" s="15" t="s">
        <v>1014</v>
      </c>
      <c r="C71" s="15" t="s">
        <v>1015</v>
      </c>
      <c r="D71" s="15" t="s">
        <v>1016</v>
      </c>
      <c r="E71" s="15" t="s">
        <v>1017</v>
      </c>
      <c r="F71" s="15" t="s">
        <v>756</v>
      </c>
      <c r="G71" s="15" t="s">
        <v>721</v>
      </c>
      <c r="H71" s="15" t="s">
        <v>358</v>
      </c>
      <c r="I71" s="20" t="s">
        <v>160</v>
      </c>
      <c r="J71" s="15" t="s">
        <v>1018</v>
      </c>
      <c r="K71" s="15" t="s">
        <v>769</v>
      </c>
      <c r="L71" s="15" t="s">
        <v>362</v>
      </c>
      <c r="M71" s="21" t="s">
        <v>164</v>
      </c>
      <c r="N71" s="15" t="s">
        <v>792</v>
      </c>
      <c r="O71" s="15" t="s">
        <v>1019</v>
      </c>
      <c r="P71" s="15" t="s">
        <v>358</v>
      </c>
      <c r="Q71" s="20" t="s">
        <v>699</v>
      </c>
      <c r="R71" s="15" t="s">
        <v>1020</v>
      </c>
      <c r="S71" s="15" t="s">
        <v>1021</v>
      </c>
      <c r="T71" s="15" t="s">
        <v>358</v>
      </c>
      <c r="U71" s="20" t="s">
        <v>160</v>
      </c>
      <c r="V71" s="15" t="s">
        <v>643</v>
      </c>
      <c r="W71" s="15" t="s">
        <v>636</v>
      </c>
      <c r="X71" s="20" t="s">
        <v>713</v>
      </c>
      <c r="Y71" s="15" t="s">
        <v>1022</v>
      </c>
      <c r="Z71" s="15" t="s">
        <v>944</v>
      </c>
      <c r="AA71" s="15" t="s">
        <v>1023</v>
      </c>
      <c r="AB71" s="15" t="s">
        <v>1024</v>
      </c>
    </row>
    <row r="72" spans="1:28" x14ac:dyDescent="0.25">
      <c r="A72" s="15">
        <v>4</v>
      </c>
      <c r="B72" s="15" t="s">
        <v>1025</v>
      </c>
      <c r="C72" s="15" t="s">
        <v>1026</v>
      </c>
      <c r="D72" s="15" t="s">
        <v>1027</v>
      </c>
      <c r="E72" s="15" t="s">
        <v>746</v>
      </c>
      <c r="F72" s="15" t="s">
        <v>745</v>
      </c>
      <c r="G72" s="15" t="s">
        <v>925</v>
      </c>
      <c r="H72" s="15" t="s">
        <v>358</v>
      </c>
      <c r="I72" s="20" t="s">
        <v>699</v>
      </c>
      <c r="J72" s="15" t="s">
        <v>1019</v>
      </c>
      <c r="K72" s="15" t="s">
        <v>1028</v>
      </c>
      <c r="L72" s="15" t="s">
        <v>358</v>
      </c>
      <c r="M72" s="20" t="s">
        <v>160</v>
      </c>
      <c r="N72" s="15" t="s">
        <v>1029</v>
      </c>
      <c r="O72" s="15" t="s">
        <v>831</v>
      </c>
      <c r="P72" s="15" t="s">
        <v>358</v>
      </c>
      <c r="Q72" s="20" t="s">
        <v>699</v>
      </c>
      <c r="R72" s="15" t="s">
        <v>832</v>
      </c>
      <c r="S72" s="15" t="s">
        <v>1030</v>
      </c>
      <c r="T72" s="15" t="s">
        <v>358</v>
      </c>
      <c r="U72" s="20" t="s">
        <v>160</v>
      </c>
      <c r="V72" s="15" t="s">
        <v>636</v>
      </c>
      <c r="W72" s="15" t="s">
        <v>636</v>
      </c>
      <c r="X72" s="20" t="s">
        <v>713</v>
      </c>
      <c r="Y72" s="15" t="s">
        <v>988</v>
      </c>
      <c r="Z72" s="15" t="s">
        <v>969</v>
      </c>
      <c r="AA72" s="15" t="s">
        <v>1031</v>
      </c>
      <c r="AB72" s="15" t="s">
        <v>1032</v>
      </c>
    </row>
    <row r="73" spans="1:28" x14ac:dyDescent="0.25">
      <c r="A73" s="15">
        <v>4</v>
      </c>
      <c r="B73" s="15" t="s">
        <v>293</v>
      </c>
      <c r="C73" s="15" t="s">
        <v>1033</v>
      </c>
      <c r="D73" s="15" t="s">
        <v>1034</v>
      </c>
      <c r="E73" s="15" t="s">
        <v>924</v>
      </c>
      <c r="F73" s="15" t="s">
        <v>1035</v>
      </c>
      <c r="G73" s="15" t="s">
        <v>1028</v>
      </c>
      <c r="H73" s="15" t="s">
        <v>358</v>
      </c>
      <c r="I73" s="21" t="s">
        <v>164</v>
      </c>
      <c r="J73" s="15" t="s">
        <v>1036</v>
      </c>
      <c r="K73" s="15" t="s">
        <v>767</v>
      </c>
      <c r="L73" s="15" t="s">
        <v>362</v>
      </c>
      <c r="M73" s="20" t="s">
        <v>699</v>
      </c>
      <c r="N73" s="15" t="s">
        <v>860</v>
      </c>
      <c r="O73" s="15" t="s">
        <v>879</v>
      </c>
      <c r="P73" s="15" t="s">
        <v>362</v>
      </c>
      <c r="Q73" s="20" t="s">
        <v>160</v>
      </c>
      <c r="R73" s="15" t="s">
        <v>1037</v>
      </c>
      <c r="S73" s="15" t="s">
        <v>1038</v>
      </c>
      <c r="T73" s="15" t="s">
        <v>362</v>
      </c>
      <c r="U73" s="20" t="s">
        <v>699</v>
      </c>
      <c r="V73" s="15" t="s">
        <v>643</v>
      </c>
      <c r="W73" s="15" t="s">
        <v>643</v>
      </c>
      <c r="X73" s="20" t="s">
        <v>637</v>
      </c>
      <c r="Y73" s="15" t="s">
        <v>1039</v>
      </c>
      <c r="Z73" s="15" t="s">
        <v>1040</v>
      </c>
      <c r="AA73" s="15" t="s">
        <v>1041</v>
      </c>
      <c r="AB73" s="15" t="s">
        <v>1042</v>
      </c>
    </row>
    <row r="74" spans="1:28" x14ac:dyDescent="0.25">
      <c r="A74" s="15">
        <v>4</v>
      </c>
      <c r="B74" s="15" t="s">
        <v>1043</v>
      </c>
      <c r="C74" s="15" t="s">
        <v>1044</v>
      </c>
      <c r="D74" s="15" t="s">
        <v>1034</v>
      </c>
      <c r="E74" s="15" t="s">
        <v>1045</v>
      </c>
      <c r="F74" s="15" t="s">
        <v>877</v>
      </c>
      <c r="G74" s="15" t="s">
        <v>1046</v>
      </c>
      <c r="H74" s="15" t="s">
        <v>358</v>
      </c>
      <c r="I74" s="21" t="s">
        <v>164</v>
      </c>
      <c r="J74" s="15" t="s">
        <v>1047</v>
      </c>
      <c r="K74" s="15" t="s">
        <v>901</v>
      </c>
      <c r="L74" s="15" t="s">
        <v>358</v>
      </c>
      <c r="M74" s="21" t="s">
        <v>164</v>
      </c>
      <c r="N74" s="15" t="s">
        <v>990</v>
      </c>
      <c r="O74" s="15" t="s">
        <v>1048</v>
      </c>
      <c r="P74" s="15" t="s">
        <v>362</v>
      </c>
      <c r="Q74" s="20" t="s">
        <v>699</v>
      </c>
      <c r="R74" s="15" t="s">
        <v>846</v>
      </c>
      <c r="S74" s="15" t="s">
        <v>759</v>
      </c>
      <c r="T74" s="15" t="s">
        <v>358</v>
      </c>
      <c r="U74" s="21" t="s">
        <v>164</v>
      </c>
      <c r="V74" s="15" t="s">
        <v>636</v>
      </c>
      <c r="W74" s="15" t="s">
        <v>643</v>
      </c>
      <c r="X74" s="20" t="s">
        <v>713</v>
      </c>
      <c r="Y74" s="15" t="s">
        <v>1049</v>
      </c>
      <c r="Z74" s="15" t="s">
        <v>724</v>
      </c>
      <c r="AA74" s="15" t="s">
        <v>1050</v>
      </c>
      <c r="AB74" s="15" t="s">
        <v>1051</v>
      </c>
    </row>
    <row r="75" spans="1:28" x14ac:dyDescent="0.25">
      <c r="A75" s="15">
        <v>4</v>
      </c>
      <c r="B75" s="15" t="s">
        <v>1052</v>
      </c>
      <c r="C75" s="15" t="s">
        <v>1053</v>
      </c>
      <c r="D75" s="15" t="s">
        <v>1054</v>
      </c>
      <c r="E75" s="15" t="s">
        <v>771</v>
      </c>
      <c r="F75" s="15" t="s">
        <v>898</v>
      </c>
      <c r="G75" s="15" t="s">
        <v>1055</v>
      </c>
      <c r="H75" s="15" t="s">
        <v>362</v>
      </c>
      <c r="I75" s="21" t="s">
        <v>164</v>
      </c>
      <c r="J75" s="15" t="s">
        <v>1056</v>
      </c>
      <c r="K75" s="15" t="s">
        <v>967</v>
      </c>
      <c r="L75" s="15" t="s">
        <v>358</v>
      </c>
      <c r="M75" s="20" t="s">
        <v>699</v>
      </c>
      <c r="N75" s="15" t="s">
        <v>963</v>
      </c>
      <c r="O75" s="15" t="s">
        <v>684</v>
      </c>
      <c r="P75" s="15" t="s">
        <v>362</v>
      </c>
      <c r="Q75" s="21" t="s">
        <v>685</v>
      </c>
      <c r="R75" s="15" t="s">
        <v>769</v>
      </c>
      <c r="S75" s="15" t="s">
        <v>780</v>
      </c>
      <c r="T75" s="15" t="s">
        <v>358</v>
      </c>
      <c r="U75" s="20" t="s">
        <v>160</v>
      </c>
      <c r="V75" s="15" t="s">
        <v>643</v>
      </c>
      <c r="W75" s="15" t="s">
        <v>636</v>
      </c>
      <c r="X75" s="20" t="s">
        <v>637</v>
      </c>
      <c r="Y75" s="15" t="s">
        <v>1057</v>
      </c>
      <c r="Z75" s="15" t="s">
        <v>1058</v>
      </c>
      <c r="AA75" s="15" t="s">
        <v>1059</v>
      </c>
      <c r="AB75" s="15" t="s">
        <v>1060</v>
      </c>
    </row>
    <row r="76" spans="1:28" x14ac:dyDescent="0.25">
      <c r="A76" s="15">
        <v>5</v>
      </c>
      <c r="B76" s="15" t="s">
        <v>301</v>
      </c>
      <c r="C76" s="15" t="s">
        <v>1061</v>
      </c>
      <c r="D76" s="15" t="s">
        <v>638</v>
      </c>
      <c r="E76" s="15" t="s">
        <v>854</v>
      </c>
      <c r="F76" s="15" t="s">
        <v>1062</v>
      </c>
      <c r="G76" s="15" t="s">
        <v>957</v>
      </c>
      <c r="H76" s="15" t="s">
        <v>358</v>
      </c>
      <c r="I76" s="20" t="s">
        <v>160</v>
      </c>
      <c r="J76" s="15" t="s">
        <v>723</v>
      </c>
      <c r="K76" s="15" t="s">
        <v>1048</v>
      </c>
      <c r="L76" s="15" t="s">
        <v>362</v>
      </c>
      <c r="M76" s="21" t="s">
        <v>685</v>
      </c>
      <c r="N76" s="15" t="s">
        <v>854</v>
      </c>
      <c r="O76" s="15" t="s">
        <v>695</v>
      </c>
      <c r="P76" s="15" t="s">
        <v>362</v>
      </c>
      <c r="Q76" s="21" t="s">
        <v>164</v>
      </c>
      <c r="R76" s="15" t="s">
        <v>1063</v>
      </c>
      <c r="S76" s="15" t="s">
        <v>854</v>
      </c>
      <c r="T76" s="15" t="s">
        <v>358</v>
      </c>
      <c r="U76" s="20" t="s">
        <v>160</v>
      </c>
      <c r="V76" s="15" t="s">
        <v>643</v>
      </c>
      <c r="W76" s="15" t="s">
        <v>643</v>
      </c>
      <c r="X76" s="20" t="s">
        <v>637</v>
      </c>
      <c r="Y76" s="15" t="s">
        <v>1064</v>
      </c>
      <c r="Z76" s="15" t="s">
        <v>1065</v>
      </c>
      <c r="AA76" s="15" t="s">
        <v>1066</v>
      </c>
      <c r="AB76" s="15" t="s">
        <v>1067</v>
      </c>
    </row>
    <row r="77" spans="1:28" x14ac:dyDescent="0.25">
      <c r="A77" s="15">
        <v>5</v>
      </c>
      <c r="B77" s="15" t="s">
        <v>303</v>
      </c>
      <c r="C77" s="15" t="s">
        <v>1068</v>
      </c>
      <c r="D77" s="15" t="s">
        <v>649</v>
      </c>
      <c r="E77" s="15" t="s">
        <v>1069</v>
      </c>
      <c r="F77" s="15" t="s">
        <v>1070</v>
      </c>
      <c r="G77" s="15" t="s">
        <v>1071</v>
      </c>
      <c r="H77" s="15" t="s">
        <v>362</v>
      </c>
      <c r="I77" s="21" t="s">
        <v>685</v>
      </c>
      <c r="J77" s="15" t="s">
        <v>1072</v>
      </c>
      <c r="K77" s="15" t="s">
        <v>748</v>
      </c>
      <c r="L77" s="15" t="s">
        <v>362</v>
      </c>
      <c r="M77" s="21" t="s">
        <v>164</v>
      </c>
      <c r="N77" s="15" t="s">
        <v>1073</v>
      </c>
      <c r="O77" s="15" t="s">
        <v>1074</v>
      </c>
      <c r="P77" s="15" t="s">
        <v>358</v>
      </c>
      <c r="Q77" s="20" t="s">
        <v>160</v>
      </c>
      <c r="R77" s="15" t="s">
        <v>1075</v>
      </c>
      <c r="S77" s="15" t="s">
        <v>724</v>
      </c>
      <c r="T77" s="15" t="s">
        <v>358</v>
      </c>
      <c r="U77" s="20" t="s">
        <v>160</v>
      </c>
      <c r="V77" s="15" t="s">
        <v>636</v>
      </c>
      <c r="W77" s="15" t="s">
        <v>643</v>
      </c>
      <c r="X77" s="20" t="s">
        <v>727</v>
      </c>
      <c r="Y77" s="15" t="s">
        <v>1076</v>
      </c>
      <c r="Z77" s="15" t="s">
        <v>721</v>
      </c>
      <c r="AA77" s="15" t="s">
        <v>1077</v>
      </c>
      <c r="AB77" s="15" t="s">
        <v>1078</v>
      </c>
    </row>
    <row r="78" spans="1:28" x14ac:dyDescent="0.25">
      <c r="A78" s="15">
        <v>5</v>
      </c>
      <c r="B78" s="15" t="s">
        <v>302</v>
      </c>
      <c r="C78" s="15" t="s">
        <v>1079</v>
      </c>
      <c r="D78" s="15" t="s">
        <v>631</v>
      </c>
      <c r="E78" s="15" t="s">
        <v>1080</v>
      </c>
      <c r="F78" s="15" t="s">
        <v>1081</v>
      </c>
      <c r="G78" s="15" t="s">
        <v>773</v>
      </c>
      <c r="H78" s="15" t="s">
        <v>358</v>
      </c>
      <c r="I78" s="20" t="s">
        <v>160</v>
      </c>
      <c r="J78" s="15" t="s">
        <v>1082</v>
      </c>
      <c r="K78" s="15" t="s">
        <v>1083</v>
      </c>
      <c r="L78" s="15" t="s">
        <v>358</v>
      </c>
      <c r="M78" s="20" t="s">
        <v>160</v>
      </c>
      <c r="N78" s="15" t="s">
        <v>821</v>
      </c>
      <c r="O78" s="15" t="s">
        <v>1084</v>
      </c>
      <c r="P78" s="15" t="s">
        <v>358</v>
      </c>
      <c r="Q78" s="20" t="s">
        <v>160</v>
      </c>
      <c r="R78" s="15" t="s">
        <v>1085</v>
      </c>
      <c r="S78" s="15" t="s">
        <v>794</v>
      </c>
      <c r="T78" s="15" t="s">
        <v>358</v>
      </c>
      <c r="U78" s="20" t="s">
        <v>160</v>
      </c>
      <c r="V78" s="15" t="s">
        <v>636</v>
      </c>
      <c r="W78" s="15" t="s">
        <v>636</v>
      </c>
      <c r="X78" s="20" t="s">
        <v>833</v>
      </c>
      <c r="Y78" s="15" t="s">
        <v>1086</v>
      </c>
      <c r="Z78" s="15" t="s">
        <v>747</v>
      </c>
      <c r="AA78" s="15" t="s">
        <v>1087</v>
      </c>
      <c r="AB78" s="15" t="s">
        <v>1088</v>
      </c>
    </row>
    <row r="79" spans="1:28" x14ac:dyDescent="0.25">
      <c r="A79" s="15">
        <v>5</v>
      </c>
      <c r="B79" s="15" t="s">
        <v>644</v>
      </c>
      <c r="C79" s="15" t="s">
        <v>1089</v>
      </c>
      <c r="D79" s="15" t="s">
        <v>645</v>
      </c>
      <c r="E79" s="15" t="s">
        <v>715</v>
      </c>
      <c r="F79" s="15" t="s">
        <v>1090</v>
      </c>
      <c r="G79" s="15" t="s">
        <v>1091</v>
      </c>
      <c r="H79" s="15" t="s">
        <v>358</v>
      </c>
      <c r="I79" s="20" t="s">
        <v>160</v>
      </c>
      <c r="J79" s="15" t="s">
        <v>654</v>
      </c>
      <c r="K79" s="15" t="s">
        <v>854</v>
      </c>
      <c r="L79" s="15" t="s">
        <v>358</v>
      </c>
      <c r="M79" s="20" t="s">
        <v>160</v>
      </c>
      <c r="N79" s="15" t="s">
        <v>790</v>
      </c>
      <c r="O79" s="15" t="s">
        <v>1092</v>
      </c>
      <c r="P79" s="15" t="s">
        <v>358</v>
      </c>
      <c r="Q79" s="20" t="s">
        <v>160</v>
      </c>
      <c r="R79" s="15" t="s">
        <v>697</v>
      </c>
      <c r="S79" s="15" t="s">
        <v>1093</v>
      </c>
      <c r="T79" s="15" t="s">
        <v>358</v>
      </c>
      <c r="U79" s="20" t="s">
        <v>699</v>
      </c>
      <c r="V79" s="15" t="s">
        <v>636</v>
      </c>
      <c r="W79" s="15" t="s">
        <v>636</v>
      </c>
      <c r="X79" s="20" t="s">
        <v>833</v>
      </c>
      <c r="Y79" s="15" t="s">
        <v>599</v>
      </c>
      <c r="Z79" s="15" t="s">
        <v>609</v>
      </c>
      <c r="AA79" s="15" t="s">
        <v>555</v>
      </c>
      <c r="AB79" s="15" t="s">
        <v>619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Read Me</vt:lpstr>
      <vt:lpstr>Settings</vt:lpstr>
      <vt:lpstr>Weekly Slate</vt:lpstr>
      <vt:lpstr>Bet Log</vt:lpstr>
      <vt:lpstr>Team Profiles</vt:lpstr>
      <vt:lpstr>Power Ratings</vt:lpstr>
      <vt:lpstr>MW Team ATS</vt:lpstr>
      <vt:lpstr>Strength of Record</vt:lpstr>
      <vt:lpstr>National Slate</vt:lpstr>
      <vt:lpstr>ACC Slate</vt:lpstr>
      <vt:lpstr>American Athletic Slate</vt:lpstr>
      <vt:lpstr>Big 12 Slate</vt:lpstr>
      <vt:lpstr>Big Ten Slate</vt:lpstr>
      <vt:lpstr>Conference USA Slate</vt:lpstr>
      <vt:lpstr>FBS Independents Slate</vt:lpstr>
      <vt:lpstr>Mid-American Slate</vt:lpstr>
      <vt:lpstr>Mountain West Slate</vt:lpstr>
      <vt:lpstr>Pac-12 Slate</vt:lpstr>
      <vt:lpstr>SEC Slate</vt:lpstr>
      <vt:lpstr>Sun Belt Slate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2026-10-08T17:53:47Z</dcterms:modified>
  <dc:language>en-US</dc:language>
</cp:coreProperties>
</file>