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A99F2D07-7A6B-4168-A08C-B8B439C68A25}" xr6:coauthVersionLast="47" xr6:coauthVersionMax="47" xr10:uidLastSave="{00000000-0000-0000-0000-000000000000}"/>
  <bookViews>
    <workbookView xWindow="-110" yWindow="-110" windowWidth="19420" windowHeight="10300" tabRatio="500" firstSheet="2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4" l="1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J62" i="4"/>
  <c r="L61" i="4"/>
  <c r="J61" i="4"/>
  <c r="L60" i="4"/>
  <c r="J60" i="4"/>
  <c r="L59" i="4"/>
  <c r="J59" i="4"/>
  <c r="L58" i="4"/>
  <c r="J58" i="4"/>
  <c r="L57" i="4"/>
  <c r="J57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M16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J2" i="4"/>
  <c r="K14" i="3"/>
  <c r="H14" i="3"/>
  <c r="G14" i="3"/>
  <c r="M14" i="3" s="1"/>
  <c r="N13" i="3"/>
  <c r="K13" i="3"/>
  <c r="L13" i="3" s="1"/>
  <c r="G13" i="3"/>
  <c r="N12" i="3"/>
  <c r="M12" i="3"/>
  <c r="L12" i="3"/>
  <c r="K12" i="3"/>
  <c r="G12" i="3"/>
  <c r="H12" i="3" s="1"/>
  <c r="M11" i="3"/>
  <c r="L11" i="3"/>
  <c r="K11" i="3"/>
  <c r="N11" i="3" s="1"/>
  <c r="H11" i="3"/>
  <c r="G11" i="3"/>
  <c r="K10" i="3"/>
  <c r="H10" i="3"/>
  <c r="G10" i="3"/>
  <c r="M10" i="3" s="1"/>
  <c r="N9" i="3"/>
  <c r="K9" i="3"/>
  <c r="L9" i="3" s="1"/>
  <c r="G9" i="3"/>
  <c r="N8" i="3"/>
  <c r="M8" i="3"/>
  <c r="L8" i="3"/>
  <c r="K8" i="3"/>
  <c r="G8" i="3"/>
  <c r="H8" i="3" s="1"/>
  <c r="M7" i="3"/>
  <c r="L7" i="3"/>
  <c r="K7" i="3"/>
  <c r="H7" i="3"/>
  <c r="G7" i="3"/>
  <c r="K6" i="3"/>
  <c r="H6" i="3"/>
  <c r="G6" i="3"/>
  <c r="M6" i="3" s="1"/>
  <c r="K5" i="3"/>
  <c r="L5" i="3" s="1"/>
  <c r="N5" i="3" s="1"/>
  <c r="G5" i="3"/>
  <c r="N4" i="3"/>
  <c r="M4" i="3"/>
  <c r="L4" i="3"/>
  <c r="K4" i="3"/>
  <c r="G4" i="3"/>
  <c r="H4" i="3" s="1"/>
  <c r="M3" i="3"/>
  <c r="L3" i="3"/>
  <c r="K3" i="3"/>
  <c r="N3" i="3" s="1"/>
  <c r="H3" i="3"/>
  <c r="G3" i="3"/>
  <c r="K2" i="3"/>
  <c r="H2" i="3"/>
  <c r="G2" i="3"/>
  <c r="M2" i="3" s="1"/>
  <c r="M500" i="4" l="1"/>
  <c r="M461" i="4"/>
  <c r="M240" i="4"/>
  <c r="M176" i="4"/>
  <c r="M208" i="4"/>
  <c r="M357" i="4"/>
  <c r="M421" i="4"/>
  <c r="M485" i="4"/>
  <c r="N7" i="3"/>
  <c r="M9" i="3"/>
  <c r="H9" i="3"/>
  <c r="M13" i="3"/>
  <c r="H13" i="3"/>
  <c r="M13" i="4"/>
  <c r="M45" i="4"/>
  <c r="M77" i="4"/>
  <c r="M109" i="4"/>
  <c r="M141" i="4"/>
  <c r="M173" i="4"/>
  <c r="M205" i="4"/>
  <c r="M237" i="4"/>
  <c r="M269" i="4"/>
  <c r="M301" i="4"/>
  <c r="M365" i="4"/>
  <c r="M429" i="4"/>
  <c r="M493" i="4"/>
  <c r="M112" i="4"/>
  <c r="M120" i="4"/>
  <c r="M152" i="4"/>
  <c r="M216" i="4"/>
  <c r="M437" i="4"/>
  <c r="M21" i="4"/>
  <c r="M53" i="4"/>
  <c r="M85" i="4"/>
  <c r="M117" i="4"/>
  <c r="M149" i="4"/>
  <c r="M181" i="4"/>
  <c r="M213" i="4"/>
  <c r="M245" i="4"/>
  <c r="M277" i="4"/>
  <c r="M317" i="4"/>
  <c r="M381" i="4"/>
  <c r="M445" i="4"/>
  <c r="M48" i="4"/>
  <c r="M88" i="4"/>
  <c r="M184" i="4"/>
  <c r="M248" i="4"/>
  <c r="M309" i="4"/>
  <c r="M373" i="4"/>
  <c r="M32" i="4"/>
  <c r="M64" i="4"/>
  <c r="M96" i="4"/>
  <c r="M128" i="4"/>
  <c r="M160" i="4"/>
  <c r="M192" i="4"/>
  <c r="M224" i="4"/>
  <c r="M256" i="4"/>
  <c r="M288" i="4"/>
  <c r="M325" i="4"/>
  <c r="M389" i="4"/>
  <c r="M453" i="4"/>
  <c r="M272" i="4"/>
  <c r="H5" i="3"/>
  <c r="M5" i="3" s="1"/>
  <c r="M280" i="4"/>
  <c r="M29" i="4"/>
  <c r="M61" i="4"/>
  <c r="M93" i="4"/>
  <c r="M125" i="4"/>
  <c r="M157" i="4"/>
  <c r="M189" i="4"/>
  <c r="M221" i="4"/>
  <c r="M253" i="4"/>
  <c r="M285" i="4"/>
  <c r="M333" i="4"/>
  <c r="M397" i="4"/>
  <c r="M80" i="4"/>
  <c r="M144" i="4"/>
  <c r="M432" i="4"/>
  <c r="M376" i="4"/>
  <c r="M368" i="4"/>
  <c r="M360" i="4"/>
  <c r="M400" i="4"/>
  <c r="M392" i="4"/>
  <c r="M312" i="4"/>
  <c r="M424" i="4"/>
  <c r="M416" i="4"/>
  <c r="M408" i="4"/>
  <c r="M384" i="4"/>
  <c r="M352" i="4"/>
  <c r="M344" i="4"/>
  <c r="M336" i="4"/>
  <c r="M328" i="4"/>
  <c r="M320" i="4"/>
  <c r="M304" i="4"/>
  <c r="M56" i="4"/>
  <c r="L6" i="3"/>
  <c r="N6" i="3" s="1"/>
  <c r="N10" i="3"/>
  <c r="L10" i="3"/>
  <c r="N14" i="3"/>
  <c r="L14" i="3"/>
  <c r="M8" i="4"/>
  <c r="M40" i="4"/>
  <c r="M72" i="4"/>
  <c r="M104" i="4"/>
  <c r="M136" i="4"/>
  <c r="M168" i="4"/>
  <c r="M200" i="4"/>
  <c r="M232" i="4"/>
  <c r="M264" i="4"/>
  <c r="M296" i="4"/>
  <c r="M341" i="4"/>
  <c r="M405" i="4"/>
  <c r="M469" i="4"/>
  <c r="M24" i="4"/>
  <c r="L2" i="3"/>
  <c r="N2" i="3" s="1"/>
  <c r="M5" i="4"/>
  <c r="M37" i="4"/>
  <c r="M69" i="4"/>
  <c r="M101" i="4"/>
  <c r="M133" i="4"/>
  <c r="M165" i="4"/>
  <c r="M197" i="4"/>
  <c r="M229" i="4"/>
  <c r="M261" i="4"/>
  <c r="M293" i="4"/>
  <c r="M349" i="4"/>
  <c r="M413" i="4"/>
  <c r="M477" i="4"/>
  <c r="M7" i="4"/>
  <c r="M15" i="4"/>
  <c r="M23" i="4"/>
  <c r="M31" i="4"/>
  <c r="M39" i="4"/>
  <c r="M47" i="4"/>
  <c r="M55" i="4"/>
  <c r="M63" i="4"/>
  <c r="M71" i="4"/>
  <c r="M79" i="4"/>
  <c r="M87" i="4"/>
  <c r="M95" i="4"/>
  <c r="M103" i="4"/>
  <c r="M111" i="4"/>
  <c r="M119" i="4"/>
  <c r="M127" i="4"/>
  <c r="M135" i="4"/>
  <c r="M143" i="4"/>
  <c r="M151" i="4"/>
  <c r="M159" i="4"/>
  <c r="M167" i="4"/>
  <c r="M175" i="4"/>
  <c r="M183" i="4"/>
  <c r="M191" i="4"/>
  <c r="M199" i="4"/>
  <c r="M207" i="4"/>
  <c r="M215" i="4"/>
  <c r="M223" i="4"/>
  <c r="M231" i="4"/>
  <c r="M239" i="4"/>
  <c r="M247" i="4"/>
  <c r="M255" i="4"/>
  <c r="M263" i="4"/>
  <c r="M271" i="4"/>
  <c r="M279" i="4"/>
  <c r="M287" i="4"/>
  <c r="M295" i="4"/>
  <c r="M303" i="4"/>
  <c r="M311" i="4"/>
  <c r="M319" i="4"/>
  <c r="M327" i="4"/>
  <c r="M335" i="4"/>
  <c r="M343" i="4"/>
  <c r="M351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2" i="4"/>
  <c r="M10" i="4"/>
  <c r="M18" i="4"/>
  <c r="M26" i="4"/>
  <c r="M34" i="4"/>
  <c r="M42" i="4"/>
  <c r="M50" i="4"/>
  <c r="M58" i="4"/>
  <c r="M66" i="4"/>
  <c r="M74" i="4"/>
  <c r="M82" i="4"/>
  <c r="M90" i="4"/>
  <c r="M98" i="4"/>
  <c r="M106" i="4"/>
  <c r="M114" i="4"/>
  <c r="M122" i="4"/>
  <c r="M130" i="4"/>
  <c r="M138" i="4"/>
  <c r="M146" i="4"/>
  <c r="M154" i="4"/>
  <c r="M162" i="4"/>
  <c r="M170" i="4"/>
  <c r="M178" i="4"/>
  <c r="M186" i="4"/>
  <c r="M194" i="4"/>
  <c r="M202" i="4"/>
  <c r="M210" i="4"/>
  <c r="M218" i="4"/>
  <c r="M226" i="4"/>
  <c r="M234" i="4"/>
  <c r="M242" i="4"/>
  <c r="M250" i="4"/>
  <c r="M258" i="4"/>
  <c r="M266" i="4"/>
  <c r="M274" i="4"/>
  <c r="M282" i="4"/>
  <c r="M290" i="4"/>
  <c r="M298" i="4"/>
  <c r="M306" i="4"/>
  <c r="M314" i="4"/>
  <c r="M322" i="4"/>
  <c r="M330" i="4"/>
  <c r="M338" i="4"/>
  <c r="M346" i="4"/>
  <c r="M354" i="4"/>
  <c r="M362" i="4"/>
  <c r="M370" i="4"/>
  <c r="M378" i="4"/>
  <c r="M386" i="4"/>
  <c r="M394" i="4"/>
  <c r="M402" i="4"/>
  <c r="M410" i="4"/>
  <c r="M418" i="4"/>
  <c r="M426" i="4"/>
  <c r="M434" i="4"/>
  <c r="M442" i="4"/>
  <c r="M450" i="4"/>
  <c r="M458" i="4"/>
  <c r="M466" i="4"/>
  <c r="M474" i="4"/>
  <c r="M482" i="4"/>
  <c r="M490" i="4"/>
  <c r="M498" i="4"/>
  <c r="M464" i="4"/>
  <c r="M496" i="4"/>
  <c r="M3" i="4"/>
  <c r="M11" i="4"/>
  <c r="M19" i="4"/>
  <c r="M27" i="4"/>
  <c r="M35" i="4"/>
  <c r="M43" i="4"/>
  <c r="M51" i="4"/>
  <c r="M59" i="4"/>
  <c r="M67" i="4"/>
  <c r="M75" i="4"/>
  <c r="M83" i="4"/>
  <c r="M91" i="4"/>
  <c r="M99" i="4"/>
  <c r="M107" i="4"/>
  <c r="M115" i="4"/>
  <c r="M123" i="4"/>
  <c r="M131" i="4"/>
  <c r="M139" i="4"/>
  <c r="M147" i="4"/>
  <c r="M155" i="4"/>
  <c r="M163" i="4"/>
  <c r="M171" i="4"/>
  <c r="M179" i="4"/>
  <c r="M187" i="4"/>
  <c r="M195" i="4"/>
  <c r="M203" i="4"/>
  <c r="M211" i="4"/>
  <c r="M219" i="4"/>
  <c r="M227" i="4"/>
  <c r="M235" i="4"/>
  <c r="M243" i="4"/>
  <c r="M251" i="4"/>
  <c r="M259" i="4"/>
  <c r="M267" i="4"/>
  <c r="M275" i="4"/>
  <c r="M283" i="4"/>
  <c r="M291" i="4"/>
  <c r="M299" i="4"/>
  <c r="M307" i="4"/>
  <c r="M315" i="4"/>
  <c r="M323" i="4"/>
  <c r="M331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440" i="4"/>
  <c r="M472" i="4"/>
  <c r="M480" i="4"/>
  <c r="M6" i="4"/>
  <c r="M14" i="4"/>
  <c r="M22" i="4"/>
  <c r="M30" i="4"/>
  <c r="M38" i="4"/>
  <c r="M46" i="4"/>
  <c r="M54" i="4"/>
  <c r="M62" i="4"/>
  <c r="M70" i="4"/>
  <c r="M78" i="4"/>
  <c r="M86" i="4"/>
  <c r="M94" i="4"/>
  <c r="M102" i="4"/>
  <c r="M110" i="4"/>
  <c r="M118" i="4"/>
  <c r="M126" i="4"/>
  <c r="M134" i="4"/>
  <c r="M142" i="4"/>
  <c r="M150" i="4"/>
  <c r="M158" i="4"/>
  <c r="M166" i="4"/>
  <c r="M174" i="4"/>
  <c r="M182" i="4"/>
  <c r="M190" i="4"/>
  <c r="M198" i="4"/>
  <c r="M206" i="4"/>
  <c r="M214" i="4"/>
  <c r="M222" i="4"/>
  <c r="M230" i="4"/>
  <c r="M238" i="4"/>
  <c r="M246" i="4"/>
  <c r="M254" i="4"/>
  <c r="M262" i="4"/>
  <c r="M270" i="4"/>
  <c r="M278" i="4"/>
  <c r="M286" i="4"/>
  <c r="M294" i="4"/>
  <c r="M302" i="4"/>
  <c r="M310" i="4"/>
  <c r="M318" i="4"/>
  <c r="M326" i="4"/>
  <c r="M334" i="4"/>
  <c r="M342" i="4"/>
  <c r="M350" i="4"/>
  <c r="M358" i="4"/>
  <c r="M366" i="4"/>
  <c r="M374" i="4"/>
  <c r="M382" i="4"/>
  <c r="M390" i="4"/>
  <c r="M398" i="4"/>
  <c r="M406" i="4"/>
  <c r="M414" i="4"/>
  <c r="M422" i="4"/>
  <c r="M430" i="4"/>
  <c r="M438" i="4"/>
  <c r="M446" i="4"/>
  <c r="M454" i="4"/>
  <c r="M462" i="4"/>
  <c r="M470" i="4"/>
  <c r="M478" i="4"/>
  <c r="M486" i="4"/>
  <c r="M494" i="4"/>
  <c r="M9" i="4"/>
  <c r="M17" i="4"/>
  <c r="M25" i="4"/>
  <c r="M33" i="4"/>
  <c r="M41" i="4"/>
  <c r="M49" i="4"/>
  <c r="M57" i="4"/>
  <c r="M65" i="4"/>
  <c r="M73" i="4"/>
  <c r="M81" i="4"/>
  <c r="M89" i="4"/>
  <c r="M97" i="4"/>
  <c r="M105" i="4"/>
  <c r="M113" i="4"/>
  <c r="M121" i="4"/>
  <c r="M129" i="4"/>
  <c r="M137" i="4"/>
  <c r="M145" i="4"/>
  <c r="M153" i="4"/>
  <c r="M161" i="4"/>
  <c r="M169" i="4"/>
  <c r="M177" i="4"/>
  <c r="M185" i="4"/>
  <c r="M193" i="4"/>
  <c r="M201" i="4"/>
  <c r="M209" i="4"/>
  <c r="M217" i="4"/>
  <c r="M225" i="4"/>
  <c r="M233" i="4"/>
  <c r="M241" i="4"/>
  <c r="M249" i="4"/>
  <c r="M257" i="4"/>
  <c r="M265" i="4"/>
  <c r="M273" i="4"/>
  <c r="M281" i="4"/>
  <c r="M289" i="4"/>
  <c r="M297" i="4"/>
  <c r="M305" i="4"/>
  <c r="M313" i="4"/>
  <c r="M321" i="4"/>
  <c r="M329" i="4"/>
  <c r="M337" i="4"/>
  <c r="M345" i="4"/>
  <c r="M353" i="4"/>
  <c r="M361" i="4"/>
  <c r="M369" i="4"/>
  <c r="M377" i="4"/>
  <c r="M385" i="4"/>
  <c r="M393" i="4"/>
  <c r="M401" i="4"/>
  <c r="M409" i="4"/>
  <c r="M417" i="4"/>
  <c r="M425" i="4"/>
  <c r="M433" i="4"/>
  <c r="M441" i="4"/>
  <c r="M449" i="4"/>
  <c r="M457" i="4"/>
  <c r="M465" i="4"/>
  <c r="M473" i="4"/>
  <c r="M481" i="4"/>
  <c r="M489" i="4"/>
  <c r="M497" i="4"/>
  <c r="M448" i="4"/>
  <c r="M456" i="4"/>
  <c r="M488" i="4"/>
  <c r="M4" i="4"/>
  <c r="M12" i="4"/>
  <c r="M20" i="4"/>
  <c r="M28" i="4"/>
  <c r="M36" i="4"/>
  <c r="M44" i="4"/>
  <c r="M52" i="4"/>
  <c r="M60" i="4"/>
  <c r="M68" i="4"/>
  <c r="M76" i="4"/>
  <c r="M84" i="4"/>
  <c r="M92" i="4"/>
  <c r="M100" i="4"/>
  <c r="M108" i="4"/>
  <c r="M116" i="4"/>
  <c r="M124" i="4"/>
  <c r="M132" i="4"/>
  <c r="M140" i="4"/>
  <c r="M148" i="4"/>
  <c r="M156" i="4"/>
  <c r="M164" i="4"/>
  <c r="M172" i="4"/>
  <c r="M180" i="4"/>
  <c r="M188" i="4"/>
  <c r="M196" i="4"/>
  <c r="M204" i="4"/>
  <c r="M212" i="4"/>
  <c r="M220" i="4"/>
  <c r="M228" i="4"/>
  <c r="M236" i="4"/>
  <c r="M244" i="4"/>
  <c r="M252" i="4"/>
  <c r="M260" i="4"/>
  <c r="M268" i="4"/>
  <c r="M276" i="4"/>
  <c r="M284" i="4"/>
  <c r="M292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</calcChain>
</file>

<file path=xl/sharedStrings.xml><?xml version="1.0" encoding="utf-8"?>
<sst xmlns="http://schemas.openxmlformats.org/spreadsheetml/2006/main" count="1184" uniqueCount="569">
  <si>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</si>
  <si>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</si>
  <si>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</si>
  <si>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</si>
  <si>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</si>
  <si>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</si>
  <si>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</si>
  <si>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</si>
  <si>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</si>
  <si>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</si>
  <si>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</si>
  <si>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</si>
  <si>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</si>
  <si>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</si>
  <si>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</si>
  <si>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</si>
  <si>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58.5%</t>
  </si>
  <si>
    <t>+11.6%</t>
  </si>
  <si>
    <t>57.8%</t>
  </si>
  <si>
    <t>71/185 (38%)</t>
  </si>
  <si>
    <t>+731.7</t>
  </si>
  <si>
    <t>Dub Gamma Model (live model) -- MW-involved</t>
  </si>
  <si>
    <t>72.7%</t>
  </si>
  <si>
    <t>+38.8%</t>
  </si>
  <si>
    <t>70.0%</t>
  </si>
  <si>
    <t>5/22 (23%)</t>
  </si>
  <si>
    <t>+120.7</t>
  </si>
  <si>
    <t>Ridge (candidate) -- all FBS</t>
  </si>
  <si>
    <t>50.0%</t>
  </si>
  <si>
    <t>-4.6%</t>
  </si>
  <si>
    <t>49.7%</t>
  </si>
  <si>
    <t>2633/8618 (31%)</t>
  </si>
  <si>
    <t>+5565.3</t>
  </si>
  <si>
    <t>Ridge (candidate) -- MW-involved</t>
  </si>
  <si>
    <t>50.9%</t>
  </si>
  <si>
    <t>-2.8%</t>
  </si>
  <si>
    <t>49.4%</t>
  </si>
  <si>
    <t>302/978 (31%)</t>
  </si>
  <si>
    <t>+591.7</t>
  </si>
  <si>
    <t>XGBoost (candidate) -- all FBS</t>
  </si>
  <si>
    <t>49.9%</t>
  </si>
  <si>
    <t>-4.8%</t>
  </si>
  <si>
    <t>50.5%</t>
  </si>
  <si>
    <t>3102/8618 (36%)</t>
  </si>
  <si>
    <t>+566.3</t>
  </si>
  <si>
    <t>XGBoost (candidate) -- MW-involved</t>
  </si>
  <si>
    <t>50.4%</t>
  </si>
  <si>
    <t>-3.8%</t>
  </si>
  <si>
    <t>51.3%</t>
  </si>
  <si>
    <t>342/978 (35%)</t>
  </si>
  <si>
    <t>+907.7</t>
  </si>
  <si>
    <t>Massey (candidate) -- all FBS</t>
  </si>
  <si>
    <t>50.6%</t>
  </si>
  <si>
    <t>-3.4%</t>
  </si>
  <si>
    <t>2812/7429 (38%)</t>
  </si>
  <si>
    <t>-10178.7</t>
  </si>
  <si>
    <t>Massey (candidate) -- MW-involved</t>
  </si>
  <si>
    <t>-3.7%</t>
  </si>
  <si>
    <t>50.2%</t>
  </si>
  <si>
    <t>329/835 (39%)</t>
  </si>
  <si>
    <t>-178.4</t>
  </si>
  <si>
    <t>2026 Season Only</t>
  </si>
  <si>
    <t>42.6%</t>
  </si>
  <si>
    <t>-18.6%</t>
  </si>
  <si>
    <t>41.5%</t>
  </si>
  <si>
    <t>52/185 (28%)</t>
  </si>
  <si>
    <t>-529.7</t>
  </si>
  <si>
    <t>-4.5%</t>
  </si>
  <si>
    <t>42.1%</t>
  </si>
  <si>
    <t>+2.0</t>
  </si>
  <si>
    <t>46.5%</t>
  </si>
  <si>
    <t>-11.3%</t>
  </si>
  <si>
    <t>44.1%</t>
  </si>
  <si>
    <t>54/185 (29%)</t>
  </si>
  <si>
    <t>-344.2</t>
  </si>
  <si>
    <t>36.4%</t>
  </si>
  <si>
    <t>-30.6%</t>
  </si>
  <si>
    <t>25.0%</t>
  </si>
  <si>
    <t>10/22 (45%)</t>
  </si>
  <si>
    <t>-0.6</t>
  </si>
  <si>
    <t>40.7%</t>
  </si>
  <si>
    <t>-22.3%</t>
  </si>
  <si>
    <t>8/86 (9%)</t>
  </si>
  <si>
    <t>-1344.9</t>
  </si>
  <si>
    <t>44.4%</t>
  </si>
  <si>
    <t>-15.2%</t>
  </si>
  <si>
    <t>37.5%</t>
  </si>
  <si>
    <t>2/9 (22%)</t>
  </si>
  <si>
    <t>-99.2</t>
  </si>
  <si>
    <t>Ridge and XGBoost (the two candidates) agree with each other in 77.0% of all graded games. Ridge agrees with the live model (Gamma) in 48.1% of games it has a rating for. XGBoost agrees with the live model (Gamma) in 60.0% of games it has a rating for. Massey agrees with the live model (Gamma) in 34.9%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</si>
  <si>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</si>
  <si>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</si>
  <si>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Week</t>
  </si>
  <si>
    <t>Matchup</t>
  </si>
  <si>
    <t>Market Line (Home)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</si>
  <si>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</si>
  <si>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</si>
  <si>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</si>
  <si>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</si>
  <si>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</si>
  <si>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</si>
  <si>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</si>
  <si>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</si>
  <si>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UNLV @ Akron</t>
  </si>
  <si>
    <t>--</t>
  </si>
  <si>
    <t>+1.4</t>
  </si>
  <si>
    <t>+9.3</t>
  </si>
  <si>
    <t>+4.0</t>
  </si>
  <si>
    <t>n/a</t>
  </si>
  <si>
    <t>Northern Illinois @ Georgia State</t>
  </si>
  <si>
    <t>-11.7</t>
  </si>
  <si>
    <t>-3.2</t>
  </si>
  <si>
    <t>-7.8</t>
  </si>
  <si>
    <t>Hawai'i @ Wyoming</t>
  </si>
  <si>
    <t>+6.1</t>
  </si>
  <si>
    <t>+1.2</t>
  </si>
  <si>
    <t>+1.9</t>
  </si>
  <si>
    <t>New Mexico @ New Mexico State</t>
  </si>
  <si>
    <t>+6.7</t>
  </si>
  <si>
    <t>+12.1</t>
  </si>
  <si>
    <t>+18.8</t>
  </si>
  <si>
    <t>Oregon State @ UTEP</t>
  </si>
  <si>
    <t>-3.8</t>
  </si>
  <si>
    <t>+0.9</t>
  </si>
  <si>
    <t>+10.5</t>
  </si>
  <si>
    <t>Air Force @ Nevada</t>
  </si>
  <si>
    <t>+3.5</t>
  </si>
  <si>
    <t>+0.7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</si>
  <si>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</si>
  <si>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</si>
  <si>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</si>
  <si>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</si>
  <si>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</si>
  <si>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</si>
  <si>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</si>
  <si>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</si>
  <si>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</si>
  <si>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</si>
  <si>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</si>
  <si>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</si>
  <si>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</si>
  <si>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</si>
  <si>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</si>
  <si>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</si>
  <si>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</si>
  <si>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</si>
  <si>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</si>
  <si>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</si>
  <si>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</si>
  <si>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</si>
  <si>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</si>
  <si>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</si>
  <si>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</si>
  <si>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</si>
  <si>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</si>
  <si>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</si>
  <si>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</si>
  <si>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</si>
  <si>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-28.3</t>
  </si>
  <si>
    <t>-1.7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</si>
  <si>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</si>
  <si>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</si>
  <si>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</si>
  <si>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</si>
  <si>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</si>
  <si>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</si>
  <si>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</si>
  <si>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</si>
  <si>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</si>
  <si>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</si>
  <si>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</si>
  <si>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</si>
  <si>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</si>
  <si>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+5.1</t>
  </si>
  <si>
    <t>Win</t>
  </si>
  <si>
    <t>-2.5</t>
  </si>
  <si>
    <t>-0.2</t>
  </si>
  <si>
    <t>-6.4</t>
  </si>
  <si>
    <t>+3.7</t>
  </si>
  <si>
    <t>-7.9</t>
  </si>
  <si>
    <t>-1.9</t>
  </si>
  <si>
    <t>+10.2</t>
  </si>
  <si>
    <t>San José State @ Eastern Michigan</t>
  </si>
  <si>
    <t>27-21</t>
  </si>
  <si>
    <t>-1.5</t>
  </si>
  <si>
    <t>-6.0</t>
  </si>
  <si>
    <t>-15.8</t>
  </si>
  <si>
    <t>+14.3</t>
  </si>
  <si>
    <t>-10.5</t>
  </si>
  <si>
    <t>+9.0</t>
  </si>
  <si>
    <t>+0.5</t>
  </si>
  <si>
    <t>-2.0</t>
  </si>
  <si>
    <t>Gamma</t>
  </si>
  <si>
    <t>+6.4</t>
  </si>
  <si>
    <t>+7.2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</si>
  <si>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</si>
  <si>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</si>
  <si>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</si>
  <si>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</si>
  <si>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</si>
  <si>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</si>
  <si>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</si>
  <si>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</si>
  <si>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-1.8</t>
  </si>
  <si>
    <t>+4.6</t>
  </si>
  <si>
    <t>+4.4</t>
  </si>
  <si>
    <t>-1.6</t>
  </si>
  <si>
    <t>Win (no real edge) (seed week)</t>
  </si>
  <si>
    <t>Ridge</t>
  </si>
  <si>
    <t>+6.2</t>
  </si>
  <si>
    <t>+11.8</t>
  </si>
  <si>
    <t>Northern Illinois @ Iowa</t>
  </si>
  <si>
    <t>0-40</t>
  </si>
  <si>
    <t>-31.8</t>
  </si>
  <si>
    <t>+40.0</t>
  </si>
  <si>
    <t>-3.5</t>
  </si>
  <si>
    <t>-25.4</t>
  </si>
  <si>
    <t>-41.0</t>
  </si>
  <si>
    <t>+9.2</t>
  </si>
  <si>
    <t>+5.4</t>
  </si>
  <si>
    <t>+15.8</t>
  </si>
  <si>
    <t>Western Kentucky @ Nevada</t>
  </si>
  <si>
    <t>14-49</t>
  </si>
  <si>
    <t>+0.2</t>
  </si>
  <si>
    <t>+35.0</t>
  </si>
  <si>
    <t>+3.3</t>
  </si>
  <si>
    <t>-3.0</t>
  </si>
  <si>
    <t>+7.3</t>
  </si>
  <si>
    <t>-7.1</t>
  </si>
  <si>
    <t>+2.7</t>
  </si>
  <si>
    <t>-0.3</t>
  </si>
  <si>
    <t>+18.5</t>
  </si>
  <si>
    <t>Central Michigan @ New Mexico</t>
  </si>
  <si>
    <t>7-38</t>
  </si>
  <si>
    <t>-11.2</t>
  </si>
  <si>
    <t>+31.0</t>
  </si>
  <si>
    <t>-17.5</t>
  </si>
  <si>
    <t>-11.6</t>
  </si>
  <si>
    <t>+0.3</t>
  </si>
  <si>
    <t>-15.6</t>
  </si>
  <si>
    <t>+4.3</t>
  </si>
  <si>
    <t>+5.9</t>
  </si>
  <si>
    <t>-1.4</t>
  </si>
  <si>
    <t>+22.9</t>
  </si>
  <si>
    <t>Jacksonville State @ North Dakota State</t>
  </si>
  <si>
    <t>7-33</t>
  </si>
  <si>
    <t>-6.8</t>
  </si>
  <si>
    <t>+26.0</t>
  </si>
  <si>
    <t>-18.4</t>
  </si>
  <si>
    <t>+11.6</t>
  </si>
  <si>
    <t>-14.4</t>
  </si>
  <si>
    <t>+7.7</t>
  </si>
  <si>
    <t>-25.5</t>
  </si>
  <si>
    <t>+18.7</t>
  </si>
  <si>
    <t>+17.6</t>
  </si>
  <si>
    <t>+6.3</t>
  </si>
  <si>
    <t>+41.6</t>
  </si>
  <si>
    <t>Fordham @ North Dakota State</t>
  </si>
  <si>
    <t>0-38</t>
  </si>
  <si>
    <t>-41.5</t>
  </si>
  <si>
    <t>+38.0</t>
  </si>
  <si>
    <t>-40.9</t>
  </si>
  <si>
    <t>-35.0</t>
  </si>
  <si>
    <t>-6.5</t>
  </si>
  <si>
    <t>-58.5</t>
  </si>
  <si>
    <t>+17.0</t>
  </si>
  <si>
    <t>Loss (seed week)</t>
  </si>
  <si>
    <t>+16.9</t>
  </si>
  <si>
    <t>+58.5</t>
  </si>
  <si>
    <t>UTEP @ Oklahoma</t>
  </si>
  <si>
    <t>0-51</t>
  </si>
  <si>
    <t>-40.8</t>
  </si>
  <si>
    <t>+51.0</t>
  </si>
  <si>
    <t>-34.8</t>
  </si>
  <si>
    <t>-5.9</t>
  </si>
  <si>
    <t>-32.8</t>
  </si>
  <si>
    <t>-8.0</t>
  </si>
  <si>
    <t>-44.4</t>
  </si>
  <si>
    <t>+3.6</t>
  </si>
  <si>
    <t>+11.0</t>
  </si>
  <si>
    <t>-8.2</t>
  </si>
  <si>
    <t>+62.1</t>
  </si>
  <si>
    <t>Hawai'i @ Stanford</t>
  </si>
  <si>
    <t>27-37</t>
  </si>
  <si>
    <t>-4.8</t>
  </si>
  <si>
    <t>+10.0</t>
  </si>
  <si>
    <t>-3.3</t>
  </si>
  <si>
    <t>+1.1</t>
  </si>
  <si>
    <t>-5.8</t>
  </si>
  <si>
    <t>-14.0</t>
  </si>
  <si>
    <t>+68.5</t>
  </si>
  <si>
    <t>Memphis @ UNLV</t>
  </si>
  <si>
    <t>-10.9</t>
  </si>
  <si>
    <t>-7.4</t>
  </si>
  <si>
    <t>+2.6</t>
  </si>
  <si>
    <t>+1.6</t>
  </si>
  <si>
    <t>-6.3</t>
  </si>
  <si>
    <t>+13.9</t>
  </si>
  <si>
    <t>-11.4</t>
  </si>
  <si>
    <t>+62.2</t>
  </si>
  <si>
    <t>San José State @ USC</t>
  </si>
  <si>
    <t>26-42</t>
  </si>
  <si>
    <t>-37.2</t>
  </si>
  <si>
    <t>+16.0</t>
  </si>
  <si>
    <t>-34.6</t>
  </si>
  <si>
    <t>-2.7</t>
  </si>
  <si>
    <t>-35.3</t>
  </si>
  <si>
    <t>-30.3</t>
  </si>
  <si>
    <t>-7.0</t>
  </si>
  <si>
    <t>+11.2</t>
  </si>
  <si>
    <t>-13.3</t>
  </si>
  <si>
    <t>+55.2</t>
  </si>
  <si>
    <t>North Dakota State @ Air Force</t>
  </si>
  <si>
    <t>38-32</t>
  </si>
  <si>
    <t>+1.8</t>
  </si>
  <si>
    <t>-15.3</t>
  </si>
  <si>
    <t>+14.7</t>
  </si>
  <si>
    <t>+17.9</t>
  </si>
  <si>
    <t>-16.2</t>
  </si>
  <si>
    <t>Massey</t>
  </si>
  <si>
    <t>-4.1</t>
  </si>
  <si>
    <t>-26.3</t>
  </si>
  <si>
    <t>+39.0</t>
  </si>
  <si>
    <t>New Mexico State @ Hawai'i</t>
  </si>
  <si>
    <t>19-29</t>
  </si>
  <si>
    <t>-7.5</t>
  </si>
  <si>
    <t>-14.1</t>
  </si>
  <si>
    <t>+6.6</t>
  </si>
  <si>
    <t>+5.8</t>
  </si>
  <si>
    <t>-7.6</t>
  </si>
  <si>
    <t>+0.1</t>
  </si>
  <si>
    <t>-14.7</t>
  </si>
  <si>
    <t>+2.5</t>
  </si>
  <si>
    <t>-20.5</t>
  </si>
  <si>
    <t>+39.1</t>
  </si>
  <si>
    <t>-14.9</t>
  </si>
  <si>
    <t>Montana State @ Nevada</t>
  </si>
  <si>
    <t>20-7</t>
  </si>
  <si>
    <t>+5.0</t>
  </si>
  <si>
    <t>-17.2</t>
  </si>
  <si>
    <t>+22.2</t>
  </si>
  <si>
    <t>+16.6</t>
  </si>
  <si>
    <t>-33.6</t>
  </si>
  <si>
    <t>+38.6</t>
  </si>
  <si>
    <t>-11.8</t>
  </si>
  <si>
    <t>+16.8</t>
  </si>
  <si>
    <t>+24.8</t>
  </si>
  <si>
    <t>-3.9</t>
  </si>
  <si>
    <t>+77.8</t>
  </si>
  <si>
    <t>Mercyhurst @ New Mexico</t>
  </si>
  <si>
    <t>7-70</t>
  </si>
  <si>
    <t>-42.2</t>
  </si>
  <si>
    <t>+63.0</t>
  </si>
  <si>
    <t>-25.2</t>
  </si>
  <si>
    <t>-28.0</t>
  </si>
  <si>
    <t>-14.3</t>
  </si>
  <si>
    <t>-45.6</t>
  </si>
  <si>
    <t>-20.6</t>
  </si>
  <si>
    <t>-21.6</t>
  </si>
  <si>
    <t>-0.5</t>
  </si>
  <si>
    <t>-18.2</t>
  </si>
  <si>
    <t>+81.1</t>
  </si>
  <si>
    <t>-19.8</t>
  </si>
  <si>
    <t>UNLV @ North Texas</t>
  </si>
  <si>
    <t>6-44</t>
  </si>
  <si>
    <t>-3.6</t>
  </si>
  <si>
    <t>+1.3</t>
  </si>
  <si>
    <t>-5.3</t>
  </si>
  <si>
    <t>+8.0</t>
  </si>
  <si>
    <t>+5.7</t>
  </si>
  <si>
    <t>-16.8</t>
  </si>
  <si>
    <t>+89.1</t>
  </si>
  <si>
    <t>-22.7</t>
  </si>
  <si>
    <t>Illinois State @ Northern Illinois</t>
  </si>
  <si>
    <t>28-24</t>
  </si>
  <si>
    <t>-4.0</t>
  </si>
  <si>
    <t>+17.5</t>
  </si>
  <si>
    <t>-16.3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</si>
  <si>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</si>
  <si>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</si>
  <si>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</si>
  <si>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</si>
  <si>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</si>
  <si>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</si>
  <si>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</si>
  <si>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</si>
  <si>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-27.6</t>
  </si>
  <si>
    <t>-30.7</t>
  </si>
  <si>
    <t>+21.8</t>
  </si>
  <si>
    <t>+8.1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</si>
  <si>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</si>
  <si>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</si>
  <si>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</si>
  <si>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</si>
  <si>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</si>
  <si>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</si>
  <si>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</si>
  <si>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</si>
  <si>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</si>
  <si>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+116.6</t>
  </si>
  <si>
    <t>-75.2</t>
  </si>
  <si>
    <t>Northern Colorado @ Wyoming</t>
  </si>
  <si>
    <t>13-21</t>
  </si>
  <si>
    <t>-23.5</t>
  </si>
  <si>
    <t>-7.2</t>
  </si>
  <si>
    <t>-22.1</t>
  </si>
  <si>
    <t>+4.1</t>
  </si>
  <si>
    <t>-24.0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</si>
  <si>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</si>
  <si>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</si>
  <si>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</si>
  <si>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</si>
  <si>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</si>
  <si>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</si>
  <si>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</si>
  <si>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</si>
  <si>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</si>
  <si>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</si>
  <si>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</si>
  <si>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</si>
  <si>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</si>
  <si>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</si>
  <si>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</si>
  <si>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</si>
  <si>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</si>
  <si>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</si>
  <si>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</si>
  <si>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</si>
  <si>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</si>
  <si>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</si>
  <si>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</si>
  <si>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</si>
  <si>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</si>
  <si>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</si>
  <si>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</si>
  <si>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</si>
  <si>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</si>
  <si>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</si>
  <si>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Date</t>
  </si>
  <si>
    <t>Away Team</t>
  </si>
  <si>
    <t>Home Team</t>
  </si>
  <si>
    <t>Model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</si>
  <si>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</si>
  <si>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</si>
  <si>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</si>
  <si>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</si>
  <si>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</si>
  <si>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</si>
  <si>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</si>
  <si>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</si>
  <si>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</si>
  <si>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</si>
  <si>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</si>
  <si>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2026-09-26</t>
  </si>
  <si>
    <t>UNLV</t>
  </si>
  <si>
    <t>Akron</t>
  </si>
  <si>
    <t>Northern Illinois</t>
  </si>
  <si>
    <t>Georgia State</t>
  </si>
  <si>
    <t>Hawai'i</t>
  </si>
  <si>
    <t>Wyoming</t>
  </si>
  <si>
    <t>New Mexico</t>
  </si>
  <si>
    <t>New Mexico State</t>
  </si>
  <si>
    <t>Air Force</t>
  </si>
  <si>
    <t>2026-09-27</t>
  </si>
  <si>
    <t>Oregon State</t>
  </si>
  <si>
    <t>UTEP</t>
  </si>
  <si>
    <t>Nevada</t>
  </si>
  <si>
    <t>North Dakota State</t>
  </si>
  <si>
    <t>San José State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</si>
  <si>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</si>
  <si>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</si>
  <si>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</si>
  <si>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</si>
  <si>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</si>
  <si>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</si>
  <si>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</si>
  <si>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</si>
  <si>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</si>
  <si>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</si>
  <si>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</si>
  <si>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Spread</t>
  </si>
  <si>
    <t>W</t>
  </si>
  <si>
    <t>Moneyline</t>
  </si>
  <si>
    <t>L</t>
  </si>
  <si>
    <t>Jacksonville State @ North Dakota State,Memphis @ UNLV</t>
  </si>
  <si>
    <t>ML Parlay</t>
  </si>
  <si>
    <t>North Dakota State / UNLV</t>
  </si>
  <si>
    <t>2026-09-04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</si>
  <si>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</si>
  <si>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</si>
  <si>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</si>
  <si>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</si>
  <si>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</si>
  <si>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</si>
  <si>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</si>
  <si>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</si>
  <si>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</si>
  <si>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</si>
  <si>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</si>
  <si>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</si>
  <si>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</si>
  <si>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</si>
  <si>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</si>
  <si>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</si>
  <si>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</si>
  <si>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</si>
  <si>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</si>
  <si>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</si>
  <si>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</si>
  <si>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</si>
  <si>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</si>
  <si>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</si>
  <si>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</si>
  <si>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</si>
  <si>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</si>
  <si>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</si>
  <si>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San Jose State @ Eastern Michigan</t>
  </si>
  <si>
    <t>UAB @ Illinois</t>
  </si>
  <si>
    <t>UAB</t>
  </si>
  <si>
    <t>2026-09-12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</si>
  <si>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</si>
  <si>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</si>
  <si>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</si>
  <si>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</si>
  <si>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</si>
  <si>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</si>
  <si>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</si>
  <si>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</si>
  <si>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</si>
  <si>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</si>
  <si>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</si>
  <si>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</si>
  <si>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</si>
  <si>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</si>
  <si>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</si>
  <si>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</si>
  <si>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</si>
  <si>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</si>
  <si>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</si>
  <si>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</si>
  <si>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2\3</t>
  </si>
  <si>
    <t>Miami @ Wake Forest</t>
  </si>
  <si>
    <t>Wake Forest</t>
  </si>
  <si>
    <t>Clemson @ California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</si>
  <si>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</si>
  <si>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</si>
  <si>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</si>
  <si>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</si>
  <si>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</si>
  <si>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</si>
  <si>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</si>
  <si>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</si>
  <si>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</si>
  <si>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</si>
  <si>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</si>
  <si>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</si>
  <si>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</si>
  <si>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</si>
  <si>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</si>
  <si>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</si>
  <si>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</si>
  <si>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</si>
  <si>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</si>
  <si>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</si>
  <si>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</si>
  <si>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</si>
  <si>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</si>
  <si>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</si>
  <si>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Wake Forest @ Louisville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</si>
</sst>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  <xf numFmtId="0" fontId="14" fillId="0" borderId="0" xfId="0" applyFont="1"/>
    <xf numFmtId="2" fontId="13" fillId="0" borderId="0" xfId="0" applyNumberFormat="1" applyFont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408</v>
      </c>
    </row>
    <row r="2" spans="1:1" ht="14.25" customHeight="1" x14ac:dyDescent="0.35">
      <c r="A2" s="2" t="s">
        <v>409</v>
      </c>
    </row>
    <row r="3" spans="1:1" ht="14.25" customHeight="1" x14ac:dyDescent="0.35">
      <c r="A3" s="3"/>
    </row>
    <row r="4" spans="1:1" ht="14.25" customHeight="1" x14ac:dyDescent="0.35">
      <c r="A4" s="4" t="s">
        <v>410</v>
      </c>
    </row>
    <row r="5" spans="1:1" ht="14.25" customHeight="1" x14ac:dyDescent="0.35">
      <c r="A5" s="3" t="s">
        <v>411</v>
      </c>
    </row>
    <row r="6" spans="1:1" ht="14.25" customHeight="1" x14ac:dyDescent="0.35">
      <c r="A6" s="3" t="s">
        <v>412</v>
      </c>
    </row>
    <row r="7" spans="1:1" ht="14.25" customHeight="1" x14ac:dyDescent="0.35">
      <c r="A7" s="3" t="s">
        <v>413</v>
      </c>
    </row>
    <row r="8" spans="1:1" ht="14.25" customHeight="1" x14ac:dyDescent="0.35">
      <c r="A8" s="3"/>
    </row>
    <row r="9" spans="1:1" ht="14.25" customHeight="1" x14ac:dyDescent="0.35">
      <c r="A9" s="4" t="s">
        <v>414</v>
      </c>
    </row>
    <row r="10" spans="1:1" ht="14.25" customHeight="1" x14ac:dyDescent="0.35">
      <c r="A10" s="3" t="s">
        <v>415</v>
      </c>
    </row>
    <row r="11" spans="1:1" ht="14.25" customHeight="1" x14ac:dyDescent="0.35">
      <c r="A11" s="3" t="s">
        <v>416</v>
      </c>
    </row>
    <row r="12" spans="1:1" ht="14.25" customHeight="1" x14ac:dyDescent="0.35">
      <c r="A12" s="3" t="s">
        <v>417</v>
      </c>
    </row>
    <row r="13" spans="1:1" ht="14.25" customHeight="1" x14ac:dyDescent="0.35">
      <c r="A13" s="3"/>
    </row>
    <row r="14" spans="1:1" ht="14.25" customHeight="1" x14ac:dyDescent="0.35">
      <c r="A14" s="4" t="s">
        <v>418</v>
      </c>
    </row>
    <row r="15" spans="1:1" ht="14.25" customHeight="1" x14ac:dyDescent="0.35">
      <c r="A15" s="3" t="s">
        <v>419</v>
      </c>
    </row>
    <row r="16" spans="1:1" ht="14.25" customHeight="1" x14ac:dyDescent="0.35">
      <c r="A16" s="3" t="s">
        <v>420</v>
      </c>
    </row>
    <row r="17" spans="1:1" ht="14.25" customHeight="1" x14ac:dyDescent="0.35">
      <c r="A17" s="3" t="s">
        <v>421</v>
      </c>
    </row>
    <row r="18" spans="1:1" ht="14.25" customHeight="1" x14ac:dyDescent="0.35">
      <c r="A18" s="3" t="s">
        <v>422</v>
      </c>
    </row>
    <row r="19" spans="1:1" ht="14.25" customHeight="1" x14ac:dyDescent="0.35">
      <c r="A19" s="3" t="s">
        <v>423</v>
      </c>
    </row>
    <row r="20" spans="1:1" ht="14.25" customHeight="1" x14ac:dyDescent="0.35">
      <c r="A20" s="3"/>
    </row>
    <row r="21" spans="1:1" ht="14.25" customHeight="1" x14ac:dyDescent="0.35">
      <c r="A21" s="3" t="s">
        <v>424</v>
      </c>
    </row>
    <row r="22" spans="1:1" ht="14.25" customHeight="1" x14ac:dyDescent="0.35">
      <c r="A22" s="3" t="s">
        <v>425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426</v>
      </c>
    </row>
    <row r="3" spans="1:3" ht="14.25" customHeight="1" x14ac:dyDescent="0.35">
      <c r="A3" s="5" t="s">
        <v>427</v>
      </c>
      <c r="B3" s="5" t="s">
        <v>428</v>
      </c>
      <c r="C3" s="5" t="s">
        <v>429</v>
      </c>
    </row>
    <row r="4" spans="1:3" ht="14.25" customHeight="1" x14ac:dyDescent="0.35">
      <c r="A4" s="6" t="s">
        <v>430</v>
      </c>
      <c r="B4" s="7">
        <v>50</v>
      </c>
      <c r="C4" s="2" t="s">
        <v>431</v>
      </c>
    </row>
    <row r="5" spans="1:3" ht="14.25" customHeight="1" x14ac:dyDescent="0.35">
      <c r="A5" s="6" t="s">
        <v>432</v>
      </c>
      <c r="B5" s="7">
        <v>2</v>
      </c>
      <c r="C5" s="2" t="s">
        <v>433</v>
      </c>
    </row>
    <row r="6" spans="1:3" ht="14.25" customHeight="1" x14ac:dyDescent="0.35">
      <c r="A6" s="6" t="s">
        <v>434</v>
      </c>
      <c r="B6" s="7">
        <v>2</v>
      </c>
      <c r="C6" s="2" t="s">
        <v>435</v>
      </c>
    </row>
    <row r="7" spans="1:3" ht="14.25" customHeight="1" x14ac:dyDescent="0.35">
      <c r="A7" s="6" t="s">
        <v>436</v>
      </c>
      <c r="B7" s="7">
        <v>-110</v>
      </c>
      <c r="C7" s="2" t="s">
        <v>437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92</v>
      </c>
      <c r="B1" s="5" t="s">
        <v>438</v>
      </c>
      <c r="C1" s="5" t="s">
        <v>439</v>
      </c>
      <c r="D1" s="5" t="s">
        <v>440</v>
      </c>
      <c r="E1" s="5" t="s">
        <v>441</v>
      </c>
      <c r="F1" s="5" t="s">
        <v>94</v>
      </c>
      <c r="G1" s="5" t="s">
        <v>442</v>
      </c>
      <c r="H1" s="5" t="s">
        <v>443</v>
      </c>
      <c r="I1" s="5" t="s">
        <v>444</v>
      </c>
      <c r="J1" s="5" t="s">
        <v>445</v>
      </c>
      <c r="K1" s="5" t="s">
        <v>446</v>
      </c>
      <c r="L1" s="5" t="s">
        <v>447</v>
      </c>
      <c r="M1" s="5" t="s">
        <v>448</v>
      </c>
      <c r="N1" s="5" t="s">
        <v>449</v>
      </c>
      <c r="O1" s="5" t="s">
        <v>450</v>
      </c>
      <c r="P1" s="5" t="s">
        <v>451</v>
      </c>
      <c r="R1" s="8" t="s">
        <v>452</v>
      </c>
    </row>
    <row r="2" spans="1:18" ht="14.25" customHeight="1" x14ac:dyDescent="0.35">
      <c r="A2">
        <v>4</v>
      </c>
      <c r="B2" t="s">
        <v>453</v>
      </c>
      <c r="C2" t="s">
        <v>454</v>
      </c>
      <c r="D2" t="s">
        <v>455</v>
      </c>
      <c r="E2">
        <v>4</v>
      </c>
      <c r="F2">
        <v>13.5</v>
      </c>
      <c r="G2" s="6">
        <f t="shared" ref="G2:G14" si="0">F2-E2</f>
        <v>9.5</v>
      </c>
      <c r="H2" s="6" t="str">
        <f t="shared" ref="H2:H14" si="1">IF(G2=0,"Pick'em",IF(G2&gt;0,"Home","Away"))</f>
        <v>Home</v>
      </c>
      <c r="I2">
        <v>47.8</v>
      </c>
      <c r="J2">
        <v>50.8</v>
      </c>
      <c r="K2" s="6">
        <f t="shared" ref="K2:K14" si="2">I2-J2</f>
        <v>-3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4</v>
      </c>
      <c r="B3" t="s">
        <v>453</v>
      </c>
      <c r="C3" t="s">
        <v>456</v>
      </c>
      <c r="D3" t="s">
        <v>457</v>
      </c>
      <c r="E3">
        <v>-7.8</v>
      </c>
      <c r="F3">
        <v>-10</v>
      </c>
      <c r="G3" s="6">
        <f t="shared" si="0"/>
        <v>-2.2000000000000002</v>
      </c>
      <c r="H3" s="6" t="str">
        <f t="shared" si="1"/>
        <v>Away</v>
      </c>
      <c r="I3">
        <v>46.1</v>
      </c>
      <c r="J3">
        <v>56</v>
      </c>
      <c r="K3" s="6">
        <f t="shared" si="2"/>
        <v>-9.8999999999999986</v>
      </c>
      <c r="L3" s="6" t="str">
        <f t="shared" si="3"/>
        <v>Under</v>
      </c>
      <c r="M3" s="6" t="str">
        <f>IF(ABS(G3)&gt;=Settings!$B$5,H3,IF(F3=0,"Pick'em",IF(F3&lt;0,"Home (auto)","Away (auto)")))</f>
        <v>Away</v>
      </c>
      <c r="N3" s="6" t="str">
        <f>IF(ABS(K3)&gt;=Settings!$B$6,L3,IF(K3=0,"Push",L3&amp;" (auto)"))</f>
        <v>Under</v>
      </c>
    </row>
    <row r="4" spans="1:18" ht="14.25" customHeight="1" x14ac:dyDescent="0.35">
      <c r="A4">
        <v>4</v>
      </c>
      <c r="B4" t="s">
        <v>453</v>
      </c>
      <c r="C4" t="s">
        <v>458</v>
      </c>
      <c r="D4" t="s">
        <v>459</v>
      </c>
      <c r="E4">
        <v>1.9</v>
      </c>
      <c r="F4">
        <v>3</v>
      </c>
      <c r="G4" s="6">
        <f t="shared" si="0"/>
        <v>1.1000000000000001</v>
      </c>
      <c r="H4" s="6" t="str">
        <f t="shared" si="1"/>
        <v>Home</v>
      </c>
      <c r="I4">
        <v>44.9</v>
      </c>
      <c r="J4">
        <v>45.8</v>
      </c>
      <c r="K4" s="6">
        <f t="shared" si="2"/>
        <v>-0.89999999999999858</v>
      </c>
      <c r="L4" s="6" t="str">
        <f t="shared" si="3"/>
        <v>Under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Under (auto)</v>
      </c>
    </row>
    <row r="5" spans="1:18" ht="14.25" customHeight="1" x14ac:dyDescent="0.35">
      <c r="A5">
        <v>4</v>
      </c>
      <c r="B5" t="s">
        <v>453</v>
      </c>
      <c r="C5" t="s">
        <v>460</v>
      </c>
      <c r="D5" t="s">
        <v>461</v>
      </c>
      <c r="E5">
        <v>18.8</v>
      </c>
      <c r="F5">
        <v>12.8</v>
      </c>
      <c r="G5" s="6">
        <f t="shared" si="0"/>
        <v>-6</v>
      </c>
      <c r="H5" s="6" t="str">
        <f t="shared" si="1"/>
        <v>Away</v>
      </c>
      <c r="I5">
        <v>45.7</v>
      </c>
      <c r="J5">
        <v>48.5</v>
      </c>
      <c r="K5" s="6">
        <f t="shared" si="2"/>
        <v>-2.7999999999999972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</v>
      </c>
      <c r="R5" s="6" t="s">
        <v>462</v>
      </c>
    </row>
    <row r="6" spans="1:18" ht="14.25" customHeight="1" x14ac:dyDescent="0.35">
      <c r="A6">
        <v>4</v>
      </c>
      <c r="B6" t="s">
        <v>463</v>
      </c>
      <c r="C6" t="s">
        <v>464</v>
      </c>
      <c r="D6" t="s">
        <v>465</v>
      </c>
      <c r="E6">
        <v>10.5</v>
      </c>
      <c r="F6">
        <v>10.5</v>
      </c>
      <c r="G6" s="6">
        <f t="shared" si="0"/>
        <v>0</v>
      </c>
      <c r="H6" s="6" t="str">
        <f t="shared" si="1"/>
        <v>Pick'em</v>
      </c>
      <c r="I6">
        <v>50.9</v>
      </c>
      <c r="J6">
        <v>53.5</v>
      </c>
      <c r="K6" s="6">
        <f t="shared" si="2"/>
        <v>-2.6000000000000014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</v>
      </c>
      <c r="R6" s="6" t="s">
        <v>458</v>
      </c>
    </row>
    <row r="7" spans="1:18" ht="14.25" customHeight="1" x14ac:dyDescent="0.35">
      <c r="A7" s="10">
        <v>4</v>
      </c>
      <c r="B7" s="10" t="s">
        <v>463</v>
      </c>
      <c r="C7" s="10" t="s">
        <v>462</v>
      </c>
      <c r="D7" s="10" t="s">
        <v>466</v>
      </c>
      <c r="E7" s="10">
        <v>2.2999999999999998</v>
      </c>
      <c r="F7" s="10">
        <v>5.5</v>
      </c>
      <c r="G7" s="10">
        <f t="shared" si="0"/>
        <v>3.2</v>
      </c>
      <c r="H7" s="10" t="str">
        <f t="shared" si="1"/>
        <v>Home</v>
      </c>
      <c r="I7" s="10">
        <v>46.6</v>
      </c>
      <c r="J7" s="10">
        <v>48.8</v>
      </c>
      <c r="K7" s="10">
        <f t="shared" si="2"/>
        <v>-2.1999999999999957</v>
      </c>
      <c r="L7" s="10" t="str">
        <f t="shared" si="3"/>
        <v>Under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Under</v>
      </c>
      <c r="R7" s="6" t="s">
        <v>466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460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467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456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468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454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1" zoomScaleNormal="100" workbookViewId="0">
      <pane ySplit="1" topLeftCell="A38" activePane="bottomLeft" state="frozen"/>
      <selection pane="bottomLeft" activeCell="I44" sqref="I44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438</v>
      </c>
      <c r="B1" s="5" t="s">
        <v>92</v>
      </c>
      <c r="C1" s="5" t="s">
        <v>93</v>
      </c>
      <c r="D1" s="5" t="s">
        <v>469</v>
      </c>
      <c r="E1" s="5" t="s">
        <v>470</v>
      </c>
      <c r="F1" s="5" t="s">
        <v>471</v>
      </c>
      <c r="G1" s="5" t="s">
        <v>472</v>
      </c>
      <c r="H1" s="5" t="s">
        <v>473</v>
      </c>
      <c r="I1" s="5" t="s">
        <v>474</v>
      </c>
      <c r="J1" s="5" t="s">
        <v>475</v>
      </c>
      <c r="K1" s="5" t="s">
        <v>476</v>
      </c>
      <c r="L1" s="5" t="s">
        <v>477</v>
      </c>
      <c r="M1" s="5" t="s">
        <v>478</v>
      </c>
    </row>
    <row r="2" spans="1:13" ht="14.25" customHeight="1" x14ac:dyDescent="0.35">
      <c r="A2" t="s">
        <v>479</v>
      </c>
      <c r="B2">
        <v>1</v>
      </c>
      <c r="C2" t="s">
        <v>244</v>
      </c>
      <c r="D2" t="s">
        <v>480</v>
      </c>
      <c r="E2" t="s">
        <v>467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481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479</v>
      </c>
      <c r="B3">
        <v>1</v>
      </c>
      <c r="C3" t="s">
        <v>244</v>
      </c>
      <c r="D3" t="s">
        <v>482</v>
      </c>
      <c r="E3" t="s">
        <v>467</v>
      </c>
      <c r="G3">
        <v>-285</v>
      </c>
      <c r="H3">
        <v>5</v>
      </c>
      <c r="J3" s="6" t="str">
        <f t="shared" si="0"/>
        <v/>
      </c>
      <c r="K3" t="s">
        <v>481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479</v>
      </c>
      <c r="B4">
        <v>1</v>
      </c>
      <c r="C4" t="s">
        <v>291</v>
      </c>
      <c r="D4" t="s">
        <v>482</v>
      </c>
      <c r="E4" t="s">
        <v>454</v>
      </c>
      <c r="G4">
        <v>-178</v>
      </c>
      <c r="H4">
        <v>5</v>
      </c>
      <c r="J4" s="6" t="str">
        <f t="shared" si="0"/>
        <v/>
      </c>
      <c r="K4" t="s">
        <v>483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479</v>
      </c>
      <c r="B5">
        <v>1</v>
      </c>
      <c r="C5" t="s">
        <v>484</v>
      </c>
      <c r="D5" t="s">
        <v>485</v>
      </c>
      <c r="E5" t="s">
        <v>486</v>
      </c>
      <c r="G5">
        <v>110</v>
      </c>
      <c r="H5">
        <v>3</v>
      </c>
      <c r="J5" s="6" t="str">
        <f t="shared" si="0"/>
        <v/>
      </c>
      <c r="K5" t="s">
        <v>483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487</v>
      </c>
      <c r="B6">
        <v>1</v>
      </c>
      <c r="C6" t="s">
        <v>182</v>
      </c>
      <c r="D6" t="s">
        <v>480</v>
      </c>
      <c r="E6" t="s">
        <v>488</v>
      </c>
      <c r="F6">
        <v>-3.5</v>
      </c>
      <c r="G6">
        <v>-110</v>
      </c>
      <c r="H6">
        <v>2</v>
      </c>
      <c r="J6" s="6" t="str">
        <f t="shared" si="0"/>
        <v/>
      </c>
      <c r="K6" t="s">
        <v>483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489</v>
      </c>
      <c r="B7">
        <v>1</v>
      </c>
      <c r="C7" t="s">
        <v>490</v>
      </c>
      <c r="D7" t="s">
        <v>485</v>
      </c>
      <c r="E7" t="s">
        <v>491</v>
      </c>
      <c r="G7">
        <v>149</v>
      </c>
      <c r="H7">
        <v>2</v>
      </c>
      <c r="J7" s="6" t="str">
        <f t="shared" si="0"/>
        <v/>
      </c>
      <c r="K7" t="s">
        <v>483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489</v>
      </c>
      <c r="B8">
        <v>1</v>
      </c>
      <c r="C8" t="s">
        <v>492</v>
      </c>
      <c r="D8" t="s">
        <v>480</v>
      </c>
      <c r="E8" t="s">
        <v>493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481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489</v>
      </c>
      <c r="B9">
        <v>1</v>
      </c>
      <c r="C9" t="s">
        <v>492</v>
      </c>
      <c r="D9" t="s">
        <v>482</v>
      </c>
      <c r="E9" t="s">
        <v>493</v>
      </c>
      <c r="G9">
        <v>-145</v>
      </c>
      <c r="H9">
        <v>2</v>
      </c>
      <c r="J9" s="6" t="str">
        <f t="shared" si="0"/>
        <v/>
      </c>
      <c r="K9" t="s">
        <v>481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489</v>
      </c>
      <c r="B10">
        <v>1</v>
      </c>
      <c r="C10" t="s">
        <v>232</v>
      </c>
      <c r="D10" t="s">
        <v>480</v>
      </c>
      <c r="E10" t="s">
        <v>460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481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494</v>
      </c>
      <c r="B11">
        <v>1</v>
      </c>
      <c r="C11" t="s">
        <v>495</v>
      </c>
      <c r="D11" t="s">
        <v>480</v>
      </c>
      <c r="E11" t="s">
        <v>496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481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494</v>
      </c>
      <c r="B12">
        <v>1</v>
      </c>
      <c r="C12" t="s">
        <v>495</v>
      </c>
      <c r="D12" t="s">
        <v>480</v>
      </c>
      <c r="E12" t="s">
        <v>497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481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494</v>
      </c>
      <c r="B13">
        <v>1</v>
      </c>
      <c r="C13" t="s">
        <v>495</v>
      </c>
      <c r="D13" t="s">
        <v>482</v>
      </c>
      <c r="E13" t="s">
        <v>497</v>
      </c>
      <c r="G13">
        <v>265</v>
      </c>
      <c r="H13">
        <v>1</v>
      </c>
      <c r="J13" s="6" t="str">
        <f t="shared" si="0"/>
        <v/>
      </c>
      <c r="K13" t="s">
        <v>483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498</v>
      </c>
      <c r="B14">
        <v>1</v>
      </c>
      <c r="C14" t="s">
        <v>499</v>
      </c>
      <c r="D14" t="s">
        <v>480</v>
      </c>
      <c r="E14" t="s">
        <v>500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481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498</v>
      </c>
      <c r="B15">
        <v>1</v>
      </c>
      <c r="C15" t="s">
        <v>499</v>
      </c>
      <c r="D15" t="s">
        <v>480</v>
      </c>
      <c r="E15" t="s">
        <v>500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481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498</v>
      </c>
      <c r="B16">
        <v>1</v>
      </c>
      <c r="C16" t="s">
        <v>501</v>
      </c>
      <c r="D16" t="s">
        <v>480</v>
      </c>
      <c r="E16" t="s">
        <v>502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483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489</v>
      </c>
      <c r="B17">
        <v>1</v>
      </c>
      <c r="C17" t="s">
        <v>503</v>
      </c>
      <c r="D17" t="s">
        <v>480</v>
      </c>
      <c r="E17" t="s">
        <v>504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483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489</v>
      </c>
      <c r="B18">
        <v>1</v>
      </c>
      <c r="C18" t="s">
        <v>503</v>
      </c>
      <c r="D18" t="s">
        <v>480</v>
      </c>
      <c r="E18" t="s">
        <v>504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483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489</v>
      </c>
      <c r="B19">
        <v>1</v>
      </c>
      <c r="C19" t="s">
        <v>505</v>
      </c>
      <c r="D19" t="s">
        <v>482</v>
      </c>
      <c r="E19" t="s">
        <v>506</v>
      </c>
      <c r="G19">
        <v>146</v>
      </c>
      <c r="H19">
        <v>11.5</v>
      </c>
      <c r="J19" s="6" t="str">
        <f t="shared" si="0"/>
        <v/>
      </c>
      <c r="K19" t="s">
        <v>481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489</v>
      </c>
      <c r="B20">
        <v>1</v>
      </c>
      <c r="C20" t="s">
        <v>507</v>
      </c>
      <c r="D20" t="s">
        <v>480</v>
      </c>
      <c r="E20" t="s">
        <v>508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483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489</v>
      </c>
      <c r="B21">
        <v>1</v>
      </c>
      <c r="C21" t="s">
        <v>509</v>
      </c>
      <c r="D21" t="s">
        <v>482</v>
      </c>
      <c r="E21" t="s">
        <v>510</v>
      </c>
      <c r="G21">
        <v>200</v>
      </c>
      <c r="H21">
        <v>3</v>
      </c>
      <c r="J21" s="6" t="str">
        <f t="shared" si="0"/>
        <v/>
      </c>
      <c r="K21" t="s">
        <v>483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487</v>
      </c>
      <c r="B22">
        <v>1</v>
      </c>
      <c r="C22" t="s">
        <v>511</v>
      </c>
      <c r="D22" t="s">
        <v>480</v>
      </c>
      <c r="E22" t="s">
        <v>512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481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487</v>
      </c>
      <c r="B23">
        <v>1</v>
      </c>
      <c r="C23" t="s">
        <v>513</v>
      </c>
      <c r="D23" t="s">
        <v>514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483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487</v>
      </c>
      <c r="B24">
        <v>1</v>
      </c>
      <c r="C24" t="s">
        <v>515</v>
      </c>
      <c r="D24" t="s">
        <v>480</v>
      </c>
      <c r="E24" t="s">
        <v>506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483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487</v>
      </c>
      <c r="B25">
        <v>1</v>
      </c>
      <c r="C25" t="s">
        <v>269</v>
      </c>
      <c r="D25" t="s">
        <v>514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483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487</v>
      </c>
      <c r="B26">
        <v>1</v>
      </c>
      <c r="C26" t="s">
        <v>516</v>
      </c>
      <c r="D26" t="s">
        <v>482</v>
      </c>
      <c r="E26" t="s">
        <v>488</v>
      </c>
      <c r="G26">
        <v>-146</v>
      </c>
      <c r="H26">
        <v>2</v>
      </c>
      <c r="J26" s="6" t="str">
        <f t="shared" si="0"/>
        <v/>
      </c>
      <c r="K26" t="s">
        <v>483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487</v>
      </c>
      <c r="B27">
        <v>1</v>
      </c>
      <c r="C27" t="s">
        <v>517</v>
      </c>
      <c r="D27" t="s">
        <v>480</v>
      </c>
      <c r="E27" t="s">
        <v>518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483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487</v>
      </c>
      <c r="B28">
        <v>1</v>
      </c>
      <c r="C28" t="s">
        <v>517</v>
      </c>
      <c r="D28" t="s">
        <v>480</v>
      </c>
      <c r="E28" t="s">
        <v>518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481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519</v>
      </c>
      <c r="B29">
        <v>2</v>
      </c>
      <c r="C29" t="s">
        <v>363</v>
      </c>
      <c r="D29" t="s">
        <v>480</v>
      </c>
      <c r="E29" t="s">
        <v>520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481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521</v>
      </c>
      <c r="B30">
        <v>2</v>
      </c>
      <c r="C30" t="s">
        <v>522</v>
      </c>
      <c r="D30" t="s">
        <v>480</v>
      </c>
      <c r="E30" t="s">
        <v>467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481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521</v>
      </c>
      <c r="B31">
        <v>2</v>
      </c>
      <c r="C31" t="s">
        <v>522</v>
      </c>
      <c r="D31" t="s">
        <v>482</v>
      </c>
      <c r="E31" t="s">
        <v>467</v>
      </c>
      <c r="G31">
        <v>-134</v>
      </c>
      <c r="H31">
        <v>2.5</v>
      </c>
      <c r="J31" s="6" t="str">
        <f t="shared" si="0"/>
        <v/>
      </c>
      <c r="K31" t="s">
        <v>481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521</v>
      </c>
      <c r="B32">
        <v>2</v>
      </c>
      <c r="C32" t="s">
        <v>523</v>
      </c>
      <c r="D32" t="s">
        <v>482</v>
      </c>
      <c r="E32" t="s">
        <v>524</v>
      </c>
      <c r="G32">
        <v>-330</v>
      </c>
      <c r="H32">
        <v>1</v>
      </c>
      <c r="J32" s="6" t="str">
        <f t="shared" si="0"/>
        <v/>
      </c>
      <c r="K32" t="s">
        <v>481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519</v>
      </c>
      <c r="B33">
        <v>2</v>
      </c>
      <c r="C33" t="s">
        <v>525</v>
      </c>
      <c r="D33" t="s">
        <v>480</v>
      </c>
      <c r="E33" t="s">
        <v>526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483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519</v>
      </c>
      <c r="B34">
        <v>2</v>
      </c>
      <c r="C34" t="s">
        <v>527</v>
      </c>
      <c r="D34" t="s">
        <v>482</v>
      </c>
      <c r="E34" t="s">
        <v>528</v>
      </c>
      <c r="G34">
        <v>500</v>
      </c>
      <c r="H34">
        <v>40</v>
      </c>
      <c r="J34" s="6" t="str">
        <f t="shared" si="0"/>
        <v/>
      </c>
      <c r="K34" t="s">
        <v>481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529</v>
      </c>
      <c r="B35">
        <v>3</v>
      </c>
      <c r="C35" t="s">
        <v>530</v>
      </c>
      <c r="D35" t="s">
        <v>480</v>
      </c>
      <c r="E35" t="s">
        <v>531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481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529</v>
      </c>
      <c r="B36">
        <v>3</v>
      </c>
      <c r="C36" t="s">
        <v>530</v>
      </c>
      <c r="D36" t="s">
        <v>482</v>
      </c>
      <c r="E36" t="s">
        <v>531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481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529</v>
      </c>
      <c r="B37">
        <v>3</v>
      </c>
      <c r="C37" t="s">
        <v>532</v>
      </c>
      <c r="D37" t="s">
        <v>480</v>
      </c>
      <c r="E37" t="s">
        <v>467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483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529</v>
      </c>
      <c r="B38">
        <v>3</v>
      </c>
      <c r="C38" t="s">
        <v>533</v>
      </c>
      <c r="D38" t="s">
        <v>482</v>
      </c>
      <c r="E38" t="s">
        <v>496</v>
      </c>
      <c r="G38">
        <v>134</v>
      </c>
      <c r="H38">
        <v>1</v>
      </c>
      <c r="J38" s="6" t="str">
        <f t="shared" si="0"/>
        <v/>
      </c>
      <c r="K38" t="s">
        <v>483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529</v>
      </c>
      <c r="B39">
        <v>3</v>
      </c>
      <c r="C39" t="s">
        <v>534</v>
      </c>
      <c r="D39" t="s">
        <v>482</v>
      </c>
      <c r="E39" t="s">
        <v>535</v>
      </c>
      <c r="G39">
        <v>350</v>
      </c>
      <c r="H39">
        <v>36</v>
      </c>
      <c r="J39" s="6" t="str">
        <f t="shared" si="0"/>
        <v/>
      </c>
      <c r="K39" t="s">
        <v>483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529</v>
      </c>
      <c r="B40">
        <v>3</v>
      </c>
      <c r="C40" t="s">
        <v>530</v>
      </c>
      <c r="D40" t="s">
        <v>480</v>
      </c>
      <c r="E40" t="s">
        <v>531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481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529</v>
      </c>
      <c r="B41">
        <v>3</v>
      </c>
      <c r="C41" t="s">
        <v>536</v>
      </c>
      <c r="D41" t="s">
        <v>480</v>
      </c>
      <c r="E41" t="s">
        <v>537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481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529</v>
      </c>
      <c r="B42">
        <v>3</v>
      </c>
      <c r="C42" t="s">
        <v>538</v>
      </c>
      <c r="D42" t="s">
        <v>480</v>
      </c>
      <c r="E42" t="s">
        <v>539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483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529</v>
      </c>
      <c r="B43" t="s">
        <v>540</v>
      </c>
      <c r="C43" t="s">
        <v>541</v>
      </c>
      <c r="D43" t="s">
        <v>480</v>
      </c>
      <c r="E43" t="s">
        <v>542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481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453</v>
      </c>
      <c r="B44">
        <v>4</v>
      </c>
      <c r="C44" t="s">
        <v>543</v>
      </c>
      <c r="D44" t="s">
        <v>482</v>
      </c>
      <c r="E44" t="s">
        <v>504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481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453</v>
      </c>
      <c r="B45">
        <v>4</v>
      </c>
      <c r="C45" t="s">
        <v>103</v>
      </c>
      <c r="D45" t="s">
        <v>480</v>
      </c>
      <c r="E45" t="s">
        <v>455</v>
      </c>
      <c r="F45">
        <v>13.5</v>
      </c>
      <c r="G45">
        <v>-110</v>
      </c>
      <c r="H45">
        <v>1.5</v>
      </c>
      <c r="J45" s="16" t="str">
        <f t="shared" si="0"/>
        <v/>
      </c>
      <c r="K45" t="s">
        <v>483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453</v>
      </c>
      <c r="B46">
        <v>4</v>
      </c>
      <c r="C46" t="s">
        <v>117</v>
      </c>
      <c r="D46" t="s">
        <v>480</v>
      </c>
      <c r="E46" t="s">
        <v>460</v>
      </c>
      <c r="F46">
        <v>-11.5</v>
      </c>
      <c r="G46">
        <v>-110</v>
      </c>
      <c r="H46">
        <v>1.5</v>
      </c>
      <c r="J46" s="16" t="str">
        <f t="shared" si="0"/>
        <v/>
      </c>
      <c r="L46" s="11">
        <f t="shared" si="1"/>
        <v>0</v>
      </c>
      <c r="M46" s="11">
        <f>Settings!$B$4+SUM(L$2:L46)</f>
        <v>221.36294236810679</v>
      </c>
    </row>
    <row r="47" spans="1:13" x14ac:dyDescent="0.35">
      <c r="C47" t="s">
        <v>568</v>
      </c>
      <c r="D47" t="s">
        <v>482</v>
      </c>
      <c r="E47" t="s">
        <v>500</v>
      </c>
      <c r="G47">
        <v>-130</v>
      </c>
      <c r="H47">
        <v>1.5</v>
      </c>
      <c r="J47" s="16" t="str">
        <f t="shared" si="0"/>
        <v/>
      </c>
      <c r="L47" s="11">
        <f t="shared" si="1"/>
        <v>0</v>
      </c>
      <c r="M47" s="11">
        <f>Settings!$B$4+SUM(L$2:L47)</f>
        <v>221.36294236810679</v>
      </c>
    </row>
    <row r="48" spans="1:13" x14ac:dyDescent="0.35">
      <c r="J48" s="16" t="str">
        <f t="shared" si="0"/>
        <v/>
      </c>
      <c r="L48" s="11">
        <f t="shared" si="1"/>
        <v>0</v>
      </c>
      <c r="M48" s="11">
        <f>Settings!$B$4+SUM(L$2:L48)</f>
        <v>221.36294236810679</v>
      </c>
    </row>
    <row r="49" spans="1:13" x14ac:dyDescent="0.35">
      <c r="J49" s="16" t="str">
        <f t="shared" si="0"/>
        <v/>
      </c>
      <c r="L49" s="11">
        <f t="shared" si="1"/>
        <v>0</v>
      </c>
      <c r="M49" s="11">
        <f>Settings!$B$4+SUM(L$2:L49)</f>
        <v>221.36294236810679</v>
      </c>
    </row>
    <row r="50" spans="1:13" x14ac:dyDescent="0.35">
      <c r="J50" s="16" t="str">
        <f t="shared" si="0"/>
        <v/>
      </c>
      <c r="L50" s="11">
        <f t="shared" si="1"/>
        <v>0</v>
      </c>
      <c r="M50" s="11">
        <f>Settings!$B$4+SUM(L$2:L50)</f>
        <v>221.36294236810679</v>
      </c>
    </row>
    <row r="51" spans="1:13" x14ac:dyDescent="0.35">
      <c r="J51" s="16" t="str">
        <f t="shared" si="0"/>
        <v/>
      </c>
      <c r="L51" s="11">
        <f t="shared" si="1"/>
        <v>0</v>
      </c>
      <c r="M51" s="11">
        <f>Settings!$B$4+SUM(L$2:L51)</f>
        <v>221.36294236810679</v>
      </c>
    </row>
    <row r="52" spans="1:13" x14ac:dyDescent="0.35">
      <c r="J52" s="16" t="str">
        <f t="shared" si="0"/>
        <v/>
      </c>
      <c r="L52" s="11">
        <f t="shared" si="1"/>
        <v>0</v>
      </c>
      <c r="M52" s="11">
        <f>Settings!$B$4+SUM(L$2:L52)</f>
        <v>221.36294236810679</v>
      </c>
    </row>
    <row r="53" spans="1:13" x14ac:dyDescent="0.35">
      <c r="J53" s="16" t="str">
        <f t="shared" si="0"/>
        <v/>
      </c>
      <c r="L53" s="11">
        <f t="shared" si="1"/>
        <v>0</v>
      </c>
      <c r="M53" s="11">
        <f>Settings!$B$4+SUM(L$2:L53)</f>
        <v>221.36294236810679</v>
      </c>
    </row>
    <row r="54" spans="1:13" x14ac:dyDescent="0.35">
      <c r="J54" s="16" t="str">
        <f t="shared" si="0"/>
        <v/>
      </c>
      <c r="L54" s="11">
        <f t="shared" si="1"/>
        <v>0</v>
      </c>
      <c r="M54" s="11">
        <f>Settings!$B$4+SUM(L$2:L54)</f>
        <v>221.36294236810679</v>
      </c>
    </row>
    <row r="55" spans="1:13" x14ac:dyDescent="0.35">
      <c r="J55" s="16" t="str">
        <f t="shared" si="0"/>
        <v/>
      </c>
      <c r="L55" s="11">
        <f t="shared" si="1"/>
        <v>0</v>
      </c>
      <c r="M55" s="11">
        <f>Settings!$B$4+SUM(L$2:L55)</f>
        <v>221.36294236810679</v>
      </c>
    </row>
    <row r="56" spans="1:13" x14ac:dyDescent="0.35">
      <c r="J56" s="16" t="str">
        <f t="shared" si="0"/>
        <v/>
      </c>
      <c r="L56" s="11">
        <f t="shared" si="1"/>
        <v>0</v>
      </c>
      <c r="M56" s="11">
        <f>Settings!$B$4+SUM(L$2:L56)</f>
        <v>221.36294236810679</v>
      </c>
    </row>
    <row r="57" spans="1:13" x14ac:dyDescent="0.35">
      <c r="J57" s="16" t="str">
        <f t="shared" si="0"/>
        <v/>
      </c>
      <c r="L57" s="11">
        <f t="shared" si="1"/>
        <v>0</v>
      </c>
      <c r="M57" s="11">
        <f>Settings!$B$4+SUM(L$2:L57)</f>
        <v>221.36294236810679</v>
      </c>
    </row>
    <row r="58" spans="1:13" x14ac:dyDescent="0.35">
      <c r="J58" s="16" t="str">
        <f t="shared" si="0"/>
        <v/>
      </c>
      <c r="L58" s="11">
        <f t="shared" si="1"/>
        <v>0</v>
      </c>
      <c r="M58" s="11">
        <f>Settings!$B$4+SUM(L$2:L58)</f>
        <v>221.36294236810679</v>
      </c>
    </row>
    <row r="59" spans="1:13" x14ac:dyDescent="0.35">
      <c r="J59" s="16" t="str">
        <f t="shared" si="0"/>
        <v/>
      </c>
      <c r="L59" s="11">
        <f t="shared" si="1"/>
        <v>0</v>
      </c>
      <c r="M59" s="11">
        <f>Settings!$B$4+SUM(L$2:L59)</f>
        <v>221.36294236810679</v>
      </c>
    </row>
    <row r="60" spans="1:13" x14ac:dyDescent="0.35">
      <c r="J60" s="16" t="str">
        <f t="shared" si="0"/>
        <v/>
      </c>
      <c r="L60" s="11">
        <f t="shared" si="1"/>
        <v>0</v>
      </c>
      <c r="M60" s="11">
        <f>Settings!$B$4+SUM(L$2:L60)</f>
        <v>221.36294236810679</v>
      </c>
    </row>
    <row r="61" spans="1:13" x14ac:dyDescent="0.35">
      <c r="J61" s="16" t="str">
        <f t="shared" si="0"/>
        <v/>
      </c>
      <c r="L61" s="11">
        <f t="shared" si="1"/>
        <v>0</v>
      </c>
      <c r="M61" s="11">
        <f>Settings!$B$4+SUM(L$2:L61)</f>
        <v>221.36294236810679</v>
      </c>
    </row>
    <row r="62" spans="1:13" x14ac:dyDescent="0.35">
      <c r="A62" s="19"/>
      <c r="J62" s="16" t="str">
        <f t="shared" si="0"/>
        <v/>
      </c>
      <c r="L62" s="11">
        <f t="shared" si="1"/>
        <v>0</v>
      </c>
      <c r="M62" s="11">
        <f>Settings!$B$4+SUM(L$2:L62)</f>
        <v>221.36294236810679</v>
      </c>
    </row>
    <row r="63" spans="1:13" x14ac:dyDescent="0.35">
      <c r="J63" s="16" t="str">
        <f t="shared" si="0"/>
        <v/>
      </c>
      <c r="L63" s="11">
        <f t="shared" si="1"/>
        <v>0</v>
      </c>
      <c r="M63" s="11">
        <f>Settings!$B$4+SUM(L$2:L63)</f>
        <v>221.36294236810679</v>
      </c>
    </row>
    <row r="64" spans="1:13" x14ac:dyDescent="0.35">
      <c r="J64" s="16" t="str">
        <f t="shared" si="0"/>
        <v/>
      </c>
      <c r="L64" s="11">
        <f t="shared" si="1"/>
        <v>0</v>
      </c>
      <c r="M64" s="11">
        <f>Settings!$B$4+SUM(L$2:L64)</f>
        <v>221.36294236810679</v>
      </c>
    </row>
    <row r="65" spans="10:13" x14ac:dyDescent="0.35">
      <c r="J65" s="16" t="str">
        <f t="shared" si="0"/>
        <v/>
      </c>
      <c r="L65" s="11">
        <f t="shared" si="1"/>
        <v>0</v>
      </c>
      <c r="M65" s="11">
        <f>Settings!$B$4+SUM(L$2:L65)</f>
        <v>221.36294236810679</v>
      </c>
    </row>
    <row r="66" spans="10:13" x14ac:dyDescent="0.35">
      <c r="J66" s="16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221.36294236810679</v>
      </c>
    </row>
    <row r="67" spans="10:13" x14ac:dyDescent="0.35">
      <c r="J67" s="16" t="str">
        <f t="shared" si="2"/>
        <v/>
      </c>
      <c r="L67" s="11">
        <f t="shared" si="3"/>
        <v>0</v>
      </c>
      <c r="M67" s="11">
        <f>Settings!$B$4+SUM(L$2:L67)</f>
        <v>221.36294236810679</v>
      </c>
    </row>
    <row r="68" spans="10:13" x14ac:dyDescent="0.35">
      <c r="J68" s="16" t="str">
        <f t="shared" si="2"/>
        <v/>
      </c>
      <c r="L68" s="11">
        <f t="shared" si="3"/>
        <v>0</v>
      </c>
      <c r="M68" s="11">
        <f>Settings!$B$4+SUM(L$2:L68)</f>
        <v>221.36294236810679</v>
      </c>
    </row>
    <row r="69" spans="10:13" x14ac:dyDescent="0.35">
      <c r="J69" s="16" t="str">
        <f t="shared" si="2"/>
        <v/>
      </c>
      <c r="L69" s="11">
        <f t="shared" si="3"/>
        <v>0</v>
      </c>
      <c r="M69" s="11">
        <f>Settings!$B$4+SUM(L$2:L69)</f>
        <v>221.36294236810679</v>
      </c>
    </row>
    <row r="70" spans="10:13" x14ac:dyDescent="0.35">
      <c r="J70" s="16" t="str">
        <f t="shared" si="2"/>
        <v/>
      </c>
      <c r="L70" s="11">
        <f t="shared" si="3"/>
        <v>0</v>
      </c>
      <c r="M70" s="11">
        <f>Settings!$B$4+SUM(L$2:L70)</f>
        <v>221.36294236810679</v>
      </c>
    </row>
    <row r="71" spans="10:13" x14ac:dyDescent="0.35">
      <c r="J71" s="16" t="str">
        <f t="shared" si="2"/>
        <v/>
      </c>
      <c r="L71" s="11">
        <f t="shared" si="3"/>
        <v>0</v>
      </c>
      <c r="M71" s="11">
        <f>Settings!$B$4+SUM(L$2:L71)</f>
        <v>221.36294236810679</v>
      </c>
    </row>
    <row r="72" spans="10:13" x14ac:dyDescent="0.35">
      <c r="J72" s="16" t="str">
        <f t="shared" si="2"/>
        <v/>
      </c>
      <c r="L72" s="11">
        <f t="shared" si="3"/>
        <v>0</v>
      </c>
      <c r="M72" s="11">
        <f>Settings!$B$4+SUM(L$2:L72)</f>
        <v>221.36294236810679</v>
      </c>
    </row>
    <row r="73" spans="10:13" x14ac:dyDescent="0.35">
      <c r="J73" s="16" t="str">
        <f t="shared" si="2"/>
        <v/>
      </c>
      <c r="L73" s="11">
        <f t="shared" si="3"/>
        <v>0</v>
      </c>
      <c r="M73" s="11">
        <f>Settings!$B$4+SUM(L$2:L73)</f>
        <v>221.36294236810679</v>
      </c>
    </row>
    <row r="74" spans="10:13" x14ac:dyDescent="0.35">
      <c r="J74" s="16" t="str">
        <f t="shared" si="2"/>
        <v/>
      </c>
      <c r="L74" s="11">
        <f t="shared" si="3"/>
        <v>0</v>
      </c>
      <c r="M74" s="11">
        <f>Settings!$B$4+SUM(L$2:L74)</f>
        <v>221.36294236810679</v>
      </c>
    </row>
    <row r="75" spans="10:13" x14ac:dyDescent="0.35">
      <c r="J75" s="16" t="str">
        <f t="shared" si="2"/>
        <v/>
      </c>
      <c r="L75" s="11">
        <f t="shared" si="3"/>
        <v>0</v>
      </c>
      <c r="M75" s="11">
        <f>Settings!$B$4+SUM(L$2:L75)</f>
        <v>221.36294236810679</v>
      </c>
    </row>
    <row r="76" spans="10:13" x14ac:dyDescent="0.35">
      <c r="J76" s="16" t="str">
        <f t="shared" si="2"/>
        <v/>
      </c>
      <c r="L76" s="11">
        <f t="shared" si="3"/>
        <v>0</v>
      </c>
      <c r="M76" s="11">
        <f>Settings!$B$4+SUM(L$2:L76)</f>
        <v>221.36294236810679</v>
      </c>
    </row>
    <row r="77" spans="10:13" x14ac:dyDescent="0.35">
      <c r="J77" s="16" t="str">
        <f t="shared" si="2"/>
        <v/>
      </c>
      <c r="L77" s="11">
        <f t="shared" si="3"/>
        <v>0</v>
      </c>
      <c r="M77" s="11">
        <f>Settings!$B$4+SUM(L$2:L77)</f>
        <v>221.36294236810679</v>
      </c>
    </row>
    <row r="78" spans="10:13" x14ac:dyDescent="0.35">
      <c r="J78" s="16" t="str">
        <f t="shared" si="2"/>
        <v/>
      </c>
      <c r="L78" s="11">
        <f t="shared" si="3"/>
        <v>0</v>
      </c>
      <c r="M78" s="11">
        <f>Settings!$B$4+SUM(L$2:L78)</f>
        <v>221.36294236810679</v>
      </c>
    </row>
    <row r="79" spans="10:13" x14ac:dyDescent="0.35">
      <c r="J79" s="16" t="str">
        <f t="shared" si="2"/>
        <v/>
      </c>
      <c r="L79" s="11">
        <f t="shared" si="3"/>
        <v>0</v>
      </c>
      <c r="M79" s="11">
        <f>Settings!$B$4+SUM(L$2:L79)</f>
        <v>221.36294236810679</v>
      </c>
    </row>
    <row r="80" spans="10:13" x14ac:dyDescent="0.35">
      <c r="J80" s="16" t="str">
        <f t="shared" si="2"/>
        <v/>
      </c>
      <c r="L80" s="11">
        <f t="shared" si="3"/>
        <v>0</v>
      </c>
      <c r="M80" s="11">
        <f>Settings!$B$4+SUM(L$2:L80)</f>
        <v>221.36294236810679</v>
      </c>
    </row>
    <row r="81" spans="10:13" x14ac:dyDescent="0.35">
      <c r="J81" s="16" t="str">
        <f t="shared" si="2"/>
        <v/>
      </c>
      <c r="L81" s="11">
        <f t="shared" si="3"/>
        <v>0</v>
      </c>
      <c r="M81" s="11">
        <f>Settings!$B$4+SUM(L$2:L81)</f>
        <v>221.36294236810679</v>
      </c>
    </row>
    <row r="82" spans="10:13" x14ac:dyDescent="0.35">
      <c r="J82" s="16" t="str">
        <f t="shared" si="2"/>
        <v/>
      </c>
      <c r="L82" s="11">
        <f t="shared" si="3"/>
        <v>0</v>
      </c>
      <c r="M82" s="11">
        <f>Settings!$B$4+SUM(L$2:L82)</f>
        <v>221.36294236810679</v>
      </c>
    </row>
    <row r="83" spans="10:13" x14ac:dyDescent="0.35">
      <c r="J83" s="16" t="str">
        <f t="shared" si="2"/>
        <v/>
      </c>
      <c r="L83" s="11">
        <f t="shared" si="3"/>
        <v>0</v>
      </c>
      <c r="M83" s="11">
        <f>Settings!$B$4+SUM(L$2:L83)</f>
        <v>221.36294236810679</v>
      </c>
    </row>
    <row r="84" spans="10:13" x14ac:dyDescent="0.35">
      <c r="J84" s="16" t="str">
        <f t="shared" si="2"/>
        <v/>
      </c>
      <c r="L84" s="11">
        <f t="shared" si="3"/>
        <v>0</v>
      </c>
      <c r="M84" s="11">
        <f>Settings!$B$4+SUM(L$2:L84)</f>
        <v>221.36294236810679</v>
      </c>
    </row>
    <row r="85" spans="10:13" x14ac:dyDescent="0.35">
      <c r="J85" s="16" t="str">
        <f t="shared" si="2"/>
        <v/>
      </c>
      <c r="L85" s="11">
        <f t="shared" si="3"/>
        <v>0</v>
      </c>
      <c r="M85" s="11">
        <f>Settings!$B$4+SUM(L$2:L85)</f>
        <v>221.36294236810679</v>
      </c>
    </row>
    <row r="86" spans="10:13" x14ac:dyDescent="0.35">
      <c r="J86" s="16" t="str">
        <f t="shared" si="2"/>
        <v/>
      </c>
      <c r="L86" s="11">
        <f t="shared" si="3"/>
        <v>0</v>
      </c>
      <c r="M86" s="11">
        <f>Settings!$B$4+SUM(L$2:L86)</f>
        <v>221.36294236810679</v>
      </c>
    </row>
    <row r="87" spans="10:13" x14ac:dyDescent="0.35">
      <c r="J87" s="16" t="str">
        <f t="shared" si="2"/>
        <v/>
      </c>
      <c r="L87" s="11">
        <f t="shared" si="3"/>
        <v>0</v>
      </c>
      <c r="M87" s="11">
        <f>Settings!$B$4+SUM(L$2:L87)</f>
        <v>221.36294236810679</v>
      </c>
    </row>
    <row r="88" spans="10:13" x14ac:dyDescent="0.35">
      <c r="J88" s="16" t="str">
        <f t="shared" si="2"/>
        <v/>
      </c>
      <c r="L88" s="11">
        <f t="shared" si="3"/>
        <v>0</v>
      </c>
      <c r="M88" s="11">
        <f>Settings!$B$4+SUM(L$2:L88)</f>
        <v>221.36294236810679</v>
      </c>
    </row>
    <row r="89" spans="10:13" x14ac:dyDescent="0.35">
      <c r="J89" s="16" t="str">
        <f t="shared" si="2"/>
        <v/>
      </c>
      <c r="L89" s="11">
        <f t="shared" si="3"/>
        <v>0</v>
      </c>
      <c r="M89" s="11">
        <f>Settings!$B$4+SUM(L$2:L89)</f>
        <v>221.36294236810679</v>
      </c>
    </row>
    <row r="90" spans="10:13" x14ac:dyDescent="0.35">
      <c r="J90" s="16" t="str">
        <f t="shared" si="2"/>
        <v/>
      </c>
      <c r="L90" s="11">
        <f t="shared" si="3"/>
        <v>0</v>
      </c>
      <c r="M90" s="11">
        <f>Settings!$B$4+SUM(L$2:L90)</f>
        <v>221.36294236810679</v>
      </c>
    </row>
    <row r="91" spans="10:13" x14ac:dyDescent="0.35">
      <c r="J91" s="16" t="str">
        <f t="shared" si="2"/>
        <v/>
      </c>
      <c r="L91" s="11">
        <f t="shared" si="3"/>
        <v>0</v>
      </c>
      <c r="M91" s="11">
        <f>Settings!$B$4+SUM(L$2:L91)</f>
        <v>221.36294236810679</v>
      </c>
    </row>
    <row r="92" spans="10:13" x14ac:dyDescent="0.35">
      <c r="J92" s="16" t="str">
        <f t="shared" si="2"/>
        <v/>
      </c>
      <c r="L92" s="11">
        <f t="shared" si="3"/>
        <v>0</v>
      </c>
      <c r="M92" s="11">
        <f>Settings!$B$4+SUM(L$2:L92)</f>
        <v>221.36294236810679</v>
      </c>
    </row>
    <row r="93" spans="10:13" x14ac:dyDescent="0.35">
      <c r="J93" s="16" t="str">
        <f t="shared" si="2"/>
        <v/>
      </c>
      <c r="L93" s="11">
        <f t="shared" si="3"/>
        <v>0</v>
      </c>
      <c r="M93" s="11">
        <f>Settings!$B$4+SUM(L$2:L93)</f>
        <v>221.36294236810679</v>
      </c>
    </row>
    <row r="94" spans="10:13" x14ac:dyDescent="0.35">
      <c r="J94" s="16" t="str">
        <f t="shared" si="2"/>
        <v/>
      </c>
      <c r="L94" s="11">
        <f t="shared" si="3"/>
        <v>0</v>
      </c>
      <c r="M94" s="11">
        <f>Settings!$B$4+SUM(L$2:L94)</f>
        <v>221.36294236810679</v>
      </c>
    </row>
    <row r="95" spans="10:13" x14ac:dyDescent="0.35">
      <c r="J95" s="16" t="str">
        <f t="shared" si="2"/>
        <v/>
      </c>
      <c r="L95" s="11">
        <f t="shared" si="3"/>
        <v>0</v>
      </c>
      <c r="M95" s="11">
        <f>Settings!$B$4+SUM(L$2:L95)</f>
        <v>221.36294236810679</v>
      </c>
    </row>
    <row r="96" spans="10:13" x14ac:dyDescent="0.35">
      <c r="J96" s="16" t="str">
        <f t="shared" si="2"/>
        <v/>
      </c>
      <c r="L96" s="11">
        <f t="shared" si="3"/>
        <v>0</v>
      </c>
      <c r="M96" s="11">
        <f>Settings!$B$4+SUM(L$2:L96)</f>
        <v>221.36294236810679</v>
      </c>
    </row>
    <row r="97" spans="10:13" x14ac:dyDescent="0.35">
      <c r="J97" s="16" t="str">
        <f t="shared" si="2"/>
        <v/>
      </c>
      <c r="L97" s="11">
        <f t="shared" si="3"/>
        <v>0</v>
      </c>
      <c r="M97" s="11">
        <f>Settings!$B$4+SUM(L$2:L97)</f>
        <v>221.36294236810679</v>
      </c>
    </row>
    <row r="98" spans="10:13" x14ac:dyDescent="0.35">
      <c r="J98" s="16" t="str">
        <f t="shared" si="2"/>
        <v/>
      </c>
      <c r="L98" s="11">
        <f t="shared" si="3"/>
        <v>0</v>
      </c>
      <c r="M98" s="11">
        <f>Settings!$B$4+SUM(L$2:L98)</f>
        <v>221.36294236810679</v>
      </c>
    </row>
    <row r="99" spans="10:13" x14ac:dyDescent="0.35">
      <c r="J99" s="16" t="str">
        <f t="shared" si="2"/>
        <v/>
      </c>
      <c r="L99" s="11">
        <f t="shared" si="3"/>
        <v>0</v>
      </c>
      <c r="M99" s="11">
        <f>Settings!$B$4+SUM(L$2:L99)</f>
        <v>221.36294236810679</v>
      </c>
    </row>
    <row r="100" spans="10:13" x14ac:dyDescent="0.35">
      <c r="J100" s="16" t="str">
        <f t="shared" si="2"/>
        <v/>
      </c>
      <c r="L100" s="11">
        <f t="shared" si="3"/>
        <v>0</v>
      </c>
      <c r="M100" s="11">
        <f>Settings!$B$4+SUM(L$2:L100)</f>
        <v>221.36294236810679</v>
      </c>
    </row>
    <row r="101" spans="10:13" x14ac:dyDescent="0.35">
      <c r="J101" s="16" t="str">
        <f t="shared" si="2"/>
        <v/>
      </c>
      <c r="L101" s="11">
        <f t="shared" si="3"/>
        <v>0</v>
      </c>
      <c r="M101" s="11">
        <f>Settings!$B$4+SUM(L$2:L101)</f>
        <v>221.36294236810679</v>
      </c>
    </row>
    <row r="102" spans="10:13" x14ac:dyDescent="0.35">
      <c r="J102" s="16" t="str">
        <f t="shared" si="2"/>
        <v/>
      </c>
      <c r="L102" s="11">
        <f t="shared" si="3"/>
        <v>0</v>
      </c>
      <c r="M102" s="11">
        <f>Settings!$B$4+SUM(L$2:L102)</f>
        <v>221.36294236810679</v>
      </c>
    </row>
    <row r="103" spans="10:13" x14ac:dyDescent="0.35">
      <c r="J103" s="16" t="str">
        <f t="shared" si="2"/>
        <v/>
      </c>
      <c r="L103" s="11">
        <f t="shared" si="3"/>
        <v>0</v>
      </c>
      <c r="M103" s="11">
        <f>Settings!$B$4+SUM(L$2:L103)</f>
        <v>221.36294236810679</v>
      </c>
    </row>
    <row r="104" spans="10:13" x14ac:dyDescent="0.35">
      <c r="J104" s="16" t="str">
        <f t="shared" si="2"/>
        <v/>
      </c>
      <c r="L104" s="11">
        <f t="shared" si="3"/>
        <v>0</v>
      </c>
      <c r="M104" s="11">
        <f>Settings!$B$4+SUM(L$2:L104)</f>
        <v>221.36294236810679</v>
      </c>
    </row>
    <row r="105" spans="10:13" x14ac:dyDescent="0.35">
      <c r="J105" s="16" t="str">
        <f t="shared" si="2"/>
        <v/>
      </c>
      <c r="L105" s="11">
        <f t="shared" si="3"/>
        <v>0</v>
      </c>
      <c r="M105" s="11">
        <f>Settings!$B$4+SUM(L$2:L105)</f>
        <v>221.36294236810679</v>
      </c>
    </row>
    <row r="106" spans="10:13" x14ac:dyDescent="0.35">
      <c r="J106" s="16" t="str">
        <f t="shared" si="2"/>
        <v/>
      </c>
      <c r="L106" s="11">
        <f t="shared" si="3"/>
        <v>0</v>
      </c>
      <c r="M106" s="11">
        <f>Settings!$B$4+SUM(L$2:L106)</f>
        <v>221.36294236810679</v>
      </c>
    </row>
    <row r="107" spans="10:13" x14ac:dyDescent="0.35">
      <c r="J107" s="16" t="str">
        <f t="shared" si="2"/>
        <v/>
      </c>
      <c r="L107" s="11">
        <f t="shared" si="3"/>
        <v>0</v>
      </c>
      <c r="M107" s="11">
        <f>Settings!$B$4+SUM(L$2:L107)</f>
        <v>221.36294236810679</v>
      </c>
    </row>
    <row r="108" spans="10:13" x14ac:dyDescent="0.35">
      <c r="J108" s="16" t="str">
        <f t="shared" si="2"/>
        <v/>
      </c>
      <c r="L108" s="11">
        <f t="shared" si="3"/>
        <v>0</v>
      </c>
      <c r="M108" s="11">
        <f>Settings!$B$4+SUM(L$2:L108)</f>
        <v>221.36294236810679</v>
      </c>
    </row>
    <row r="109" spans="10:13" x14ac:dyDescent="0.35">
      <c r="J109" s="16" t="str">
        <f t="shared" si="2"/>
        <v/>
      </c>
      <c r="L109" s="11">
        <f t="shared" si="3"/>
        <v>0</v>
      </c>
      <c r="M109" s="11">
        <f>Settings!$B$4+SUM(L$2:L109)</f>
        <v>221.36294236810679</v>
      </c>
    </row>
    <row r="110" spans="10:13" x14ac:dyDescent="0.35">
      <c r="J110" s="16" t="str">
        <f t="shared" si="2"/>
        <v/>
      </c>
      <c r="L110" s="11">
        <f t="shared" si="3"/>
        <v>0</v>
      </c>
      <c r="M110" s="11">
        <f>Settings!$B$4+SUM(L$2:L110)</f>
        <v>221.36294236810679</v>
      </c>
    </row>
    <row r="111" spans="10:13" x14ac:dyDescent="0.35">
      <c r="J111" s="16" t="str">
        <f t="shared" si="2"/>
        <v/>
      </c>
      <c r="L111" s="11">
        <f t="shared" si="3"/>
        <v>0</v>
      </c>
      <c r="M111" s="11">
        <f>Settings!$B$4+SUM(L$2:L111)</f>
        <v>221.36294236810679</v>
      </c>
    </row>
    <row r="112" spans="10:13" x14ac:dyDescent="0.35">
      <c r="J112" s="16" t="str">
        <f t="shared" si="2"/>
        <v/>
      </c>
      <c r="L112" s="11">
        <f t="shared" si="3"/>
        <v>0</v>
      </c>
      <c r="M112" s="11">
        <f>Settings!$B$4+SUM(L$2:L112)</f>
        <v>221.36294236810679</v>
      </c>
    </row>
    <row r="113" spans="10:13" x14ac:dyDescent="0.35">
      <c r="J113" s="16" t="str">
        <f t="shared" si="2"/>
        <v/>
      </c>
      <c r="L113" s="11">
        <f t="shared" si="3"/>
        <v>0</v>
      </c>
      <c r="M113" s="11">
        <f>Settings!$B$4+SUM(L$2:L113)</f>
        <v>221.36294236810679</v>
      </c>
    </row>
    <row r="114" spans="10:13" x14ac:dyDescent="0.35">
      <c r="J114" s="16" t="str">
        <f t="shared" si="2"/>
        <v/>
      </c>
      <c r="L114" s="11">
        <f t="shared" si="3"/>
        <v>0</v>
      </c>
      <c r="M114" s="11">
        <f>Settings!$B$4+SUM(L$2:L114)</f>
        <v>221.36294236810679</v>
      </c>
    </row>
    <row r="115" spans="10:13" x14ac:dyDescent="0.35">
      <c r="J115" s="16" t="str">
        <f t="shared" si="2"/>
        <v/>
      </c>
      <c r="L115" s="11">
        <f t="shared" si="3"/>
        <v>0</v>
      </c>
      <c r="M115" s="11">
        <f>Settings!$B$4+SUM(L$2:L115)</f>
        <v>221.36294236810679</v>
      </c>
    </row>
    <row r="116" spans="10:13" x14ac:dyDescent="0.35">
      <c r="J116" s="16" t="str">
        <f t="shared" si="2"/>
        <v/>
      </c>
      <c r="L116" s="11">
        <f t="shared" si="3"/>
        <v>0</v>
      </c>
      <c r="M116" s="11">
        <f>Settings!$B$4+SUM(L$2:L116)</f>
        <v>221.36294236810679</v>
      </c>
    </row>
    <row r="117" spans="10:13" x14ac:dyDescent="0.35">
      <c r="J117" s="16" t="str">
        <f t="shared" si="2"/>
        <v/>
      </c>
      <c r="L117" s="11">
        <f t="shared" si="3"/>
        <v>0</v>
      </c>
      <c r="M117" s="11">
        <f>Settings!$B$4+SUM(L$2:L117)</f>
        <v>221.36294236810679</v>
      </c>
    </row>
    <row r="118" spans="10:13" x14ac:dyDescent="0.35">
      <c r="J118" s="16" t="str">
        <f t="shared" si="2"/>
        <v/>
      </c>
      <c r="L118" s="11">
        <f t="shared" si="3"/>
        <v>0</v>
      </c>
      <c r="M118" s="11">
        <f>Settings!$B$4+SUM(L$2:L118)</f>
        <v>221.36294236810679</v>
      </c>
    </row>
    <row r="119" spans="10:13" x14ac:dyDescent="0.35">
      <c r="J119" s="16" t="str">
        <f t="shared" si="2"/>
        <v/>
      </c>
      <c r="L119" s="11">
        <f t="shared" si="3"/>
        <v>0</v>
      </c>
      <c r="M119" s="11">
        <f>Settings!$B$4+SUM(L$2:L119)</f>
        <v>221.36294236810679</v>
      </c>
    </row>
    <row r="120" spans="10:13" x14ac:dyDescent="0.35">
      <c r="J120" s="16" t="str">
        <f t="shared" si="2"/>
        <v/>
      </c>
      <c r="L120" s="11">
        <f t="shared" si="3"/>
        <v>0</v>
      </c>
      <c r="M120" s="11">
        <f>Settings!$B$4+SUM(L$2:L120)</f>
        <v>221.36294236810679</v>
      </c>
    </row>
    <row r="121" spans="10:13" x14ac:dyDescent="0.35">
      <c r="J121" s="16" t="str">
        <f t="shared" si="2"/>
        <v/>
      </c>
      <c r="L121" s="11">
        <f t="shared" si="3"/>
        <v>0</v>
      </c>
      <c r="M121" s="11">
        <f>Settings!$B$4+SUM(L$2:L121)</f>
        <v>221.36294236810679</v>
      </c>
    </row>
    <row r="122" spans="10:13" x14ac:dyDescent="0.35">
      <c r="J122" s="16" t="str">
        <f t="shared" si="2"/>
        <v/>
      </c>
      <c r="L122" s="11">
        <f t="shared" si="3"/>
        <v>0</v>
      </c>
      <c r="M122" s="11">
        <f>Settings!$B$4+SUM(L$2:L122)</f>
        <v>221.36294236810679</v>
      </c>
    </row>
    <row r="123" spans="10:13" x14ac:dyDescent="0.35">
      <c r="J123" s="16" t="str">
        <f t="shared" si="2"/>
        <v/>
      </c>
      <c r="L123" s="11">
        <f t="shared" si="3"/>
        <v>0</v>
      </c>
      <c r="M123" s="11">
        <f>Settings!$B$4+SUM(L$2:L123)</f>
        <v>221.36294236810679</v>
      </c>
    </row>
    <row r="124" spans="10:13" x14ac:dyDescent="0.35">
      <c r="J124" s="16" t="str">
        <f t="shared" si="2"/>
        <v/>
      </c>
      <c r="L124" s="11">
        <f t="shared" si="3"/>
        <v>0</v>
      </c>
      <c r="M124" s="11">
        <f>Settings!$B$4+SUM(L$2:L124)</f>
        <v>221.36294236810679</v>
      </c>
    </row>
    <row r="125" spans="10:13" x14ac:dyDescent="0.35">
      <c r="J125" s="16" t="str">
        <f t="shared" si="2"/>
        <v/>
      </c>
      <c r="L125" s="11">
        <f t="shared" si="3"/>
        <v>0</v>
      </c>
      <c r="M125" s="11">
        <f>Settings!$B$4+SUM(L$2:L125)</f>
        <v>221.36294236810679</v>
      </c>
    </row>
    <row r="126" spans="10:13" x14ac:dyDescent="0.35">
      <c r="J126" s="16" t="str">
        <f t="shared" si="2"/>
        <v/>
      </c>
      <c r="L126" s="11">
        <f t="shared" si="3"/>
        <v>0</v>
      </c>
      <c r="M126" s="11">
        <f>Settings!$B$4+SUM(L$2:L126)</f>
        <v>221.36294236810679</v>
      </c>
    </row>
    <row r="127" spans="10:13" x14ac:dyDescent="0.35">
      <c r="J127" s="16" t="str">
        <f t="shared" si="2"/>
        <v/>
      </c>
      <c r="L127" s="11">
        <f t="shared" si="3"/>
        <v>0</v>
      </c>
      <c r="M127" s="11">
        <f>Settings!$B$4+SUM(L$2:L127)</f>
        <v>221.36294236810679</v>
      </c>
    </row>
    <row r="128" spans="10:13" x14ac:dyDescent="0.35">
      <c r="J128" s="16" t="str">
        <f t="shared" si="2"/>
        <v/>
      </c>
      <c r="L128" s="11">
        <f t="shared" si="3"/>
        <v>0</v>
      </c>
      <c r="M128" s="11">
        <f>Settings!$B$4+SUM(L$2:L128)</f>
        <v>221.36294236810679</v>
      </c>
    </row>
    <row r="129" spans="10:13" x14ac:dyDescent="0.35">
      <c r="J129" s="16" t="str">
        <f t="shared" si="2"/>
        <v/>
      </c>
      <c r="L129" s="11">
        <f t="shared" si="3"/>
        <v>0</v>
      </c>
      <c r="M129" s="11">
        <f>Settings!$B$4+SUM(L$2:L129)</f>
        <v>221.36294236810679</v>
      </c>
    </row>
    <row r="130" spans="10:13" x14ac:dyDescent="0.35">
      <c r="J130" s="16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221.36294236810679</v>
      </c>
    </row>
    <row r="131" spans="10:13" x14ac:dyDescent="0.35">
      <c r="J131" s="16" t="str">
        <f t="shared" si="4"/>
        <v/>
      </c>
      <c r="L131" s="11">
        <f t="shared" si="5"/>
        <v>0</v>
      </c>
      <c r="M131" s="11">
        <f>Settings!$B$4+SUM(L$2:L131)</f>
        <v>221.36294236810679</v>
      </c>
    </row>
    <row r="132" spans="10:13" x14ac:dyDescent="0.35">
      <c r="J132" s="16" t="str">
        <f t="shared" si="4"/>
        <v/>
      </c>
      <c r="L132" s="11">
        <f t="shared" si="5"/>
        <v>0</v>
      </c>
      <c r="M132" s="11">
        <f>Settings!$B$4+SUM(L$2:L132)</f>
        <v>221.36294236810679</v>
      </c>
    </row>
    <row r="133" spans="10:13" x14ac:dyDescent="0.35">
      <c r="J133" s="16" t="str">
        <f t="shared" si="4"/>
        <v/>
      </c>
      <c r="L133" s="11">
        <f t="shared" si="5"/>
        <v>0</v>
      </c>
      <c r="M133" s="11">
        <f>Settings!$B$4+SUM(L$2:L133)</f>
        <v>221.36294236810679</v>
      </c>
    </row>
    <row r="134" spans="10:13" x14ac:dyDescent="0.35">
      <c r="J134" s="16" t="str">
        <f t="shared" si="4"/>
        <v/>
      </c>
      <c r="L134" s="11">
        <f t="shared" si="5"/>
        <v>0</v>
      </c>
      <c r="M134" s="11">
        <f>Settings!$B$4+SUM(L$2:L134)</f>
        <v>221.36294236810679</v>
      </c>
    </row>
    <row r="135" spans="10:13" x14ac:dyDescent="0.35">
      <c r="J135" s="16" t="str">
        <f t="shared" si="4"/>
        <v/>
      </c>
      <c r="L135" s="11">
        <f t="shared" si="5"/>
        <v>0</v>
      </c>
      <c r="M135" s="11">
        <f>Settings!$B$4+SUM(L$2:L135)</f>
        <v>221.36294236810679</v>
      </c>
    </row>
    <row r="136" spans="10:13" x14ac:dyDescent="0.35">
      <c r="J136" s="16" t="str">
        <f t="shared" si="4"/>
        <v/>
      </c>
      <c r="L136" s="11">
        <f t="shared" si="5"/>
        <v>0</v>
      </c>
      <c r="M136" s="11">
        <f>Settings!$B$4+SUM(L$2:L136)</f>
        <v>221.36294236810679</v>
      </c>
    </row>
    <row r="137" spans="10:13" x14ac:dyDescent="0.35">
      <c r="J137" s="16" t="str">
        <f t="shared" si="4"/>
        <v/>
      </c>
      <c r="L137" s="11">
        <f t="shared" si="5"/>
        <v>0</v>
      </c>
      <c r="M137" s="11">
        <f>Settings!$B$4+SUM(L$2:L137)</f>
        <v>221.36294236810679</v>
      </c>
    </row>
    <row r="138" spans="10:13" x14ac:dyDescent="0.35">
      <c r="J138" s="16" t="str">
        <f t="shared" si="4"/>
        <v/>
      </c>
      <c r="L138" s="11">
        <f t="shared" si="5"/>
        <v>0</v>
      </c>
      <c r="M138" s="11">
        <f>Settings!$B$4+SUM(L$2:L138)</f>
        <v>221.36294236810679</v>
      </c>
    </row>
    <row r="139" spans="10:13" x14ac:dyDescent="0.35">
      <c r="J139" s="16" t="str">
        <f t="shared" si="4"/>
        <v/>
      </c>
      <c r="L139" s="11">
        <f t="shared" si="5"/>
        <v>0</v>
      </c>
      <c r="M139" s="11">
        <f>Settings!$B$4+SUM(L$2:L139)</f>
        <v>221.36294236810679</v>
      </c>
    </row>
    <row r="140" spans="10:13" x14ac:dyDescent="0.35">
      <c r="J140" s="16" t="str">
        <f t="shared" si="4"/>
        <v/>
      </c>
      <c r="L140" s="11">
        <f t="shared" si="5"/>
        <v>0</v>
      </c>
      <c r="M140" s="11">
        <f>Settings!$B$4+SUM(L$2:L140)</f>
        <v>221.36294236810679</v>
      </c>
    </row>
    <row r="141" spans="10:13" x14ac:dyDescent="0.35">
      <c r="J141" s="16" t="str">
        <f t="shared" si="4"/>
        <v/>
      </c>
      <c r="L141" s="11">
        <f t="shared" si="5"/>
        <v>0</v>
      </c>
      <c r="M141" s="11">
        <f>Settings!$B$4+SUM(L$2:L141)</f>
        <v>221.36294236810679</v>
      </c>
    </row>
    <row r="142" spans="10:13" x14ac:dyDescent="0.35">
      <c r="J142" s="16" t="str">
        <f t="shared" si="4"/>
        <v/>
      </c>
      <c r="L142" s="11">
        <f t="shared" si="5"/>
        <v>0</v>
      </c>
      <c r="M142" s="11">
        <f>Settings!$B$4+SUM(L$2:L142)</f>
        <v>221.36294236810679</v>
      </c>
    </row>
    <row r="143" spans="10:13" x14ac:dyDescent="0.35">
      <c r="J143" s="16" t="str">
        <f t="shared" si="4"/>
        <v/>
      </c>
      <c r="L143" s="11">
        <f t="shared" si="5"/>
        <v>0</v>
      </c>
      <c r="M143" s="11">
        <f>Settings!$B$4+SUM(L$2:L143)</f>
        <v>221.36294236810679</v>
      </c>
    </row>
    <row r="144" spans="10:13" x14ac:dyDescent="0.35">
      <c r="J144" s="16" t="str">
        <f t="shared" si="4"/>
        <v/>
      </c>
      <c r="L144" s="11">
        <f t="shared" si="5"/>
        <v>0</v>
      </c>
      <c r="M144" s="11">
        <f>Settings!$B$4+SUM(L$2:L144)</f>
        <v>221.36294236810679</v>
      </c>
    </row>
    <row r="145" spans="10:13" x14ac:dyDescent="0.35">
      <c r="J145" s="16" t="str">
        <f t="shared" si="4"/>
        <v/>
      </c>
      <c r="L145" s="11">
        <f t="shared" si="5"/>
        <v>0</v>
      </c>
      <c r="M145" s="11">
        <f>Settings!$B$4+SUM(L$2:L145)</f>
        <v>221.36294236810679</v>
      </c>
    </row>
    <row r="146" spans="10:13" x14ac:dyDescent="0.35">
      <c r="J146" s="16" t="str">
        <f t="shared" si="4"/>
        <v/>
      </c>
      <c r="L146" s="11">
        <f t="shared" si="5"/>
        <v>0</v>
      </c>
      <c r="M146" s="11">
        <f>Settings!$B$4+SUM(L$2:L146)</f>
        <v>221.36294236810679</v>
      </c>
    </row>
    <row r="147" spans="10:13" x14ac:dyDescent="0.35">
      <c r="J147" s="16" t="str">
        <f t="shared" si="4"/>
        <v/>
      </c>
      <c r="L147" s="11">
        <f t="shared" si="5"/>
        <v>0</v>
      </c>
      <c r="M147" s="11">
        <f>Settings!$B$4+SUM(L$2:L147)</f>
        <v>221.36294236810679</v>
      </c>
    </row>
    <row r="148" spans="10:13" x14ac:dyDescent="0.35">
      <c r="J148" s="16" t="str">
        <f t="shared" si="4"/>
        <v/>
      </c>
      <c r="L148" s="11">
        <f t="shared" si="5"/>
        <v>0</v>
      </c>
      <c r="M148" s="11">
        <f>Settings!$B$4+SUM(L$2:L148)</f>
        <v>221.36294236810679</v>
      </c>
    </row>
    <row r="149" spans="10:13" x14ac:dyDescent="0.35">
      <c r="J149" s="16" t="str">
        <f t="shared" si="4"/>
        <v/>
      </c>
      <c r="L149" s="11">
        <f t="shared" si="5"/>
        <v>0</v>
      </c>
      <c r="M149" s="11">
        <f>Settings!$B$4+SUM(L$2:L149)</f>
        <v>221.36294236810679</v>
      </c>
    </row>
    <row r="150" spans="10:13" x14ac:dyDescent="0.35">
      <c r="J150" s="16" t="str">
        <f t="shared" si="4"/>
        <v/>
      </c>
      <c r="L150" s="11">
        <f t="shared" si="5"/>
        <v>0</v>
      </c>
      <c r="M150" s="11">
        <f>Settings!$B$4+SUM(L$2:L150)</f>
        <v>221.36294236810679</v>
      </c>
    </row>
    <row r="151" spans="10:13" x14ac:dyDescent="0.35">
      <c r="J151" s="16" t="str">
        <f t="shared" si="4"/>
        <v/>
      </c>
      <c r="L151" s="11">
        <f t="shared" si="5"/>
        <v>0</v>
      </c>
      <c r="M151" s="11">
        <f>Settings!$B$4+SUM(L$2:L151)</f>
        <v>221.36294236810679</v>
      </c>
    </row>
    <row r="152" spans="10:13" x14ac:dyDescent="0.35">
      <c r="J152" s="16" t="str">
        <f t="shared" si="4"/>
        <v/>
      </c>
      <c r="L152" s="11">
        <f t="shared" si="5"/>
        <v>0</v>
      </c>
      <c r="M152" s="11">
        <f>Settings!$B$4+SUM(L$2:L152)</f>
        <v>221.36294236810679</v>
      </c>
    </row>
    <row r="153" spans="10:13" x14ac:dyDescent="0.35">
      <c r="J153" s="16" t="str">
        <f t="shared" si="4"/>
        <v/>
      </c>
      <c r="L153" s="11">
        <f t="shared" si="5"/>
        <v>0</v>
      </c>
      <c r="M153" s="11">
        <f>Settings!$B$4+SUM(L$2:L153)</f>
        <v>221.36294236810679</v>
      </c>
    </row>
    <row r="154" spans="10:13" x14ac:dyDescent="0.35">
      <c r="J154" s="16" t="str">
        <f t="shared" si="4"/>
        <v/>
      </c>
      <c r="L154" s="11">
        <f t="shared" si="5"/>
        <v>0</v>
      </c>
      <c r="M154" s="11">
        <f>Settings!$B$4+SUM(L$2:L154)</f>
        <v>221.36294236810679</v>
      </c>
    </row>
    <row r="155" spans="10:13" x14ac:dyDescent="0.35">
      <c r="J155" s="16" t="str">
        <f t="shared" si="4"/>
        <v/>
      </c>
      <c r="L155" s="11">
        <f t="shared" si="5"/>
        <v>0</v>
      </c>
      <c r="M155" s="11">
        <f>Settings!$B$4+SUM(L$2:L155)</f>
        <v>221.36294236810679</v>
      </c>
    </row>
    <row r="156" spans="10:13" x14ac:dyDescent="0.35">
      <c r="J156" s="16" t="str">
        <f t="shared" si="4"/>
        <v/>
      </c>
      <c r="L156" s="11">
        <f t="shared" si="5"/>
        <v>0</v>
      </c>
      <c r="M156" s="11">
        <f>Settings!$B$4+SUM(L$2:L156)</f>
        <v>221.36294236810679</v>
      </c>
    </row>
    <row r="157" spans="10:13" x14ac:dyDescent="0.35">
      <c r="J157" s="16" t="str">
        <f t="shared" si="4"/>
        <v/>
      </c>
      <c r="L157" s="11">
        <f t="shared" si="5"/>
        <v>0</v>
      </c>
      <c r="M157" s="11">
        <f>Settings!$B$4+SUM(L$2:L157)</f>
        <v>221.36294236810679</v>
      </c>
    </row>
    <row r="158" spans="10:13" x14ac:dyDescent="0.35">
      <c r="J158" s="16" t="str">
        <f t="shared" si="4"/>
        <v/>
      </c>
      <c r="L158" s="11">
        <f t="shared" si="5"/>
        <v>0</v>
      </c>
      <c r="M158" s="11">
        <f>Settings!$B$4+SUM(L$2:L158)</f>
        <v>221.36294236810679</v>
      </c>
    </row>
    <row r="159" spans="10:13" x14ac:dyDescent="0.35">
      <c r="J159" s="16" t="str">
        <f t="shared" si="4"/>
        <v/>
      </c>
      <c r="L159" s="11">
        <f t="shared" si="5"/>
        <v>0</v>
      </c>
      <c r="M159" s="11">
        <f>Settings!$B$4+SUM(L$2:L159)</f>
        <v>221.36294236810679</v>
      </c>
    </row>
    <row r="160" spans="10:13" x14ac:dyDescent="0.35">
      <c r="J160" s="16" t="str">
        <f t="shared" si="4"/>
        <v/>
      </c>
      <c r="L160" s="11">
        <f t="shared" si="5"/>
        <v>0</v>
      </c>
      <c r="M160" s="11">
        <f>Settings!$B$4+SUM(L$2:L160)</f>
        <v>221.36294236810679</v>
      </c>
    </row>
    <row r="161" spans="10:13" x14ac:dyDescent="0.35">
      <c r="J161" s="16" t="str">
        <f t="shared" si="4"/>
        <v/>
      </c>
      <c r="L161" s="11">
        <f t="shared" si="5"/>
        <v>0</v>
      </c>
      <c r="M161" s="11">
        <f>Settings!$B$4+SUM(L$2:L161)</f>
        <v>221.36294236810679</v>
      </c>
    </row>
    <row r="162" spans="10:13" x14ac:dyDescent="0.35">
      <c r="J162" s="16" t="str">
        <f t="shared" si="4"/>
        <v/>
      </c>
      <c r="L162" s="11">
        <f t="shared" si="5"/>
        <v>0</v>
      </c>
      <c r="M162" s="11">
        <f>Settings!$B$4+SUM(L$2:L162)</f>
        <v>221.36294236810679</v>
      </c>
    </row>
    <row r="163" spans="10:13" x14ac:dyDescent="0.35">
      <c r="J163" s="16" t="str">
        <f t="shared" si="4"/>
        <v/>
      </c>
      <c r="L163" s="11">
        <f t="shared" si="5"/>
        <v>0</v>
      </c>
      <c r="M163" s="11">
        <f>Settings!$B$4+SUM(L$2:L163)</f>
        <v>221.36294236810679</v>
      </c>
    </row>
    <row r="164" spans="10:13" x14ac:dyDescent="0.35">
      <c r="J164" s="16" t="str">
        <f t="shared" si="4"/>
        <v/>
      </c>
      <c r="L164" s="20">
        <f t="shared" si="5"/>
        <v>0</v>
      </c>
      <c r="M164" s="20">
        <f>Settings!$B$4+SUM(L$2:L164)</f>
        <v>221.36294236810679</v>
      </c>
    </row>
    <row r="165" spans="10:13" x14ac:dyDescent="0.35">
      <c r="J165" s="16" t="str">
        <f t="shared" si="4"/>
        <v/>
      </c>
      <c r="L165" s="20">
        <f t="shared" si="5"/>
        <v>0</v>
      </c>
      <c r="M165" s="20">
        <f>Settings!$B$4+SUM(L$2:L165)</f>
        <v>221.36294236810679</v>
      </c>
    </row>
    <row r="166" spans="10:13" x14ac:dyDescent="0.35">
      <c r="J166" s="16" t="str">
        <f t="shared" si="4"/>
        <v/>
      </c>
      <c r="L166" s="20">
        <f t="shared" si="5"/>
        <v>0</v>
      </c>
      <c r="M166" s="20">
        <f>Settings!$B$4+SUM(L$2:L166)</f>
        <v>221.36294236810679</v>
      </c>
    </row>
    <row r="167" spans="10:13" x14ac:dyDescent="0.35">
      <c r="J167" s="16" t="str">
        <f t="shared" si="4"/>
        <v/>
      </c>
      <c r="L167" s="20">
        <f t="shared" si="5"/>
        <v>0</v>
      </c>
      <c r="M167" s="20">
        <f>Settings!$B$4+SUM(L$2:L167)</f>
        <v>221.36294236810679</v>
      </c>
    </row>
    <row r="168" spans="10:13" x14ac:dyDescent="0.35">
      <c r="J168" s="16" t="str">
        <f t="shared" si="4"/>
        <v/>
      </c>
      <c r="L168" s="20">
        <f t="shared" si="5"/>
        <v>0</v>
      </c>
      <c r="M168" s="20">
        <f>Settings!$B$4+SUM(L$2:L168)</f>
        <v>221.36294236810679</v>
      </c>
    </row>
    <row r="169" spans="10:13" x14ac:dyDescent="0.35">
      <c r="J169" s="16" t="str">
        <f t="shared" si="4"/>
        <v/>
      </c>
      <c r="L169" s="20">
        <f t="shared" si="5"/>
        <v>0</v>
      </c>
      <c r="M169" s="20">
        <f>Settings!$B$4+SUM(L$2:L169)</f>
        <v>221.36294236810679</v>
      </c>
    </row>
    <row r="170" spans="10:13" x14ac:dyDescent="0.35">
      <c r="J170" s="16" t="str">
        <f t="shared" si="4"/>
        <v/>
      </c>
      <c r="L170" s="20">
        <f t="shared" si="5"/>
        <v>0</v>
      </c>
      <c r="M170" s="20">
        <f>Settings!$B$4+SUM(L$2:L170)</f>
        <v>221.36294236810679</v>
      </c>
    </row>
    <row r="171" spans="10:13" x14ac:dyDescent="0.35">
      <c r="J171" s="16" t="str">
        <f t="shared" si="4"/>
        <v/>
      </c>
      <c r="L171" s="20">
        <f t="shared" si="5"/>
        <v>0</v>
      </c>
      <c r="M171" s="20">
        <f>Settings!$B$4+SUM(L$2:L171)</f>
        <v>221.36294236810679</v>
      </c>
    </row>
    <row r="172" spans="10:13" x14ac:dyDescent="0.35">
      <c r="J172" s="16" t="str">
        <f t="shared" si="4"/>
        <v/>
      </c>
      <c r="L172" s="20">
        <f t="shared" si="5"/>
        <v>0</v>
      </c>
      <c r="M172" s="20">
        <f>Settings!$B$4+SUM(L$2:L172)</f>
        <v>221.36294236810679</v>
      </c>
    </row>
    <row r="173" spans="10:13" x14ac:dyDescent="0.35">
      <c r="J173" s="16" t="str">
        <f t="shared" si="4"/>
        <v/>
      </c>
      <c r="L173" s="20">
        <f t="shared" si="5"/>
        <v>0</v>
      </c>
      <c r="M173" s="20">
        <f>Settings!$B$4+SUM(L$2:L173)</f>
        <v>221.36294236810679</v>
      </c>
    </row>
    <row r="174" spans="10:13" x14ac:dyDescent="0.35">
      <c r="J174" s="16" t="str">
        <f t="shared" si="4"/>
        <v/>
      </c>
      <c r="L174" s="20">
        <f t="shared" si="5"/>
        <v>0</v>
      </c>
      <c r="M174" s="20">
        <f>Settings!$B$4+SUM(L$2:L174)</f>
        <v>221.36294236810679</v>
      </c>
    </row>
    <row r="175" spans="10:13" x14ac:dyDescent="0.35">
      <c r="J175" s="16" t="str">
        <f t="shared" si="4"/>
        <v/>
      </c>
      <c r="L175" s="20">
        <f t="shared" si="5"/>
        <v>0</v>
      </c>
      <c r="M175" s="20">
        <f>Settings!$B$4+SUM(L$2:L175)</f>
        <v>221.36294236810679</v>
      </c>
    </row>
    <row r="176" spans="10:13" x14ac:dyDescent="0.35">
      <c r="J176" s="16" t="str">
        <f t="shared" si="4"/>
        <v/>
      </c>
      <c r="L176" s="20">
        <f t="shared" si="5"/>
        <v>0</v>
      </c>
      <c r="M176" s="20">
        <f>Settings!$B$4+SUM(L$2:L176)</f>
        <v>221.36294236810679</v>
      </c>
    </row>
    <row r="177" spans="10:13" x14ac:dyDescent="0.35">
      <c r="J177" s="16" t="str">
        <f t="shared" si="4"/>
        <v/>
      </c>
      <c r="L177" s="20">
        <f t="shared" si="5"/>
        <v>0</v>
      </c>
      <c r="M177" s="20">
        <f>Settings!$B$4+SUM(L$2:L177)</f>
        <v>221.36294236810679</v>
      </c>
    </row>
    <row r="178" spans="10:13" x14ac:dyDescent="0.35">
      <c r="J178" s="16" t="str">
        <f t="shared" si="4"/>
        <v/>
      </c>
      <c r="L178" s="20">
        <f t="shared" si="5"/>
        <v>0</v>
      </c>
      <c r="M178" s="20">
        <f>Settings!$B$4+SUM(L$2:L178)</f>
        <v>221.36294236810679</v>
      </c>
    </row>
    <row r="179" spans="10:13" x14ac:dyDescent="0.35">
      <c r="J179" s="16" t="str">
        <f t="shared" si="4"/>
        <v/>
      </c>
      <c r="L179" s="20">
        <f t="shared" si="5"/>
        <v>0</v>
      </c>
      <c r="M179" s="20">
        <f>Settings!$B$4+SUM(L$2:L179)</f>
        <v>221.36294236810679</v>
      </c>
    </row>
    <row r="180" spans="10:13" x14ac:dyDescent="0.35">
      <c r="J180" s="16" t="str">
        <f t="shared" si="4"/>
        <v/>
      </c>
      <c r="L180" s="20">
        <f t="shared" si="5"/>
        <v>0</v>
      </c>
      <c r="M180" s="20">
        <f>Settings!$B$4+SUM(L$2:L180)</f>
        <v>221.36294236810679</v>
      </c>
    </row>
    <row r="181" spans="10:13" x14ac:dyDescent="0.35">
      <c r="J181" s="16" t="str">
        <f t="shared" si="4"/>
        <v/>
      </c>
      <c r="L181" s="20">
        <f t="shared" si="5"/>
        <v>0</v>
      </c>
      <c r="M181" s="20">
        <f>Settings!$B$4+SUM(L$2:L181)</f>
        <v>221.36294236810679</v>
      </c>
    </row>
    <row r="182" spans="10:13" x14ac:dyDescent="0.35">
      <c r="J182" s="16" t="str">
        <f t="shared" si="4"/>
        <v/>
      </c>
      <c r="L182" s="20">
        <f t="shared" si="5"/>
        <v>0</v>
      </c>
      <c r="M182" s="20">
        <f>Settings!$B$4+SUM(L$2:L182)</f>
        <v>221.36294236810679</v>
      </c>
    </row>
    <row r="183" spans="10:13" x14ac:dyDescent="0.35">
      <c r="J183" s="16" t="str">
        <f t="shared" si="4"/>
        <v/>
      </c>
      <c r="L183" s="20">
        <f t="shared" si="5"/>
        <v>0</v>
      </c>
      <c r="M183" s="20">
        <f>Settings!$B$4+SUM(L$2:L183)</f>
        <v>221.36294236810679</v>
      </c>
    </row>
    <row r="184" spans="10:13" x14ac:dyDescent="0.35">
      <c r="J184" s="16" t="str">
        <f t="shared" si="4"/>
        <v/>
      </c>
      <c r="L184" s="20">
        <f t="shared" si="5"/>
        <v>0</v>
      </c>
      <c r="M184" s="20">
        <f>Settings!$B$4+SUM(L$2:L184)</f>
        <v>221.36294236810679</v>
      </c>
    </row>
    <row r="185" spans="10:13" x14ac:dyDescent="0.35">
      <c r="J185" s="16" t="str">
        <f t="shared" si="4"/>
        <v/>
      </c>
      <c r="L185" s="20">
        <f t="shared" si="5"/>
        <v>0</v>
      </c>
      <c r="M185" s="20">
        <f>Settings!$B$4+SUM(L$2:L185)</f>
        <v>221.36294236810679</v>
      </c>
    </row>
    <row r="186" spans="10:13" x14ac:dyDescent="0.35">
      <c r="J186" s="16" t="str">
        <f t="shared" si="4"/>
        <v/>
      </c>
      <c r="L186" s="20">
        <f t="shared" si="5"/>
        <v>0</v>
      </c>
      <c r="M186" s="20">
        <f>Settings!$B$4+SUM(L$2:L186)</f>
        <v>221.36294236810679</v>
      </c>
    </row>
    <row r="187" spans="10:13" x14ac:dyDescent="0.35">
      <c r="J187" s="16" t="str">
        <f t="shared" si="4"/>
        <v/>
      </c>
      <c r="L187" s="20">
        <f t="shared" si="5"/>
        <v>0</v>
      </c>
      <c r="M187" s="20">
        <f>Settings!$B$4+SUM(L$2:L187)</f>
        <v>221.36294236810679</v>
      </c>
    </row>
    <row r="188" spans="10:13" x14ac:dyDescent="0.35">
      <c r="J188" s="16" t="str">
        <f t="shared" si="4"/>
        <v/>
      </c>
      <c r="L188" s="20">
        <f t="shared" si="5"/>
        <v>0</v>
      </c>
      <c r="M188" s="20">
        <f>Settings!$B$4+SUM(L$2:L188)</f>
        <v>221.36294236810679</v>
      </c>
    </row>
    <row r="189" spans="10:13" x14ac:dyDescent="0.35">
      <c r="J189" s="16" t="str">
        <f t="shared" si="4"/>
        <v/>
      </c>
      <c r="L189" s="20">
        <f t="shared" si="5"/>
        <v>0</v>
      </c>
      <c r="M189" s="20">
        <f>Settings!$B$4+SUM(L$2:L189)</f>
        <v>221.36294236810679</v>
      </c>
    </row>
    <row r="190" spans="10:13" x14ac:dyDescent="0.35">
      <c r="J190" s="16" t="str">
        <f t="shared" si="4"/>
        <v/>
      </c>
      <c r="L190" s="20">
        <f t="shared" si="5"/>
        <v>0</v>
      </c>
      <c r="M190" s="20">
        <f>Settings!$B$4+SUM(L$2:L190)</f>
        <v>221.36294236810679</v>
      </c>
    </row>
    <row r="191" spans="10:13" x14ac:dyDescent="0.35">
      <c r="J191" s="16" t="str">
        <f t="shared" si="4"/>
        <v/>
      </c>
      <c r="L191" s="20">
        <f t="shared" si="5"/>
        <v>0</v>
      </c>
      <c r="M191" s="20">
        <f>Settings!$B$4+SUM(L$2:L191)</f>
        <v>221.36294236810679</v>
      </c>
    </row>
    <row r="192" spans="10:13" x14ac:dyDescent="0.35">
      <c r="J192" s="16" t="str">
        <f t="shared" si="4"/>
        <v/>
      </c>
      <c r="L192" s="20">
        <f t="shared" si="5"/>
        <v>0</v>
      </c>
      <c r="M192" s="20">
        <f>Settings!$B$4+SUM(L$2:L192)</f>
        <v>221.36294236810679</v>
      </c>
    </row>
    <row r="193" spans="10:13" x14ac:dyDescent="0.35">
      <c r="J193" s="16" t="str">
        <f t="shared" si="4"/>
        <v/>
      </c>
      <c r="L193" s="20">
        <f t="shared" si="5"/>
        <v>0</v>
      </c>
      <c r="M193" s="20">
        <f>Settings!$B$4+SUM(L$2:L193)</f>
        <v>221.36294236810679</v>
      </c>
    </row>
    <row r="194" spans="10:13" x14ac:dyDescent="0.35">
      <c r="J194" s="16" t="str">
        <f t="shared" ref="J194:J257" si="6">IF(I194="","",I194-F194)</f>
        <v/>
      </c>
      <c r="L194" s="20">
        <f t="shared" ref="L194:L257" si="7">IF(K194="W",IF(G194&lt;0,H194*100/ABS(G194),H194*G194/100),IF(K194="L",-H194,0))</f>
        <v>0</v>
      </c>
      <c r="M194" s="20">
        <f>Settings!$B$4+SUM(L$2:L194)</f>
        <v>221.36294236810679</v>
      </c>
    </row>
    <row r="195" spans="10:13" x14ac:dyDescent="0.35">
      <c r="J195" s="16" t="str">
        <f t="shared" si="6"/>
        <v/>
      </c>
      <c r="L195" s="20">
        <f t="shared" si="7"/>
        <v>0</v>
      </c>
      <c r="M195" s="20">
        <f>Settings!$B$4+SUM(L$2:L195)</f>
        <v>221.36294236810679</v>
      </c>
    </row>
    <row r="196" spans="10:13" x14ac:dyDescent="0.35">
      <c r="J196" s="16" t="str">
        <f t="shared" si="6"/>
        <v/>
      </c>
      <c r="L196" s="20">
        <f t="shared" si="7"/>
        <v>0</v>
      </c>
      <c r="M196" s="20">
        <f>Settings!$B$4+SUM(L$2:L196)</f>
        <v>221.36294236810679</v>
      </c>
    </row>
    <row r="197" spans="10:13" x14ac:dyDescent="0.35">
      <c r="J197" s="16" t="str">
        <f t="shared" si="6"/>
        <v/>
      </c>
      <c r="L197" s="20">
        <f t="shared" si="7"/>
        <v>0</v>
      </c>
      <c r="M197" s="20">
        <f>Settings!$B$4+SUM(L$2:L197)</f>
        <v>221.36294236810679</v>
      </c>
    </row>
    <row r="198" spans="10:13" x14ac:dyDescent="0.35">
      <c r="J198" s="16" t="str">
        <f t="shared" si="6"/>
        <v/>
      </c>
      <c r="L198" s="20">
        <f t="shared" si="7"/>
        <v>0</v>
      </c>
      <c r="M198" s="20">
        <f>Settings!$B$4+SUM(L$2:L198)</f>
        <v>221.36294236810679</v>
      </c>
    </row>
    <row r="199" spans="10:13" x14ac:dyDescent="0.35">
      <c r="J199" s="16" t="str">
        <f t="shared" si="6"/>
        <v/>
      </c>
      <c r="L199" s="20">
        <f t="shared" si="7"/>
        <v>0</v>
      </c>
      <c r="M199" s="20">
        <f>Settings!$B$4+SUM(L$2:L199)</f>
        <v>221.36294236810679</v>
      </c>
    </row>
    <row r="200" spans="10:13" x14ac:dyDescent="0.35">
      <c r="J200" s="16" t="str">
        <f t="shared" si="6"/>
        <v/>
      </c>
      <c r="L200" s="20">
        <f t="shared" si="7"/>
        <v>0</v>
      </c>
      <c r="M200" s="20">
        <f>Settings!$B$4+SUM(L$2:L200)</f>
        <v>221.36294236810679</v>
      </c>
    </row>
    <row r="201" spans="10:13" x14ac:dyDescent="0.35">
      <c r="J201" s="16" t="str">
        <f t="shared" si="6"/>
        <v/>
      </c>
      <c r="L201" s="20">
        <f t="shared" si="7"/>
        <v>0</v>
      </c>
      <c r="M201" s="20">
        <f>Settings!$B$4+SUM(L$2:L201)</f>
        <v>221.36294236810679</v>
      </c>
    </row>
    <row r="202" spans="10:13" x14ac:dyDescent="0.35">
      <c r="J202" s="16" t="str">
        <f t="shared" si="6"/>
        <v/>
      </c>
      <c r="L202" s="20">
        <f t="shared" si="7"/>
        <v>0</v>
      </c>
      <c r="M202" s="20">
        <f>Settings!$B$4+SUM(L$2:L202)</f>
        <v>221.36294236810679</v>
      </c>
    </row>
    <row r="203" spans="10:13" x14ac:dyDescent="0.35">
      <c r="J203" s="16" t="str">
        <f t="shared" si="6"/>
        <v/>
      </c>
      <c r="L203" s="20">
        <f t="shared" si="7"/>
        <v>0</v>
      </c>
      <c r="M203" s="20">
        <f>Settings!$B$4+SUM(L$2:L203)</f>
        <v>221.36294236810679</v>
      </c>
    </row>
    <row r="204" spans="10:13" x14ac:dyDescent="0.35">
      <c r="J204" s="16" t="str">
        <f t="shared" si="6"/>
        <v/>
      </c>
      <c r="L204" s="20">
        <f t="shared" si="7"/>
        <v>0</v>
      </c>
      <c r="M204" s="20">
        <f>Settings!$B$4+SUM(L$2:L204)</f>
        <v>221.36294236810679</v>
      </c>
    </row>
    <row r="205" spans="10:13" x14ac:dyDescent="0.35">
      <c r="J205" s="16" t="str">
        <f t="shared" si="6"/>
        <v/>
      </c>
      <c r="L205" s="20">
        <f t="shared" si="7"/>
        <v>0</v>
      </c>
      <c r="M205" s="20">
        <f>Settings!$B$4+SUM(L$2:L205)</f>
        <v>221.36294236810679</v>
      </c>
    </row>
    <row r="206" spans="10:13" x14ac:dyDescent="0.35">
      <c r="J206" s="16" t="str">
        <f t="shared" si="6"/>
        <v/>
      </c>
      <c r="L206" s="20">
        <f t="shared" si="7"/>
        <v>0</v>
      </c>
      <c r="M206" s="20">
        <f>Settings!$B$4+SUM(L$2:L206)</f>
        <v>221.36294236810679</v>
      </c>
    </row>
    <row r="207" spans="10:13" x14ac:dyDescent="0.35">
      <c r="J207" s="16" t="str">
        <f t="shared" si="6"/>
        <v/>
      </c>
      <c r="L207" s="20">
        <f t="shared" si="7"/>
        <v>0</v>
      </c>
      <c r="M207" s="20">
        <f>Settings!$B$4+SUM(L$2:L207)</f>
        <v>221.36294236810679</v>
      </c>
    </row>
    <row r="208" spans="10:13" x14ac:dyDescent="0.35">
      <c r="J208" s="16" t="str">
        <f t="shared" si="6"/>
        <v/>
      </c>
      <c r="L208" s="20">
        <f t="shared" si="7"/>
        <v>0</v>
      </c>
      <c r="M208" s="20">
        <f>Settings!$B$4+SUM(L$2:L208)</f>
        <v>221.36294236810679</v>
      </c>
    </row>
    <row r="209" spans="10:13" x14ac:dyDescent="0.35">
      <c r="J209" s="16" t="str">
        <f t="shared" si="6"/>
        <v/>
      </c>
      <c r="L209" s="20">
        <f t="shared" si="7"/>
        <v>0</v>
      </c>
      <c r="M209" s="20">
        <f>Settings!$B$4+SUM(L$2:L209)</f>
        <v>221.36294236810679</v>
      </c>
    </row>
    <row r="210" spans="10:13" x14ac:dyDescent="0.35">
      <c r="J210" s="16" t="str">
        <f t="shared" si="6"/>
        <v/>
      </c>
      <c r="L210" s="20">
        <f t="shared" si="7"/>
        <v>0</v>
      </c>
      <c r="M210" s="20">
        <f>Settings!$B$4+SUM(L$2:L210)</f>
        <v>221.36294236810679</v>
      </c>
    </row>
    <row r="211" spans="10:13" x14ac:dyDescent="0.35">
      <c r="J211" s="16" t="str">
        <f t="shared" si="6"/>
        <v/>
      </c>
      <c r="L211" s="20">
        <f t="shared" si="7"/>
        <v>0</v>
      </c>
      <c r="M211" s="20">
        <f>Settings!$B$4+SUM(L$2:L211)</f>
        <v>221.36294236810679</v>
      </c>
    </row>
    <row r="212" spans="10:13" x14ac:dyDescent="0.35">
      <c r="J212" s="16" t="str">
        <f t="shared" si="6"/>
        <v/>
      </c>
      <c r="L212" s="20">
        <f t="shared" si="7"/>
        <v>0</v>
      </c>
      <c r="M212" s="20">
        <f>Settings!$B$4+SUM(L$2:L212)</f>
        <v>221.36294236810679</v>
      </c>
    </row>
    <row r="213" spans="10:13" x14ac:dyDescent="0.35">
      <c r="J213" s="16" t="str">
        <f t="shared" si="6"/>
        <v/>
      </c>
      <c r="L213" s="20">
        <f t="shared" si="7"/>
        <v>0</v>
      </c>
      <c r="M213" s="20">
        <f>Settings!$B$4+SUM(L$2:L213)</f>
        <v>221.36294236810679</v>
      </c>
    </row>
    <row r="214" spans="10:13" x14ac:dyDescent="0.35">
      <c r="J214" s="16" t="str">
        <f t="shared" si="6"/>
        <v/>
      </c>
      <c r="L214" s="20">
        <f t="shared" si="7"/>
        <v>0</v>
      </c>
      <c r="M214" s="20">
        <f>Settings!$B$4+SUM(L$2:L214)</f>
        <v>221.36294236810679</v>
      </c>
    </row>
    <row r="215" spans="10:13" x14ac:dyDescent="0.35">
      <c r="J215" s="16" t="str">
        <f t="shared" si="6"/>
        <v/>
      </c>
      <c r="L215" s="20">
        <f t="shared" si="7"/>
        <v>0</v>
      </c>
      <c r="M215" s="20">
        <f>Settings!$B$4+SUM(L$2:L215)</f>
        <v>221.36294236810679</v>
      </c>
    </row>
    <row r="216" spans="10:13" x14ac:dyDescent="0.35">
      <c r="J216" s="16" t="str">
        <f t="shared" si="6"/>
        <v/>
      </c>
      <c r="L216" s="20">
        <f t="shared" si="7"/>
        <v>0</v>
      </c>
      <c r="M216" s="20">
        <f>Settings!$B$4+SUM(L$2:L216)</f>
        <v>221.36294236810679</v>
      </c>
    </row>
    <row r="217" spans="10:13" x14ac:dyDescent="0.35">
      <c r="J217" s="16" t="str">
        <f t="shared" si="6"/>
        <v/>
      </c>
      <c r="L217" s="20">
        <f t="shared" si="7"/>
        <v>0</v>
      </c>
      <c r="M217" s="20">
        <f>Settings!$B$4+SUM(L$2:L217)</f>
        <v>221.36294236810679</v>
      </c>
    </row>
    <row r="218" spans="10:13" x14ac:dyDescent="0.35">
      <c r="J218" s="16" t="str">
        <f t="shared" si="6"/>
        <v/>
      </c>
      <c r="L218" s="20">
        <f t="shared" si="7"/>
        <v>0</v>
      </c>
      <c r="M218" s="20">
        <f>Settings!$B$4+SUM(L$2:L218)</f>
        <v>221.36294236810679</v>
      </c>
    </row>
    <row r="219" spans="10:13" x14ac:dyDescent="0.35">
      <c r="J219" s="16" t="str">
        <f t="shared" si="6"/>
        <v/>
      </c>
      <c r="L219" s="20">
        <f t="shared" si="7"/>
        <v>0</v>
      </c>
      <c r="M219" s="20">
        <f>Settings!$B$4+SUM(L$2:L219)</f>
        <v>221.36294236810679</v>
      </c>
    </row>
    <row r="220" spans="10:13" x14ac:dyDescent="0.35">
      <c r="J220" s="16" t="str">
        <f t="shared" si="6"/>
        <v/>
      </c>
      <c r="L220" s="20">
        <f t="shared" si="7"/>
        <v>0</v>
      </c>
      <c r="M220" s="20">
        <f>Settings!$B$4+SUM(L$2:L220)</f>
        <v>221.36294236810679</v>
      </c>
    </row>
    <row r="221" spans="10:13" x14ac:dyDescent="0.35">
      <c r="J221" s="16" t="str">
        <f t="shared" si="6"/>
        <v/>
      </c>
      <c r="L221" s="20">
        <f t="shared" si="7"/>
        <v>0</v>
      </c>
      <c r="M221" s="20">
        <f>Settings!$B$4+SUM(L$2:L221)</f>
        <v>221.36294236810679</v>
      </c>
    </row>
    <row r="222" spans="10:13" x14ac:dyDescent="0.35">
      <c r="J222" s="16" t="str">
        <f t="shared" si="6"/>
        <v/>
      </c>
      <c r="L222" s="20">
        <f t="shared" si="7"/>
        <v>0</v>
      </c>
      <c r="M222" s="20">
        <f>Settings!$B$4+SUM(L$2:L222)</f>
        <v>221.36294236810679</v>
      </c>
    </row>
    <row r="223" spans="10:13" x14ac:dyDescent="0.35">
      <c r="J223" s="16" t="str">
        <f t="shared" si="6"/>
        <v/>
      </c>
      <c r="L223" s="20">
        <f t="shared" si="7"/>
        <v>0</v>
      </c>
      <c r="M223" s="20">
        <f>Settings!$B$4+SUM(L$2:L223)</f>
        <v>221.36294236810679</v>
      </c>
    </row>
    <row r="224" spans="10:13" x14ac:dyDescent="0.35">
      <c r="J224" s="16" t="str">
        <f t="shared" si="6"/>
        <v/>
      </c>
      <c r="L224" s="20">
        <f t="shared" si="7"/>
        <v>0</v>
      </c>
      <c r="M224" s="20">
        <f>Settings!$B$4+SUM(L$2:L224)</f>
        <v>221.36294236810679</v>
      </c>
    </row>
    <row r="225" spans="10:13" x14ac:dyDescent="0.35">
      <c r="J225" s="16" t="str">
        <f t="shared" si="6"/>
        <v/>
      </c>
      <c r="L225" s="20">
        <f t="shared" si="7"/>
        <v>0</v>
      </c>
      <c r="M225" s="20">
        <f>Settings!$B$4+SUM(L$2:L225)</f>
        <v>221.36294236810679</v>
      </c>
    </row>
    <row r="226" spans="10:13" x14ac:dyDescent="0.35">
      <c r="J226" s="16" t="str">
        <f t="shared" si="6"/>
        <v/>
      </c>
      <c r="L226" s="20">
        <f t="shared" si="7"/>
        <v>0</v>
      </c>
      <c r="M226" s="20">
        <f>Settings!$B$4+SUM(L$2:L226)</f>
        <v>221.36294236810679</v>
      </c>
    </row>
    <row r="227" spans="10:13" x14ac:dyDescent="0.35">
      <c r="J227" s="16" t="str">
        <f t="shared" si="6"/>
        <v/>
      </c>
      <c r="L227" s="20">
        <f t="shared" si="7"/>
        <v>0</v>
      </c>
      <c r="M227" s="20">
        <f>Settings!$B$4+SUM(L$2:L227)</f>
        <v>221.36294236810679</v>
      </c>
    </row>
    <row r="228" spans="10:13" x14ac:dyDescent="0.35">
      <c r="J228" s="16" t="str">
        <f t="shared" si="6"/>
        <v/>
      </c>
      <c r="L228" s="20">
        <f t="shared" si="7"/>
        <v>0</v>
      </c>
      <c r="M228" s="20">
        <f>Settings!$B$4+SUM(L$2:L228)</f>
        <v>221.36294236810679</v>
      </c>
    </row>
    <row r="229" spans="10:13" x14ac:dyDescent="0.35">
      <c r="J229" s="16" t="str">
        <f t="shared" si="6"/>
        <v/>
      </c>
      <c r="L229" s="20">
        <f t="shared" si="7"/>
        <v>0</v>
      </c>
      <c r="M229" s="20">
        <f>Settings!$B$4+SUM(L$2:L229)</f>
        <v>221.36294236810679</v>
      </c>
    </row>
    <row r="230" spans="10:13" x14ac:dyDescent="0.35">
      <c r="J230" s="16" t="str">
        <f t="shared" si="6"/>
        <v/>
      </c>
      <c r="L230" s="20">
        <f t="shared" si="7"/>
        <v>0</v>
      </c>
      <c r="M230" s="20">
        <f>Settings!$B$4+SUM(L$2:L230)</f>
        <v>221.36294236810679</v>
      </c>
    </row>
    <row r="231" spans="10:13" x14ac:dyDescent="0.35">
      <c r="J231" s="16" t="str">
        <f t="shared" si="6"/>
        <v/>
      </c>
      <c r="L231" s="20">
        <f t="shared" si="7"/>
        <v>0</v>
      </c>
      <c r="M231" s="20">
        <f>Settings!$B$4+SUM(L$2:L231)</f>
        <v>221.36294236810679</v>
      </c>
    </row>
    <row r="232" spans="10:13" x14ac:dyDescent="0.35">
      <c r="J232" s="16" t="str">
        <f t="shared" si="6"/>
        <v/>
      </c>
      <c r="L232" s="20">
        <f t="shared" si="7"/>
        <v>0</v>
      </c>
      <c r="M232" s="20">
        <f>Settings!$B$4+SUM(L$2:L232)</f>
        <v>221.36294236810679</v>
      </c>
    </row>
    <row r="233" spans="10:13" x14ac:dyDescent="0.35">
      <c r="J233" s="16" t="str">
        <f t="shared" si="6"/>
        <v/>
      </c>
      <c r="L233" s="20">
        <f t="shared" si="7"/>
        <v>0</v>
      </c>
      <c r="M233" s="20">
        <f>Settings!$B$4+SUM(L$2:L233)</f>
        <v>221.36294236810679</v>
      </c>
    </row>
    <row r="234" spans="10:13" x14ac:dyDescent="0.35">
      <c r="J234" s="16" t="str">
        <f t="shared" si="6"/>
        <v/>
      </c>
      <c r="L234" s="20">
        <f t="shared" si="7"/>
        <v>0</v>
      </c>
      <c r="M234" s="20">
        <f>Settings!$B$4+SUM(L$2:L234)</f>
        <v>221.36294236810679</v>
      </c>
    </row>
    <row r="235" spans="10:13" x14ac:dyDescent="0.35">
      <c r="J235" s="16" t="str">
        <f t="shared" si="6"/>
        <v/>
      </c>
      <c r="L235" s="20">
        <f t="shared" si="7"/>
        <v>0</v>
      </c>
      <c r="M235" s="20">
        <f>Settings!$B$4+SUM(L$2:L235)</f>
        <v>221.36294236810679</v>
      </c>
    </row>
    <row r="236" spans="10:13" x14ac:dyDescent="0.35">
      <c r="J236" s="16" t="str">
        <f t="shared" si="6"/>
        <v/>
      </c>
      <c r="L236" s="20">
        <f t="shared" si="7"/>
        <v>0</v>
      </c>
      <c r="M236" s="20">
        <f>Settings!$B$4+SUM(L$2:L236)</f>
        <v>221.36294236810679</v>
      </c>
    </row>
    <row r="237" spans="10:13" x14ac:dyDescent="0.35">
      <c r="J237" s="16" t="str">
        <f t="shared" si="6"/>
        <v/>
      </c>
      <c r="L237" s="20">
        <f t="shared" si="7"/>
        <v>0</v>
      </c>
      <c r="M237" s="20">
        <f>Settings!$B$4+SUM(L$2:L237)</f>
        <v>221.36294236810679</v>
      </c>
    </row>
    <row r="238" spans="10:13" x14ac:dyDescent="0.35">
      <c r="J238" s="16" t="str">
        <f t="shared" si="6"/>
        <v/>
      </c>
      <c r="L238" s="20">
        <f t="shared" si="7"/>
        <v>0</v>
      </c>
      <c r="M238" s="20">
        <f>Settings!$B$4+SUM(L$2:L238)</f>
        <v>221.36294236810679</v>
      </c>
    </row>
    <row r="239" spans="10:13" x14ac:dyDescent="0.35">
      <c r="J239" s="16" t="str">
        <f t="shared" si="6"/>
        <v/>
      </c>
      <c r="L239" s="20">
        <f t="shared" si="7"/>
        <v>0</v>
      </c>
      <c r="M239" s="20">
        <f>Settings!$B$4+SUM(L$2:L239)</f>
        <v>221.36294236810679</v>
      </c>
    </row>
    <row r="240" spans="10:13" x14ac:dyDescent="0.35">
      <c r="J240" s="16" t="str">
        <f t="shared" si="6"/>
        <v/>
      </c>
      <c r="L240" s="20">
        <f t="shared" si="7"/>
        <v>0</v>
      </c>
      <c r="M240" s="20">
        <f>Settings!$B$4+SUM(L$2:L240)</f>
        <v>221.36294236810679</v>
      </c>
    </row>
    <row r="241" spans="10:13" x14ac:dyDescent="0.35">
      <c r="J241" s="16" t="str">
        <f t="shared" si="6"/>
        <v/>
      </c>
      <c r="L241" s="20">
        <f t="shared" si="7"/>
        <v>0</v>
      </c>
      <c r="M241" s="20">
        <f>Settings!$B$4+SUM(L$2:L241)</f>
        <v>221.36294236810679</v>
      </c>
    </row>
    <row r="242" spans="10:13" x14ac:dyDescent="0.35">
      <c r="J242" s="16" t="str">
        <f t="shared" si="6"/>
        <v/>
      </c>
      <c r="L242" s="20">
        <f t="shared" si="7"/>
        <v>0</v>
      </c>
      <c r="M242" s="20">
        <f>Settings!$B$4+SUM(L$2:L242)</f>
        <v>221.36294236810679</v>
      </c>
    </row>
    <row r="243" spans="10:13" x14ac:dyDescent="0.35">
      <c r="J243" s="16" t="str">
        <f t="shared" si="6"/>
        <v/>
      </c>
      <c r="L243" s="20">
        <f t="shared" si="7"/>
        <v>0</v>
      </c>
      <c r="M243" s="20">
        <f>Settings!$B$4+SUM(L$2:L243)</f>
        <v>221.36294236810679</v>
      </c>
    </row>
    <row r="244" spans="10:13" x14ac:dyDescent="0.35">
      <c r="J244" s="16" t="str">
        <f t="shared" si="6"/>
        <v/>
      </c>
      <c r="L244" s="20">
        <f t="shared" si="7"/>
        <v>0</v>
      </c>
      <c r="M244" s="20">
        <f>Settings!$B$4+SUM(L$2:L244)</f>
        <v>221.36294236810679</v>
      </c>
    </row>
    <row r="245" spans="10:13" x14ac:dyDescent="0.35">
      <c r="J245" s="16" t="str">
        <f t="shared" si="6"/>
        <v/>
      </c>
      <c r="L245" s="20">
        <f t="shared" si="7"/>
        <v>0</v>
      </c>
      <c r="M245" s="20">
        <f>Settings!$B$4+SUM(L$2:L245)</f>
        <v>221.36294236810679</v>
      </c>
    </row>
    <row r="246" spans="10:13" x14ac:dyDescent="0.35">
      <c r="J246" s="16" t="str">
        <f t="shared" si="6"/>
        <v/>
      </c>
      <c r="L246" s="20">
        <f t="shared" si="7"/>
        <v>0</v>
      </c>
      <c r="M246" s="20">
        <f>Settings!$B$4+SUM(L$2:L246)</f>
        <v>221.36294236810679</v>
      </c>
    </row>
    <row r="247" spans="10:13" x14ac:dyDescent="0.35">
      <c r="J247" s="16" t="str">
        <f t="shared" si="6"/>
        <v/>
      </c>
      <c r="L247" s="20">
        <f t="shared" si="7"/>
        <v>0</v>
      </c>
      <c r="M247" s="20">
        <f>Settings!$B$4+SUM(L$2:L247)</f>
        <v>221.36294236810679</v>
      </c>
    </row>
    <row r="248" spans="10:13" x14ac:dyDescent="0.35">
      <c r="J248" s="16" t="str">
        <f t="shared" si="6"/>
        <v/>
      </c>
      <c r="L248" s="20">
        <f t="shared" si="7"/>
        <v>0</v>
      </c>
      <c r="M248" s="20">
        <f>Settings!$B$4+SUM(L$2:L248)</f>
        <v>221.36294236810679</v>
      </c>
    </row>
    <row r="249" spans="10:13" x14ac:dyDescent="0.35">
      <c r="J249" s="16" t="str">
        <f t="shared" si="6"/>
        <v/>
      </c>
      <c r="L249" s="20">
        <f t="shared" si="7"/>
        <v>0</v>
      </c>
      <c r="M249" s="20">
        <f>Settings!$B$4+SUM(L$2:L249)</f>
        <v>221.36294236810679</v>
      </c>
    </row>
    <row r="250" spans="10:13" x14ac:dyDescent="0.35">
      <c r="J250" s="16" t="str">
        <f t="shared" si="6"/>
        <v/>
      </c>
      <c r="L250" s="20">
        <f t="shared" si="7"/>
        <v>0</v>
      </c>
      <c r="M250" s="20">
        <f>Settings!$B$4+SUM(L$2:L250)</f>
        <v>221.36294236810679</v>
      </c>
    </row>
    <row r="251" spans="10:13" x14ac:dyDescent="0.35">
      <c r="J251" s="16" t="str">
        <f t="shared" si="6"/>
        <v/>
      </c>
      <c r="L251" s="20">
        <f t="shared" si="7"/>
        <v>0</v>
      </c>
      <c r="M251" s="20">
        <f>Settings!$B$4+SUM(L$2:L251)</f>
        <v>221.36294236810679</v>
      </c>
    </row>
    <row r="252" spans="10:13" x14ac:dyDescent="0.35">
      <c r="J252" s="16" t="str">
        <f t="shared" si="6"/>
        <v/>
      </c>
      <c r="L252" s="20">
        <f t="shared" si="7"/>
        <v>0</v>
      </c>
      <c r="M252" s="20">
        <f>Settings!$B$4+SUM(L$2:L252)</f>
        <v>221.36294236810679</v>
      </c>
    </row>
    <row r="253" spans="10:13" x14ac:dyDescent="0.35">
      <c r="J253" s="16" t="str">
        <f t="shared" si="6"/>
        <v/>
      </c>
      <c r="L253" s="20">
        <f t="shared" si="7"/>
        <v>0</v>
      </c>
      <c r="M253" s="20">
        <f>Settings!$B$4+SUM(L$2:L253)</f>
        <v>221.36294236810679</v>
      </c>
    </row>
    <row r="254" spans="10:13" x14ac:dyDescent="0.35">
      <c r="J254" s="16" t="str">
        <f t="shared" si="6"/>
        <v/>
      </c>
      <c r="L254" s="20">
        <f t="shared" si="7"/>
        <v>0</v>
      </c>
      <c r="M254" s="20">
        <f>Settings!$B$4+SUM(L$2:L254)</f>
        <v>221.36294236810679</v>
      </c>
    </row>
    <row r="255" spans="10:13" x14ac:dyDescent="0.35">
      <c r="J255" s="16" t="str">
        <f t="shared" si="6"/>
        <v/>
      </c>
      <c r="L255" s="20">
        <f t="shared" si="7"/>
        <v>0</v>
      </c>
      <c r="M255" s="20">
        <f>Settings!$B$4+SUM(L$2:L255)</f>
        <v>221.36294236810679</v>
      </c>
    </row>
    <row r="256" spans="10:13" x14ac:dyDescent="0.35">
      <c r="J256" s="16" t="str">
        <f t="shared" si="6"/>
        <v/>
      </c>
      <c r="L256" s="20">
        <f t="shared" si="7"/>
        <v>0</v>
      </c>
      <c r="M256" s="20">
        <f>Settings!$B$4+SUM(L$2:L256)</f>
        <v>221.36294236810679</v>
      </c>
    </row>
    <row r="257" spans="10:13" x14ac:dyDescent="0.35">
      <c r="J257" s="16" t="str">
        <f t="shared" si="6"/>
        <v/>
      </c>
      <c r="L257" s="20">
        <f t="shared" si="7"/>
        <v>0</v>
      </c>
      <c r="M257" s="20">
        <f>Settings!$B$4+SUM(L$2:L257)</f>
        <v>221.36294236810679</v>
      </c>
    </row>
    <row r="258" spans="10:13" x14ac:dyDescent="0.35">
      <c r="J258" s="16" t="str">
        <f t="shared" ref="J258:J321" si="8">IF(I258="","",I258-F258)</f>
        <v/>
      </c>
      <c r="L258" s="20">
        <f t="shared" ref="L258:L321" si="9">IF(K258="W",IF(G258&lt;0,H258*100/ABS(G258),H258*G258/100),IF(K258="L",-H258,0))</f>
        <v>0</v>
      </c>
      <c r="M258" s="20">
        <f>Settings!$B$4+SUM(L$2:L258)</f>
        <v>221.36294236810679</v>
      </c>
    </row>
    <row r="259" spans="10:13" x14ac:dyDescent="0.35">
      <c r="J259" s="16" t="str">
        <f t="shared" si="8"/>
        <v/>
      </c>
      <c r="L259" s="20">
        <f t="shared" si="9"/>
        <v>0</v>
      </c>
      <c r="M259" s="20">
        <f>Settings!$B$4+SUM(L$2:L259)</f>
        <v>221.36294236810679</v>
      </c>
    </row>
    <row r="260" spans="10:13" x14ac:dyDescent="0.35">
      <c r="J260" s="16" t="str">
        <f t="shared" si="8"/>
        <v/>
      </c>
      <c r="L260" s="20">
        <f t="shared" si="9"/>
        <v>0</v>
      </c>
      <c r="M260" s="20">
        <f>Settings!$B$4+SUM(L$2:L260)</f>
        <v>221.36294236810679</v>
      </c>
    </row>
    <row r="261" spans="10:13" x14ac:dyDescent="0.35">
      <c r="J261" s="16" t="str">
        <f t="shared" si="8"/>
        <v/>
      </c>
      <c r="L261" s="20">
        <f t="shared" si="9"/>
        <v>0</v>
      </c>
      <c r="M261" s="20">
        <f>Settings!$B$4+SUM(L$2:L261)</f>
        <v>221.36294236810679</v>
      </c>
    </row>
    <row r="262" spans="10:13" x14ac:dyDescent="0.35">
      <c r="J262" s="16" t="str">
        <f t="shared" si="8"/>
        <v/>
      </c>
      <c r="L262" s="20">
        <f t="shared" si="9"/>
        <v>0</v>
      </c>
      <c r="M262" s="20">
        <f>Settings!$B$4+SUM(L$2:L262)</f>
        <v>221.36294236810679</v>
      </c>
    </row>
    <row r="263" spans="10:13" x14ac:dyDescent="0.35">
      <c r="J263" s="16" t="str">
        <f t="shared" si="8"/>
        <v/>
      </c>
      <c r="L263" s="20">
        <f t="shared" si="9"/>
        <v>0</v>
      </c>
      <c r="M263" s="20">
        <f>Settings!$B$4+SUM(L$2:L263)</f>
        <v>221.36294236810679</v>
      </c>
    </row>
    <row r="264" spans="10:13" x14ac:dyDescent="0.35">
      <c r="J264" s="16" t="str">
        <f t="shared" si="8"/>
        <v/>
      </c>
      <c r="L264" s="20">
        <f t="shared" si="9"/>
        <v>0</v>
      </c>
      <c r="M264" s="20">
        <f>Settings!$B$4+SUM(L$2:L264)</f>
        <v>221.36294236810679</v>
      </c>
    </row>
    <row r="265" spans="10:13" x14ac:dyDescent="0.35">
      <c r="J265" s="16" t="str">
        <f t="shared" si="8"/>
        <v/>
      </c>
      <c r="L265" s="20">
        <f t="shared" si="9"/>
        <v>0</v>
      </c>
      <c r="M265" s="20">
        <f>Settings!$B$4+SUM(L$2:L265)</f>
        <v>221.36294236810679</v>
      </c>
    </row>
    <row r="266" spans="10:13" x14ac:dyDescent="0.35">
      <c r="J266" s="16" t="str">
        <f t="shared" si="8"/>
        <v/>
      </c>
      <c r="L266" s="20">
        <f t="shared" si="9"/>
        <v>0</v>
      </c>
      <c r="M266" s="20">
        <f>Settings!$B$4+SUM(L$2:L266)</f>
        <v>221.36294236810679</v>
      </c>
    </row>
    <row r="267" spans="10:13" x14ac:dyDescent="0.35">
      <c r="J267" s="16" t="str">
        <f t="shared" si="8"/>
        <v/>
      </c>
      <c r="L267" s="20">
        <f t="shared" si="9"/>
        <v>0</v>
      </c>
      <c r="M267" s="20">
        <f>Settings!$B$4+SUM(L$2:L267)</f>
        <v>221.36294236810679</v>
      </c>
    </row>
    <row r="268" spans="10:13" x14ac:dyDescent="0.35">
      <c r="J268" s="16" t="str">
        <f t="shared" si="8"/>
        <v/>
      </c>
      <c r="L268" s="20">
        <f t="shared" si="9"/>
        <v>0</v>
      </c>
      <c r="M268" s="20">
        <f>Settings!$B$4+SUM(L$2:L268)</f>
        <v>221.36294236810679</v>
      </c>
    </row>
    <row r="269" spans="10:13" x14ac:dyDescent="0.35">
      <c r="J269" s="16" t="str">
        <f t="shared" si="8"/>
        <v/>
      </c>
      <c r="L269" s="20">
        <f t="shared" si="9"/>
        <v>0</v>
      </c>
      <c r="M269" s="20">
        <f>Settings!$B$4+SUM(L$2:L269)</f>
        <v>221.36294236810679</v>
      </c>
    </row>
    <row r="270" spans="10:13" x14ac:dyDescent="0.35">
      <c r="J270" s="16" t="str">
        <f t="shared" si="8"/>
        <v/>
      </c>
      <c r="L270" s="20">
        <f t="shared" si="9"/>
        <v>0</v>
      </c>
      <c r="M270" s="20">
        <f>Settings!$B$4+SUM(L$2:L270)</f>
        <v>221.36294236810679</v>
      </c>
    </row>
    <row r="271" spans="10:13" x14ac:dyDescent="0.35">
      <c r="J271" s="16" t="str">
        <f t="shared" si="8"/>
        <v/>
      </c>
      <c r="L271" s="20">
        <f t="shared" si="9"/>
        <v>0</v>
      </c>
      <c r="M271" s="20">
        <f>Settings!$B$4+SUM(L$2:L271)</f>
        <v>221.36294236810679</v>
      </c>
    </row>
    <row r="272" spans="10:13" x14ac:dyDescent="0.35">
      <c r="J272" s="16" t="str">
        <f t="shared" si="8"/>
        <v/>
      </c>
      <c r="L272" s="20">
        <f t="shared" si="9"/>
        <v>0</v>
      </c>
      <c r="M272" s="20">
        <f>Settings!$B$4+SUM(L$2:L272)</f>
        <v>221.36294236810679</v>
      </c>
    </row>
    <row r="273" spans="10:13" x14ac:dyDescent="0.35">
      <c r="J273" s="16" t="str">
        <f t="shared" si="8"/>
        <v/>
      </c>
      <c r="L273" s="20">
        <f t="shared" si="9"/>
        <v>0</v>
      </c>
      <c r="M273" s="20">
        <f>Settings!$B$4+SUM(L$2:L273)</f>
        <v>221.36294236810679</v>
      </c>
    </row>
    <row r="274" spans="10:13" x14ac:dyDescent="0.35">
      <c r="J274" s="16" t="str">
        <f t="shared" si="8"/>
        <v/>
      </c>
      <c r="L274" s="20">
        <f t="shared" si="9"/>
        <v>0</v>
      </c>
      <c r="M274" s="20">
        <f>Settings!$B$4+SUM(L$2:L274)</f>
        <v>221.36294236810679</v>
      </c>
    </row>
    <row r="275" spans="10:13" x14ac:dyDescent="0.35">
      <c r="J275" s="16" t="str">
        <f t="shared" si="8"/>
        <v/>
      </c>
      <c r="L275" s="20">
        <f t="shared" si="9"/>
        <v>0</v>
      </c>
      <c r="M275" s="20">
        <f>Settings!$B$4+SUM(L$2:L275)</f>
        <v>221.36294236810679</v>
      </c>
    </row>
    <row r="276" spans="10:13" x14ac:dyDescent="0.35">
      <c r="J276" s="16" t="str">
        <f t="shared" si="8"/>
        <v/>
      </c>
      <c r="L276" s="20">
        <f t="shared" si="9"/>
        <v>0</v>
      </c>
      <c r="M276" s="20">
        <f>Settings!$B$4+SUM(L$2:L276)</f>
        <v>221.36294236810679</v>
      </c>
    </row>
    <row r="277" spans="10:13" x14ac:dyDescent="0.35">
      <c r="J277" s="16" t="str">
        <f t="shared" si="8"/>
        <v/>
      </c>
      <c r="L277" s="20">
        <f t="shared" si="9"/>
        <v>0</v>
      </c>
      <c r="M277" s="20">
        <f>Settings!$B$4+SUM(L$2:L277)</f>
        <v>221.36294236810679</v>
      </c>
    </row>
    <row r="278" spans="10:13" x14ac:dyDescent="0.35">
      <c r="J278" s="16" t="str">
        <f t="shared" si="8"/>
        <v/>
      </c>
      <c r="L278" s="20">
        <f t="shared" si="9"/>
        <v>0</v>
      </c>
      <c r="M278" s="20">
        <f>Settings!$B$4+SUM(L$2:L278)</f>
        <v>221.36294236810679</v>
      </c>
    </row>
    <row r="279" spans="10:13" x14ac:dyDescent="0.35">
      <c r="J279" s="16" t="str">
        <f t="shared" si="8"/>
        <v/>
      </c>
      <c r="L279" s="20">
        <f t="shared" si="9"/>
        <v>0</v>
      </c>
      <c r="M279" s="20">
        <f>Settings!$B$4+SUM(L$2:L279)</f>
        <v>221.36294236810679</v>
      </c>
    </row>
    <row r="280" spans="10:13" x14ac:dyDescent="0.35">
      <c r="J280" s="16" t="str">
        <f t="shared" si="8"/>
        <v/>
      </c>
      <c r="L280" s="20">
        <f t="shared" si="9"/>
        <v>0</v>
      </c>
      <c r="M280" s="20">
        <f>Settings!$B$4+SUM(L$2:L280)</f>
        <v>221.36294236810679</v>
      </c>
    </row>
    <row r="281" spans="10:13" x14ac:dyDescent="0.35">
      <c r="J281" s="16" t="str">
        <f t="shared" si="8"/>
        <v/>
      </c>
      <c r="L281" s="20">
        <f t="shared" si="9"/>
        <v>0</v>
      </c>
      <c r="M281" s="20">
        <f>Settings!$B$4+SUM(L$2:L281)</f>
        <v>221.36294236810679</v>
      </c>
    </row>
    <row r="282" spans="10:13" x14ac:dyDescent="0.35">
      <c r="J282" s="16" t="str">
        <f t="shared" si="8"/>
        <v/>
      </c>
      <c r="L282" s="20">
        <f t="shared" si="9"/>
        <v>0</v>
      </c>
      <c r="M282" s="20">
        <f>Settings!$B$4+SUM(L$2:L282)</f>
        <v>221.36294236810679</v>
      </c>
    </row>
    <row r="283" spans="10:13" x14ac:dyDescent="0.35">
      <c r="J283" s="16" t="str">
        <f t="shared" si="8"/>
        <v/>
      </c>
      <c r="L283" s="20">
        <f t="shared" si="9"/>
        <v>0</v>
      </c>
      <c r="M283" s="20">
        <f>Settings!$B$4+SUM(L$2:L283)</f>
        <v>221.36294236810679</v>
      </c>
    </row>
    <row r="284" spans="10:13" x14ac:dyDescent="0.35">
      <c r="J284" s="16" t="str">
        <f t="shared" si="8"/>
        <v/>
      </c>
      <c r="L284" s="20">
        <f t="shared" si="9"/>
        <v>0</v>
      </c>
      <c r="M284" s="20">
        <f>Settings!$B$4+SUM(L$2:L284)</f>
        <v>221.36294236810679</v>
      </c>
    </row>
    <row r="285" spans="10:13" x14ac:dyDescent="0.35">
      <c r="J285" s="16" t="str">
        <f t="shared" si="8"/>
        <v/>
      </c>
      <c r="L285" s="20">
        <f t="shared" si="9"/>
        <v>0</v>
      </c>
      <c r="M285" s="20">
        <f>Settings!$B$4+SUM(L$2:L285)</f>
        <v>221.36294236810679</v>
      </c>
    </row>
    <row r="286" spans="10:13" x14ac:dyDescent="0.35">
      <c r="J286" s="16" t="str">
        <f t="shared" si="8"/>
        <v/>
      </c>
      <c r="L286" s="20">
        <f t="shared" si="9"/>
        <v>0</v>
      </c>
      <c r="M286" s="20">
        <f>Settings!$B$4+SUM(L$2:L286)</f>
        <v>221.36294236810679</v>
      </c>
    </row>
    <row r="287" spans="10:13" x14ac:dyDescent="0.35">
      <c r="J287" s="16" t="str">
        <f t="shared" si="8"/>
        <v/>
      </c>
      <c r="L287" s="20">
        <f t="shared" si="9"/>
        <v>0</v>
      </c>
      <c r="M287" s="20">
        <f>Settings!$B$4+SUM(L$2:L287)</f>
        <v>221.36294236810679</v>
      </c>
    </row>
    <row r="288" spans="10:13" x14ac:dyDescent="0.35">
      <c r="J288" s="16" t="str">
        <f t="shared" si="8"/>
        <v/>
      </c>
      <c r="L288" s="20">
        <f t="shared" si="9"/>
        <v>0</v>
      </c>
      <c r="M288" s="20">
        <f>Settings!$B$4+SUM(L$2:L288)</f>
        <v>221.36294236810679</v>
      </c>
    </row>
    <row r="289" spans="10:13" x14ac:dyDescent="0.35">
      <c r="J289" s="16" t="str">
        <f t="shared" si="8"/>
        <v/>
      </c>
      <c r="L289" s="20">
        <f t="shared" si="9"/>
        <v>0</v>
      </c>
      <c r="M289" s="20">
        <f>Settings!$B$4+SUM(L$2:L289)</f>
        <v>221.36294236810679</v>
      </c>
    </row>
    <row r="290" spans="10:13" x14ac:dyDescent="0.35">
      <c r="J290" s="16" t="str">
        <f t="shared" si="8"/>
        <v/>
      </c>
      <c r="L290" s="20">
        <f t="shared" si="9"/>
        <v>0</v>
      </c>
      <c r="M290" s="20">
        <f>Settings!$B$4+SUM(L$2:L290)</f>
        <v>221.36294236810679</v>
      </c>
    </row>
    <row r="291" spans="10:13" x14ac:dyDescent="0.35">
      <c r="J291" s="16" t="str">
        <f t="shared" si="8"/>
        <v/>
      </c>
      <c r="L291" s="20">
        <f t="shared" si="9"/>
        <v>0</v>
      </c>
      <c r="M291" s="20">
        <f>Settings!$B$4+SUM(L$2:L291)</f>
        <v>221.36294236810679</v>
      </c>
    </row>
    <row r="292" spans="10:13" x14ac:dyDescent="0.35">
      <c r="J292" s="16" t="str">
        <f t="shared" si="8"/>
        <v/>
      </c>
      <c r="L292" s="20">
        <f t="shared" si="9"/>
        <v>0</v>
      </c>
      <c r="M292" s="20">
        <f>Settings!$B$4+SUM(L$2:L292)</f>
        <v>221.36294236810679</v>
      </c>
    </row>
    <row r="293" spans="10:13" x14ac:dyDescent="0.35">
      <c r="J293" s="16" t="str">
        <f t="shared" si="8"/>
        <v/>
      </c>
      <c r="L293" s="20">
        <f t="shared" si="9"/>
        <v>0</v>
      </c>
      <c r="M293" s="20">
        <f>Settings!$B$4+SUM(L$2:L293)</f>
        <v>221.36294236810679</v>
      </c>
    </row>
    <row r="294" spans="10:13" x14ac:dyDescent="0.35">
      <c r="J294" s="16" t="str">
        <f t="shared" si="8"/>
        <v/>
      </c>
      <c r="L294" s="20">
        <f t="shared" si="9"/>
        <v>0</v>
      </c>
      <c r="M294" s="20">
        <f>Settings!$B$4+SUM(L$2:L294)</f>
        <v>221.36294236810679</v>
      </c>
    </row>
    <row r="295" spans="10:13" x14ac:dyDescent="0.35">
      <c r="J295" s="16" t="str">
        <f t="shared" si="8"/>
        <v/>
      </c>
      <c r="L295" s="20">
        <f t="shared" si="9"/>
        <v>0</v>
      </c>
      <c r="M295" s="20">
        <f>Settings!$B$4+SUM(L$2:L295)</f>
        <v>221.36294236810679</v>
      </c>
    </row>
    <row r="296" spans="10:13" x14ac:dyDescent="0.35">
      <c r="J296" s="16" t="str">
        <f t="shared" si="8"/>
        <v/>
      </c>
      <c r="L296" s="20">
        <f t="shared" si="9"/>
        <v>0</v>
      </c>
      <c r="M296" s="20">
        <f>Settings!$B$4+SUM(L$2:L296)</f>
        <v>221.36294236810679</v>
      </c>
    </row>
    <row r="297" spans="10:13" x14ac:dyDescent="0.35">
      <c r="J297" s="16" t="str">
        <f t="shared" si="8"/>
        <v/>
      </c>
      <c r="L297" s="20">
        <f t="shared" si="9"/>
        <v>0</v>
      </c>
      <c r="M297" s="20">
        <f>Settings!$B$4+SUM(L$2:L297)</f>
        <v>221.36294236810679</v>
      </c>
    </row>
    <row r="298" spans="10:13" x14ac:dyDescent="0.35">
      <c r="J298" s="16" t="str">
        <f t="shared" si="8"/>
        <v/>
      </c>
      <c r="L298" s="20">
        <f t="shared" si="9"/>
        <v>0</v>
      </c>
      <c r="M298" s="20">
        <f>Settings!$B$4+SUM(L$2:L298)</f>
        <v>221.36294236810679</v>
      </c>
    </row>
    <row r="299" spans="10:13" x14ac:dyDescent="0.35">
      <c r="J299" s="16" t="str">
        <f t="shared" si="8"/>
        <v/>
      </c>
      <c r="L299" s="20">
        <f t="shared" si="9"/>
        <v>0</v>
      </c>
      <c r="M299" s="20">
        <f>Settings!$B$4+SUM(L$2:L299)</f>
        <v>221.36294236810679</v>
      </c>
    </row>
    <row r="300" spans="10:13" x14ac:dyDescent="0.35">
      <c r="J300" s="16" t="str">
        <f t="shared" si="8"/>
        <v/>
      </c>
      <c r="L300" s="20">
        <f t="shared" si="9"/>
        <v>0</v>
      </c>
      <c r="M300" s="20">
        <f>Settings!$B$4+SUM(L$2:L300)</f>
        <v>221.36294236810679</v>
      </c>
    </row>
    <row r="301" spans="10:13" x14ac:dyDescent="0.35">
      <c r="J301" s="16" t="str">
        <f t="shared" si="8"/>
        <v/>
      </c>
      <c r="L301" s="20">
        <f t="shared" si="9"/>
        <v>0</v>
      </c>
      <c r="M301" s="20">
        <f>Settings!$B$4+SUM(L$2:L301)</f>
        <v>221.36294236810679</v>
      </c>
    </row>
    <row r="302" spans="10:13" x14ac:dyDescent="0.35">
      <c r="J302" s="16" t="str">
        <f t="shared" si="8"/>
        <v/>
      </c>
      <c r="L302" s="20">
        <f t="shared" si="9"/>
        <v>0</v>
      </c>
      <c r="M302" s="20">
        <f>Settings!$B$4+SUM(L$2:L302)</f>
        <v>221.36294236810679</v>
      </c>
    </row>
    <row r="303" spans="10:13" x14ac:dyDescent="0.35">
      <c r="J303" s="16" t="str">
        <f t="shared" si="8"/>
        <v/>
      </c>
      <c r="L303" s="20">
        <f t="shared" si="9"/>
        <v>0</v>
      </c>
      <c r="M303" s="20">
        <f>Settings!$B$4+SUM(L$2:L303)</f>
        <v>221.36294236810679</v>
      </c>
    </row>
    <row r="304" spans="10:13" x14ac:dyDescent="0.35">
      <c r="J304" s="16" t="str">
        <f t="shared" si="8"/>
        <v/>
      </c>
      <c r="L304" s="20">
        <f t="shared" si="9"/>
        <v>0</v>
      </c>
      <c r="M304" s="20">
        <f>Settings!$B$4+SUM(L$2:L304)</f>
        <v>221.36294236810679</v>
      </c>
    </row>
    <row r="305" spans="10:13" x14ac:dyDescent="0.35">
      <c r="J305" s="16" t="str">
        <f t="shared" si="8"/>
        <v/>
      </c>
      <c r="L305" s="20">
        <f t="shared" si="9"/>
        <v>0</v>
      </c>
      <c r="M305" s="20">
        <f>Settings!$B$4+SUM(L$2:L305)</f>
        <v>221.36294236810679</v>
      </c>
    </row>
    <row r="306" spans="10:13" x14ac:dyDescent="0.35">
      <c r="J306" s="16" t="str">
        <f t="shared" si="8"/>
        <v/>
      </c>
      <c r="L306" s="20">
        <f t="shared" si="9"/>
        <v>0</v>
      </c>
      <c r="M306" s="20">
        <f>Settings!$B$4+SUM(L$2:L306)</f>
        <v>221.36294236810679</v>
      </c>
    </row>
    <row r="307" spans="10:13" x14ac:dyDescent="0.35">
      <c r="J307" s="16" t="str">
        <f t="shared" si="8"/>
        <v/>
      </c>
      <c r="L307" s="20">
        <f t="shared" si="9"/>
        <v>0</v>
      </c>
      <c r="M307" s="20">
        <f>Settings!$B$4+SUM(L$2:L307)</f>
        <v>221.36294236810679</v>
      </c>
    </row>
    <row r="308" spans="10:13" x14ac:dyDescent="0.35">
      <c r="J308" s="16" t="str">
        <f t="shared" si="8"/>
        <v/>
      </c>
      <c r="L308" s="20">
        <f t="shared" si="9"/>
        <v>0</v>
      </c>
      <c r="M308" s="20">
        <f>Settings!$B$4+SUM(L$2:L308)</f>
        <v>221.36294236810679</v>
      </c>
    </row>
    <row r="309" spans="10:13" x14ac:dyDescent="0.35">
      <c r="J309" s="16" t="str">
        <f t="shared" si="8"/>
        <v/>
      </c>
      <c r="L309" s="20">
        <f t="shared" si="9"/>
        <v>0</v>
      </c>
      <c r="M309" s="20">
        <f>Settings!$B$4+SUM(L$2:L309)</f>
        <v>221.36294236810679</v>
      </c>
    </row>
    <row r="310" spans="10:13" x14ac:dyDescent="0.35">
      <c r="J310" s="16" t="str">
        <f t="shared" si="8"/>
        <v/>
      </c>
      <c r="L310" s="20">
        <f t="shared" si="9"/>
        <v>0</v>
      </c>
      <c r="M310" s="20">
        <f>Settings!$B$4+SUM(L$2:L310)</f>
        <v>221.36294236810679</v>
      </c>
    </row>
    <row r="311" spans="10:13" x14ac:dyDescent="0.35">
      <c r="J311" s="16" t="str">
        <f t="shared" si="8"/>
        <v/>
      </c>
      <c r="L311" s="20">
        <f t="shared" si="9"/>
        <v>0</v>
      </c>
      <c r="M311" s="20">
        <f>Settings!$B$4+SUM(L$2:L311)</f>
        <v>221.36294236810679</v>
      </c>
    </row>
    <row r="312" spans="10:13" x14ac:dyDescent="0.35">
      <c r="J312" s="16" t="str">
        <f t="shared" si="8"/>
        <v/>
      </c>
      <c r="L312" s="20">
        <f t="shared" si="9"/>
        <v>0</v>
      </c>
      <c r="M312" s="20">
        <f>Settings!$B$4+SUM(L$2:L312)</f>
        <v>221.36294236810679</v>
      </c>
    </row>
    <row r="313" spans="10:13" x14ac:dyDescent="0.35">
      <c r="J313" s="16" t="str">
        <f t="shared" si="8"/>
        <v/>
      </c>
      <c r="L313" s="20">
        <f t="shared" si="9"/>
        <v>0</v>
      </c>
      <c r="M313" s="20">
        <f>Settings!$B$4+SUM(L$2:L313)</f>
        <v>221.36294236810679</v>
      </c>
    </row>
    <row r="314" spans="10:13" x14ac:dyDescent="0.35">
      <c r="J314" s="16" t="str">
        <f t="shared" si="8"/>
        <v/>
      </c>
      <c r="L314" s="20">
        <f t="shared" si="9"/>
        <v>0</v>
      </c>
      <c r="M314" s="20">
        <f>Settings!$B$4+SUM(L$2:L314)</f>
        <v>221.36294236810679</v>
      </c>
    </row>
    <row r="315" spans="10:13" x14ac:dyDescent="0.35">
      <c r="J315" s="16" t="str">
        <f t="shared" si="8"/>
        <v/>
      </c>
      <c r="L315" s="20">
        <f t="shared" si="9"/>
        <v>0</v>
      </c>
      <c r="M315" s="20">
        <f>Settings!$B$4+SUM(L$2:L315)</f>
        <v>221.36294236810679</v>
      </c>
    </row>
    <row r="316" spans="10:13" x14ac:dyDescent="0.35">
      <c r="J316" s="16" t="str">
        <f t="shared" si="8"/>
        <v/>
      </c>
      <c r="L316" s="20">
        <f t="shared" si="9"/>
        <v>0</v>
      </c>
      <c r="M316" s="20">
        <f>Settings!$B$4+SUM(L$2:L316)</f>
        <v>221.36294236810679</v>
      </c>
    </row>
    <row r="317" spans="10:13" x14ac:dyDescent="0.35">
      <c r="J317" s="16" t="str">
        <f t="shared" si="8"/>
        <v/>
      </c>
      <c r="L317" s="20">
        <f t="shared" si="9"/>
        <v>0</v>
      </c>
      <c r="M317" s="20">
        <f>Settings!$B$4+SUM(L$2:L317)</f>
        <v>221.36294236810679</v>
      </c>
    </row>
    <row r="318" spans="10:13" x14ac:dyDescent="0.35">
      <c r="J318" s="16" t="str">
        <f t="shared" si="8"/>
        <v/>
      </c>
      <c r="L318" s="20">
        <f t="shared" si="9"/>
        <v>0</v>
      </c>
      <c r="M318" s="20">
        <f>Settings!$B$4+SUM(L$2:L318)</f>
        <v>221.36294236810679</v>
      </c>
    </row>
    <row r="319" spans="10:13" x14ac:dyDescent="0.35">
      <c r="J319" s="16" t="str">
        <f t="shared" si="8"/>
        <v/>
      </c>
      <c r="L319" s="20">
        <f t="shared" si="9"/>
        <v>0</v>
      </c>
      <c r="M319" s="20">
        <f>Settings!$B$4+SUM(L$2:L319)</f>
        <v>221.36294236810679</v>
      </c>
    </row>
    <row r="320" spans="10:13" x14ac:dyDescent="0.35">
      <c r="J320" s="16" t="str">
        <f t="shared" si="8"/>
        <v/>
      </c>
      <c r="L320" s="20">
        <f t="shared" si="9"/>
        <v>0</v>
      </c>
      <c r="M320" s="20">
        <f>Settings!$B$4+SUM(L$2:L320)</f>
        <v>221.36294236810679</v>
      </c>
    </row>
    <row r="321" spans="10:13" x14ac:dyDescent="0.35">
      <c r="J321" s="16" t="str">
        <f t="shared" si="8"/>
        <v/>
      </c>
      <c r="L321" s="20">
        <f t="shared" si="9"/>
        <v>0</v>
      </c>
      <c r="M321" s="20">
        <f>Settings!$B$4+SUM(L$2:L321)</f>
        <v>221.36294236810679</v>
      </c>
    </row>
    <row r="322" spans="10:13" x14ac:dyDescent="0.35">
      <c r="J322" s="16" t="str">
        <f t="shared" ref="J322:J385" si="10">IF(I322="","",I322-F322)</f>
        <v/>
      </c>
      <c r="L322" s="20">
        <f t="shared" ref="L322:L385" si="11">IF(K322="W",IF(G322&lt;0,H322*100/ABS(G322),H322*G322/100),IF(K322="L",-H322,0))</f>
        <v>0</v>
      </c>
      <c r="M322" s="20">
        <f>Settings!$B$4+SUM(L$2:L322)</f>
        <v>221.36294236810679</v>
      </c>
    </row>
    <row r="323" spans="10:13" x14ac:dyDescent="0.35">
      <c r="J323" s="16" t="str">
        <f t="shared" si="10"/>
        <v/>
      </c>
      <c r="L323" s="20">
        <f t="shared" si="11"/>
        <v>0</v>
      </c>
      <c r="M323" s="20">
        <f>Settings!$B$4+SUM(L$2:L323)</f>
        <v>221.36294236810679</v>
      </c>
    </row>
    <row r="324" spans="10:13" x14ac:dyDescent="0.35">
      <c r="J324" s="16" t="str">
        <f t="shared" si="10"/>
        <v/>
      </c>
      <c r="L324" s="20">
        <f t="shared" si="11"/>
        <v>0</v>
      </c>
      <c r="M324" s="20">
        <f>Settings!$B$4+SUM(L$2:L324)</f>
        <v>221.36294236810679</v>
      </c>
    </row>
    <row r="325" spans="10:13" x14ac:dyDescent="0.35">
      <c r="J325" s="16" t="str">
        <f t="shared" si="10"/>
        <v/>
      </c>
      <c r="L325" s="20">
        <f t="shared" si="11"/>
        <v>0</v>
      </c>
      <c r="M325" s="20">
        <f>Settings!$B$4+SUM(L$2:L325)</f>
        <v>221.36294236810679</v>
      </c>
    </row>
    <row r="326" spans="10:13" x14ac:dyDescent="0.35">
      <c r="J326" s="16" t="str">
        <f t="shared" si="10"/>
        <v/>
      </c>
      <c r="L326" s="20">
        <f t="shared" si="11"/>
        <v>0</v>
      </c>
      <c r="M326" s="20">
        <f>Settings!$B$4+SUM(L$2:L326)</f>
        <v>221.36294236810679</v>
      </c>
    </row>
    <row r="327" spans="10:13" x14ac:dyDescent="0.35">
      <c r="J327" s="16" t="str">
        <f t="shared" si="10"/>
        <v/>
      </c>
      <c r="L327" s="20">
        <f t="shared" si="11"/>
        <v>0</v>
      </c>
      <c r="M327" s="20">
        <f>Settings!$B$4+SUM(L$2:L327)</f>
        <v>221.36294236810679</v>
      </c>
    </row>
    <row r="328" spans="10:13" x14ac:dyDescent="0.35">
      <c r="J328" s="16" t="str">
        <f t="shared" si="10"/>
        <v/>
      </c>
      <c r="L328" s="20">
        <f t="shared" si="11"/>
        <v>0</v>
      </c>
      <c r="M328" s="20">
        <f>Settings!$B$4+SUM(L$2:L328)</f>
        <v>221.36294236810679</v>
      </c>
    </row>
    <row r="329" spans="10:13" x14ac:dyDescent="0.35">
      <c r="J329" s="16" t="str">
        <f t="shared" si="10"/>
        <v/>
      </c>
      <c r="L329" s="20">
        <f t="shared" si="11"/>
        <v>0</v>
      </c>
      <c r="M329" s="20">
        <f>Settings!$B$4+SUM(L$2:L329)</f>
        <v>221.36294236810679</v>
      </c>
    </row>
    <row r="330" spans="10:13" x14ac:dyDescent="0.35">
      <c r="J330" s="16" t="str">
        <f t="shared" si="10"/>
        <v/>
      </c>
      <c r="L330" s="20">
        <f t="shared" si="11"/>
        <v>0</v>
      </c>
      <c r="M330" s="20">
        <f>Settings!$B$4+SUM(L$2:L330)</f>
        <v>221.36294236810679</v>
      </c>
    </row>
    <row r="331" spans="10:13" x14ac:dyDescent="0.35">
      <c r="J331" s="16" t="str">
        <f t="shared" si="10"/>
        <v/>
      </c>
      <c r="L331" s="20">
        <f t="shared" si="11"/>
        <v>0</v>
      </c>
      <c r="M331" s="20">
        <f>Settings!$B$4+SUM(L$2:L331)</f>
        <v>221.36294236810679</v>
      </c>
    </row>
    <row r="332" spans="10:13" x14ac:dyDescent="0.35">
      <c r="J332" s="16" t="str">
        <f t="shared" si="10"/>
        <v/>
      </c>
      <c r="L332" s="20">
        <f t="shared" si="11"/>
        <v>0</v>
      </c>
      <c r="M332" s="20">
        <f>Settings!$B$4+SUM(L$2:L332)</f>
        <v>221.36294236810679</v>
      </c>
    </row>
    <row r="333" spans="10:13" x14ac:dyDescent="0.35">
      <c r="J333" s="16" t="str">
        <f t="shared" si="10"/>
        <v/>
      </c>
      <c r="L333" s="20">
        <f t="shared" si="11"/>
        <v>0</v>
      </c>
      <c r="M333" s="20">
        <f>Settings!$B$4+SUM(L$2:L333)</f>
        <v>221.36294236810679</v>
      </c>
    </row>
    <row r="334" spans="10:13" x14ac:dyDescent="0.35">
      <c r="J334" s="16" t="str">
        <f t="shared" si="10"/>
        <v/>
      </c>
      <c r="L334" s="20">
        <f t="shared" si="11"/>
        <v>0</v>
      </c>
      <c r="M334" s="20">
        <f>Settings!$B$4+SUM(L$2:L334)</f>
        <v>221.36294236810679</v>
      </c>
    </row>
    <row r="335" spans="10:13" x14ac:dyDescent="0.35">
      <c r="J335" s="16" t="str">
        <f t="shared" si="10"/>
        <v/>
      </c>
      <c r="L335" s="20">
        <f t="shared" si="11"/>
        <v>0</v>
      </c>
      <c r="M335" s="20">
        <f>Settings!$B$4+SUM(L$2:L335)</f>
        <v>221.36294236810679</v>
      </c>
    </row>
    <row r="336" spans="10:13" x14ac:dyDescent="0.35">
      <c r="J336" s="16" t="str">
        <f t="shared" si="10"/>
        <v/>
      </c>
      <c r="L336" s="20">
        <f t="shared" si="11"/>
        <v>0</v>
      </c>
      <c r="M336" s="20">
        <f>Settings!$B$4+SUM(L$2:L336)</f>
        <v>221.36294236810679</v>
      </c>
    </row>
    <row r="337" spans="10:13" x14ac:dyDescent="0.35">
      <c r="J337" s="16" t="str">
        <f t="shared" si="10"/>
        <v/>
      </c>
      <c r="L337" s="20">
        <f t="shared" si="11"/>
        <v>0</v>
      </c>
      <c r="M337" s="20">
        <f>Settings!$B$4+SUM(L$2:L337)</f>
        <v>221.36294236810679</v>
      </c>
    </row>
    <row r="338" spans="10:13" x14ac:dyDescent="0.35">
      <c r="J338" s="16" t="str">
        <f t="shared" si="10"/>
        <v/>
      </c>
      <c r="L338" s="20">
        <f t="shared" si="11"/>
        <v>0</v>
      </c>
      <c r="M338" s="20">
        <f>Settings!$B$4+SUM(L$2:L338)</f>
        <v>221.36294236810679</v>
      </c>
    </row>
    <row r="339" spans="10:13" x14ac:dyDescent="0.35">
      <c r="J339" s="16" t="str">
        <f t="shared" si="10"/>
        <v/>
      </c>
      <c r="L339" s="20">
        <f t="shared" si="11"/>
        <v>0</v>
      </c>
      <c r="M339" s="20">
        <f>Settings!$B$4+SUM(L$2:L339)</f>
        <v>221.36294236810679</v>
      </c>
    </row>
    <row r="340" spans="10:13" x14ac:dyDescent="0.35">
      <c r="J340" s="16" t="str">
        <f t="shared" si="10"/>
        <v/>
      </c>
      <c r="L340" s="20">
        <f t="shared" si="11"/>
        <v>0</v>
      </c>
      <c r="M340" s="20">
        <f>Settings!$B$4+SUM(L$2:L340)</f>
        <v>221.36294236810679</v>
      </c>
    </row>
    <row r="341" spans="10:13" x14ac:dyDescent="0.35">
      <c r="J341" s="16" t="str">
        <f t="shared" si="10"/>
        <v/>
      </c>
      <c r="L341" s="20">
        <f t="shared" si="11"/>
        <v>0</v>
      </c>
      <c r="M341" s="20">
        <f>Settings!$B$4+SUM(L$2:L341)</f>
        <v>221.36294236810679</v>
      </c>
    </row>
    <row r="342" spans="10:13" x14ac:dyDescent="0.35">
      <c r="J342" s="16" t="str">
        <f t="shared" si="10"/>
        <v/>
      </c>
      <c r="L342" s="20">
        <f t="shared" si="11"/>
        <v>0</v>
      </c>
      <c r="M342" s="20">
        <f>Settings!$B$4+SUM(L$2:L342)</f>
        <v>221.36294236810679</v>
      </c>
    </row>
    <row r="343" spans="10:13" x14ac:dyDescent="0.35">
      <c r="J343" s="16" t="str">
        <f t="shared" si="10"/>
        <v/>
      </c>
      <c r="L343" s="20">
        <f t="shared" si="11"/>
        <v>0</v>
      </c>
      <c r="M343" s="20">
        <f>Settings!$B$4+SUM(L$2:L343)</f>
        <v>221.36294236810679</v>
      </c>
    </row>
    <row r="344" spans="10:13" x14ac:dyDescent="0.35">
      <c r="J344" s="16" t="str">
        <f t="shared" si="10"/>
        <v/>
      </c>
      <c r="L344" s="20">
        <f t="shared" si="11"/>
        <v>0</v>
      </c>
      <c r="M344" s="20">
        <f>Settings!$B$4+SUM(L$2:L344)</f>
        <v>221.36294236810679</v>
      </c>
    </row>
    <row r="345" spans="10:13" x14ac:dyDescent="0.35">
      <c r="J345" s="16" t="str">
        <f t="shared" si="10"/>
        <v/>
      </c>
      <c r="L345" s="20">
        <f t="shared" si="11"/>
        <v>0</v>
      </c>
      <c r="M345" s="20">
        <f>Settings!$B$4+SUM(L$2:L345)</f>
        <v>221.36294236810679</v>
      </c>
    </row>
    <row r="346" spans="10:13" x14ac:dyDescent="0.35">
      <c r="J346" s="16" t="str">
        <f t="shared" si="10"/>
        <v/>
      </c>
      <c r="L346" s="20">
        <f t="shared" si="11"/>
        <v>0</v>
      </c>
      <c r="M346" s="20">
        <f>Settings!$B$4+SUM(L$2:L346)</f>
        <v>221.36294236810679</v>
      </c>
    </row>
    <row r="347" spans="10:13" x14ac:dyDescent="0.35">
      <c r="J347" s="16" t="str">
        <f t="shared" si="10"/>
        <v/>
      </c>
      <c r="L347" s="20">
        <f t="shared" si="11"/>
        <v>0</v>
      </c>
      <c r="M347" s="20">
        <f>Settings!$B$4+SUM(L$2:L347)</f>
        <v>221.36294236810679</v>
      </c>
    </row>
    <row r="348" spans="10:13" x14ac:dyDescent="0.35">
      <c r="J348" s="16" t="str">
        <f t="shared" si="10"/>
        <v/>
      </c>
      <c r="L348" s="20">
        <f t="shared" si="11"/>
        <v>0</v>
      </c>
      <c r="M348" s="20">
        <f>Settings!$B$4+SUM(L$2:L348)</f>
        <v>221.36294236810679</v>
      </c>
    </row>
    <row r="349" spans="10:13" x14ac:dyDescent="0.35">
      <c r="J349" s="16" t="str">
        <f t="shared" si="10"/>
        <v/>
      </c>
      <c r="L349" s="20">
        <f t="shared" si="11"/>
        <v>0</v>
      </c>
      <c r="M349" s="20">
        <f>Settings!$B$4+SUM(L$2:L349)</f>
        <v>221.36294236810679</v>
      </c>
    </row>
    <row r="350" spans="10:13" x14ac:dyDescent="0.35">
      <c r="J350" s="16" t="str">
        <f t="shared" si="10"/>
        <v/>
      </c>
      <c r="L350" s="20">
        <f t="shared" si="11"/>
        <v>0</v>
      </c>
      <c r="M350" s="20">
        <f>Settings!$B$4+SUM(L$2:L350)</f>
        <v>221.36294236810679</v>
      </c>
    </row>
    <row r="351" spans="10:13" x14ac:dyDescent="0.35">
      <c r="J351" s="16" t="str">
        <f t="shared" si="10"/>
        <v/>
      </c>
      <c r="L351" s="20">
        <f t="shared" si="11"/>
        <v>0</v>
      </c>
      <c r="M351" s="20">
        <f>Settings!$B$4+SUM(L$2:L351)</f>
        <v>221.36294236810679</v>
      </c>
    </row>
    <row r="352" spans="10:13" x14ac:dyDescent="0.35">
      <c r="J352" s="16" t="str">
        <f t="shared" si="10"/>
        <v/>
      </c>
      <c r="L352" s="20">
        <f t="shared" si="11"/>
        <v>0</v>
      </c>
      <c r="M352" s="20">
        <f>Settings!$B$4+SUM(L$2:L352)</f>
        <v>221.36294236810679</v>
      </c>
    </row>
    <row r="353" spans="10:13" x14ac:dyDescent="0.35">
      <c r="J353" s="16" t="str">
        <f t="shared" si="10"/>
        <v/>
      </c>
      <c r="L353" s="20">
        <f t="shared" si="11"/>
        <v>0</v>
      </c>
      <c r="M353" s="20">
        <f>Settings!$B$4+SUM(L$2:L353)</f>
        <v>221.36294236810679</v>
      </c>
    </row>
    <row r="354" spans="10:13" x14ac:dyDescent="0.35">
      <c r="J354" s="16" t="str">
        <f t="shared" si="10"/>
        <v/>
      </c>
      <c r="L354" s="20">
        <f t="shared" si="11"/>
        <v>0</v>
      </c>
      <c r="M354" s="20">
        <f>Settings!$B$4+SUM(L$2:L354)</f>
        <v>221.36294236810679</v>
      </c>
    </row>
    <row r="355" spans="10:13" x14ac:dyDescent="0.35">
      <c r="J355" s="16" t="str">
        <f t="shared" si="10"/>
        <v/>
      </c>
      <c r="L355" s="20">
        <f t="shared" si="11"/>
        <v>0</v>
      </c>
      <c r="M355" s="20">
        <f>Settings!$B$4+SUM(L$2:L355)</f>
        <v>221.36294236810679</v>
      </c>
    </row>
    <row r="356" spans="10:13" x14ac:dyDescent="0.35">
      <c r="J356" s="16" t="str">
        <f t="shared" si="10"/>
        <v/>
      </c>
      <c r="L356" s="20">
        <f t="shared" si="11"/>
        <v>0</v>
      </c>
      <c r="M356" s="20">
        <f>Settings!$B$4+SUM(L$2:L356)</f>
        <v>221.36294236810679</v>
      </c>
    </row>
    <row r="357" spans="10:13" x14ac:dyDescent="0.35">
      <c r="J357" s="16" t="str">
        <f t="shared" si="10"/>
        <v/>
      </c>
      <c r="L357" s="20">
        <f t="shared" si="11"/>
        <v>0</v>
      </c>
      <c r="M357" s="20">
        <f>Settings!$B$4+SUM(L$2:L357)</f>
        <v>221.36294236810679</v>
      </c>
    </row>
    <row r="358" spans="10:13" x14ac:dyDescent="0.35">
      <c r="J358" s="16" t="str">
        <f t="shared" si="10"/>
        <v/>
      </c>
      <c r="L358" s="20">
        <f t="shared" si="11"/>
        <v>0</v>
      </c>
      <c r="M358" s="20">
        <f>Settings!$B$4+SUM(L$2:L358)</f>
        <v>221.36294236810679</v>
      </c>
    </row>
    <row r="359" spans="10:13" x14ac:dyDescent="0.35">
      <c r="J359" s="16" t="str">
        <f t="shared" si="10"/>
        <v/>
      </c>
      <c r="L359" s="20">
        <f t="shared" si="11"/>
        <v>0</v>
      </c>
      <c r="M359" s="20">
        <f>Settings!$B$4+SUM(L$2:L359)</f>
        <v>221.36294236810679</v>
      </c>
    </row>
    <row r="360" spans="10:13" x14ac:dyDescent="0.35">
      <c r="J360" s="16" t="str">
        <f t="shared" si="10"/>
        <v/>
      </c>
      <c r="L360" s="20">
        <f t="shared" si="11"/>
        <v>0</v>
      </c>
      <c r="M360" s="20">
        <f>Settings!$B$4+SUM(L$2:L360)</f>
        <v>221.36294236810679</v>
      </c>
    </row>
    <row r="361" spans="10:13" x14ac:dyDescent="0.35">
      <c r="J361" s="16" t="str">
        <f t="shared" si="10"/>
        <v/>
      </c>
      <c r="L361" s="20">
        <f t="shared" si="11"/>
        <v>0</v>
      </c>
      <c r="M361" s="20">
        <f>Settings!$B$4+SUM(L$2:L361)</f>
        <v>221.36294236810679</v>
      </c>
    </row>
    <row r="362" spans="10:13" x14ac:dyDescent="0.35">
      <c r="J362" s="16" t="str">
        <f t="shared" si="10"/>
        <v/>
      </c>
      <c r="L362" s="20">
        <f t="shared" si="11"/>
        <v>0</v>
      </c>
      <c r="M362" s="20">
        <f>Settings!$B$4+SUM(L$2:L362)</f>
        <v>221.36294236810679</v>
      </c>
    </row>
    <row r="363" spans="10:13" x14ac:dyDescent="0.35">
      <c r="J363" s="16" t="str">
        <f t="shared" si="10"/>
        <v/>
      </c>
      <c r="L363" s="20">
        <f t="shared" si="11"/>
        <v>0</v>
      </c>
      <c r="M363" s="20">
        <f>Settings!$B$4+SUM(L$2:L363)</f>
        <v>221.36294236810679</v>
      </c>
    </row>
    <row r="364" spans="10:13" x14ac:dyDescent="0.35">
      <c r="J364" s="16" t="str">
        <f t="shared" si="10"/>
        <v/>
      </c>
      <c r="L364" s="20">
        <f t="shared" si="11"/>
        <v>0</v>
      </c>
      <c r="M364" s="20">
        <f>Settings!$B$4+SUM(L$2:L364)</f>
        <v>221.36294236810679</v>
      </c>
    </row>
    <row r="365" spans="10:13" x14ac:dyDescent="0.35">
      <c r="J365" s="16" t="str">
        <f t="shared" si="10"/>
        <v/>
      </c>
      <c r="L365" s="20">
        <f t="shared" si="11"/>
        <v>0</v>
      </c>
      <c r="M365" s="20">
        <f>Settings!$B$4+SUM(L$2:L365)</f>
        <v>221.36294236810679</v>
      </c>
    </row>
    <row r="366" spans="10:13" x14ac:dyDescent="0.35">
      <c r="J366" s="16" t="str">
        <f t="shared" si="10"/>
        <v/>
      </c>
      <c r="L366" s="20">
        <f t="shared" si="11"/>
        <v>0</v>
      </c>
      <c r="M366" s="20">
        <f>Settings!$B$4+SUM(L$2:L366)</f>
        <v>221.36294236810679</v>
      </c>
    </row>
    <row r="367" spans="10:13" x14ac:dyDescent="0.35">
      <c r="J367" s="16" t="str">
        <f t="shared" si="10"/>
        <v/>
      </c>
      <c r="L367" s="20">
        <f t="shared" si="11"/>
        <v>0</v>
      </c>
      <c r="M367" s="20">
        <f>Settings!$B$4+SUM(L$2:L367)</f>
        <v>221.36294236810679</v>
      </c>
    </row>
    <row r="368" spans="10:13" x14ac:dyDescent="0.35">
      <c r="J368" s="16" t="str">
        <f t="shared" si="10"/>
        <v/>
      </c>
      <c r="L368" s="20">
        <f t="shared" si="11"/>
        <v>0</v>
      </c>
      <c r="M368" s="20">
        <f>Settings!$B$4+SUM(L$2:L368)</f>
        <v>221.36294236810679</v>
      </c>
    </row>
    <row r="369" spans="10:13" x14ac:dyDescent="0.35">
      <c r="J369" s="16" t="str">
        <f t="shared" si="10"/>
        <v/>
      </c>
      <c r="L369" s="20">
        <f t="shared" si="11"/>
        <v>0</v>
      </c>
      <c r="M369" s="20">
        <f>Settings!$B$4+SUM(L$2:L369)</f>
        <v>221.36294236810679</v>
      </c>
    </row>
    <row r="370" spans="10:13" x14ac:dyDescent="0.35">
      <c r="J370" s="16" t="str">
        <f t="shared" si="10"/>
        <v/>
      </c>
      <c r="L370" s="20">
        <f t="shared" si="11"/>
        <v>0</v>
      </c>
      <c r="M370" s="20">
        <f>Settings!$B$4+SUM(L$2:L370)</f>
        <v>221.36294236810679</v>
      </c>
    </row>
    <row r="371" spans="10:13" x14ac:dyDescent="0.35">
      <c r="J371" s="16" t="str">
        <f t="shared" si="10"/>
        <v/>
      </c>
      <c r="L371" s="20">
        <f t="shared" si="11"/>
        <v>0</v>
      </c>
      <c r="M371" s="20">
        <f>Settings!$B$4+SUM(L$2:L371)</f>
        <v>221.36294236810679</v>
      </c>
    </row>
    <row r="372" spans="10:13" x14ac:dyDescent="0.35">
      <c r="J372" s="16" t="str">
        <f t="shared" si="10"/>
        <v/>
      </c>
      <c r="L372" s="20">
        <f t="shared" si="11"/>
        <v>0</v>
      </c>
      <c r="M372" s="20">
        <f>Settings!$B$4+SUM(L$2:L372)</f>
        <v>221.36294236810679</v>
      </c>
    </row>
    <row r="373" spans="10:13" x14ac:dyDescent="0.35">
      <c r="J373" s="16" t="str">
        <f t="shared" si="10"/>
        <v/>
      </c>
      <c r="L373" s="20">
        <f t="shared" si="11"/>
        <v>0</v>
      </c>
      <c r="M373" s="20">
        <f>Settings!$B$4+SUM(L$2:L373)</f>
        <v>221.36294236810679</v>
      </c>
    </row>
    <row r="374" spans="10:13" x14ac:dyDescent="0.35">
      <c r="J374" s="16" t="str">
        <f t="shared" si="10"/>
        <v/>
      </c>
      <c r="L374" s="20">
        <f t="shared" si="11"/>
        <v>0</v>
      </c>
      <c r="M374" s="20">
        <f>Settings!$B$4+SUM(L$2:L374)</f>
        <v>221.36294236810679</v>
      </c>
    </row>
    <row r="375" spans="10:13" x14ac:dyDescent="0.35">
      <c r="J375" s="16" t="str">
        <f t="shared" si="10"/>
        <v/>
      </c>
      <c r="L375" s="20">
        <f t="shared" si="11"/>
        <v>0</v>
      </c>
      <c r="M375" s="20">
        <f>Settings!$B$4+SUM(L$2:L375)</f>
        <v>221.36294236810679</v>
      </c>
    </row>
    <row r="376" spans="10:13" x14ac:dyDescent="0.35">
      <c r="J376" s="16" t="str">
        <f t="shared" si="10"/>
        <v/>
      </c>
      <c r="L376" s="20">
        <f t="shared" si="11"/>
        <v>0</v>
      </c>
      <c r="M376" s="20">
        <f>Settings!$B$4+SUM(L$2:L376)</f>
        <v>221.36294236810679</v>
      </c>
    </row>
    <row r="377" spans="10:13" x14ac:dyDescent="0.35">
      <c r="J377" s="16" t="str">
        <f t="shared" si="10"/>
        <v/>
      </c>
      <c r="L377" s="20">
        <f t="shared" si="11"/>
        <v>0</v>
      </c>
      <c r="M377" s="20">
        <f>Settings!$B$4+SUM(L$2:L377)</f>
        <v>221.36294236810679</v>
      </c>
    </row>
    <row r="378" spans="10:13" x14ac:dyDescent="0.35">
      <c r="J378" s="16" t="str">
        <f t="shared" si="10"/>
        <v/>
      </c>
      <c r="L378" s="20">
        <f t="shared" si="11"/>
        <v>0</v>
      </c>
      <c r="M378" s="20">
        <f>Settings!$B$4+SUM(L$2:L378)</f>
        <v>221.36294236810679</v>
      </c>
    </row>
    <row r="379" spans="10:13" x14ac:dyDescent="0.35">
      <c r="J379" s="16" t="str">
        <f t="shared" si="10"/>
        <v/>
      </c>
      <c r="L379" s="20">
        <f t="shared" si="11"/>
        <v>0</v>
      </c>
      <c r="M379" s="20">
        <f>Settings!$B$4+SUM(L$2:L379)</f>
        <v>221.36294236810679</v>
      </c>
    </row>
    <row r="380" spans="10:13" x14ac:dyDescent="0.35">
      <c r="J380" s="16" t="str">
        <f t="shared" si="10"/>
        <v/>
      </c>
      <c r="L380" s="20">
        <f t="shared" si="11"/>
        <v>0</v>
      </c>
      <c r="M380" s="20">
        <f>Settings!$B$4+SUM(L$2:L380)</f>
        <v>221.36294236810679</v>
      </c>
    </row>
    <row r="381" spans="10:13" x14ac:dyDescent="0.35">
      <c r="J381" s="16" t="str">
        <f t="shared" si="10"/>
        <v/>
      </c>
      <c r="L381" s="20">
        <f t="shared" si="11"/>
        <v>0</v>
      </c>
      <c r="M381" s="20">
        <f>Settings!$B$4+SUM(L$2:L381)</f>
        <v>221.36294236810679</v>
      </c>
    </row>
    <row r="382" spans="10:13" x14ac:dyDescent="0.35">
      <c r="J382" s="16" t="str">
        <f t="shared" si="10"/>
        <v/>
      </c>
      <c r="L382" s="20">
        <f t="shared" si="11"/>
        <v>0</v>
      </c>
      <c r="M382" s="20">
        <f>Settings!$B$4+SUM(L$2:L382)</f>
        <v>221.36294236810679</v>
      </c>
    </row>
    <row r="383" spans="10:13" x14ac:dyDescent="0.35">
      <c r="J383" s="16" t="str">
        <f t="shared" si="10"/>
        <v/>
      </c>
      <c r="L383" s="20">
        <f t="shared" si="11"/>
        <v>0</v>
      </c>
      <c r="M383" s="20">
        <f>Settings!$B$4+SUM(L$2:L383)</f>
        <v>221.36294236810679</v>
      </c>
    </row>
    <row r="384" spans="10:13" x14ac:dyDescent="0.35">
      <c r="J384" s="16" t="str">
        <f t="shared" si="10"/>
        <v/>
      </c>
      <c r="L384" s="20">
        <f t="shared" si="11"/>
        <v>0</v>
      </c>
      <c r="M384" s="20">
        <f>Settings!$B$4+SUM(L$2:L384)</f>
        <v>221.36294236810679</v>
      </c>
    </row>
    <row r="385" spans="10:13" x14ac:dyDescent="0.35">
      <c r="J385" s="16" t="str">
        <f t="shared" si="10"/>
        <v/>
      </c>
      <c r="L385" s="20">
        <f t="shared" si="11"/>
        <v>0</v>
      </c>
      <c r="M385" s="20">
        <f>Settings!$B$4+SUM(L$2:L385)</f>
        <v>221.36294236810679</v>
      </c>
    </row>
    <row r="386" spans="10:13" x14ac:dyDescent="0.35">
      <c r="J386" s="16" t="str">
        <f t="shared" ref="J386:J449" si="12">IF(I386="","",I386-F386)</f>
        <v/>
      </c>
      <c r="L386" s="20">
        <f t="shared" ref="L386:L449" si="13">IF(K386="W",IF(G386&lt;0,H386*100/ABS(G386),H386*G386/100),IF(K386="L",-H386,0))</f>
        <v>0</v>
      </c>
      <c r="M386" s="20">
        <f>Settings!$B$4+SUM(L$2:L386)</f>
        <v>221.36294236810679</v>
      </c>
    </row>
    <row r="387" spans="10:13" x14ac:dyDescent="0.35">
      <c r="J387" s="16" t="str">
        <f t="shared" si="12"/>
        <v/>
      </c>
      <c r="L387" s="20">
        <f t="shared" si="13"/>
        <v>0</v>
      </c>
      <c r="M387" s="20">
        <f>Settings!$B$4+SUM(L$2:L387)</f>
        <v>221.36294236810679</v>
      </c>
    </row>
    <row r="388" spans="10:13" x14ac:dyDescent="0.35">
      <c r="J388" s="16" t="str">
        <f t="shared" si="12"/>
        <v/>
      </c>
      <c r="L388" s="20">
        <f t="shared" si="13"/>
        <v>0</v>
      </c>
      <c r="M388" s="20">
        <f>Settings!$B$4+SUM(L$2:L388)</f>
        <v>221.36294236810679</v>
      </c>
    </row>
    <row r="389" spans="10:13" x14ac:dyDescent="0.35">
      <c r="J389" s="16" t="str">
        <f t="shared" si="12"/>
        <v/>
      </c>
      <c r="L389" s="20">
        <f t="shared" si="13"/>
        <v>0</v>
      </c>
      <c r="M389" s="20">
        <f>Settings!$B$4+SUM(L$2:L389)</f>
        <v>221.36294236810679</v>
      </c>
    </row>
    <row r="390" spans="10:13" x14ac:dyDescent="0.35">
      <c r="J390" s="16" t="str">
        <f t="shared" si="12"/>
        <v/>
      </c>
      <c r="L390" s="20">
        <f t="shared" si="13"/>
        <v>0</v>
      </c>
      <c r="M390" s="20">
        <f>Settings!$B$4+SUM(L$2:L390)</f>
        <v>221.36294236810679</v>
      </c>
    </row>
    <row r="391" spans="10:13" x14ac:dyDescent="0.35">
      <c r="J391" s="16" t="str">
        <f t="shared" si="12"/>
        <v/>
      </c>
      <c r="L391" s="20">
        <f t="shared" si="13"/>
        <v>0</v>
      </c>
      <c r="M391" s="20">
        <f>Settings!$B$4+SUM(L$2:L391)</f>
        <v>221.36294236810679</v>
      </c>
    </row>
    <row r="392" spans="10:13" x14ac:dyDescent="0.35">
      <c r="J392" s="16" t="str">
        <f t="shared" si="12"/>
        <v/>
      </c>
      <c r="L392" s="20">
        <f t="shared" si="13"/>
        <v>0</v>
      </c>
      <c r="M392" s="20">
        <f>Settings!$B$4+SUM(L$2:L392)</f>
        <v>221.36294236810679</v>
      </c>
    </row>
    <row r="393" spans="10:13" x14ac:dyDescent="0.35">
      <c r="J393" s="16" t="str">
        <f t="shared" si="12"/>
        <v/>
      </c>
      <c r="L393" s="20">
        <f t="shared" si="13"/>
        <v>0</v>
      </c>
      <c r="M393" s="20">
        <f>Settings!$B$4+SUM(L$2:L393)</f>
        <v>221.36294236810679</v>
      </c>
    </row>
    <row r="394" spans="10:13" x14ac:dyDescent="0.35">
      <c r="J394" s="16" t="str">
        <f t="shared" si="12"/>
        <v/>
      </c>
      <c r="L394" s="20">
        <f t="shared" si="13"/>
        <v>0</v>
      </c>
      <c r="M394" s="20">
        <f>Settings!$B$4+SUM(L$2:L394)</f>
        <v>221.36294236810679</v>
      </c>
    </row>
    <row r="395" spans="10:13" x14ac:dyDescent="0.35">
      <c r="J395" s="16" t="str">
        <f t="shared" si="12"/>
        <v/>
      </c>
      <c r="L395" s="20">
        <f t="shared" si="13"/>
        <v>0</v>
      </c>
      <c r="M395" s="20">
        <f>Settings!$B$4+SUM(L$2:L395)</f>
        <v>221.36294236810679</v>
      </c>
    </row>
    <row r="396" spans="10:13" x14ac:dyDescent="0.35">
      <c r="J396" s="16" t="str">
        <f t="shared" si="12"/>
        <v/>
      </c>
      <c r="L396" s="20">
        <f t="shared" si="13"/>
        <v>0</v>
      </c>
      <c r="M396" s="20">
        <f>Settings!$B$4+SUM(L$2:L396)</f>
        <v>221.36294236810679</v>
      </c>
    </row>
    <row r="397" spans="10:13" x14ac:dyDescent="0.35">
      <c r="J397" s="16" t="str">
        <f t="shared" si="12"/>
        <v/>
      </c>
      <c r="L397" s="20">
        <f t="shared" si="13"/>
        <v>0</v>
      </c>
      <c r="M397" s="20">
        <f>Settings!$B$4+SUM(L$2:L397)</f>
        <v>221.36294236810679</v>
      </c>
    </row>
    <row r="398" spans="10:13" x14ac:dyDescent="0.35">
      <c r="J398" s="16" t="str">
        <f t="shared" si="12"/>
        <v/>
      </c>
      <c r="L398" s="20">
        <f t="shared" si="13"/>
        <v>0</v>
      </c>
      <c r="M398" s="20">
        <f>Settings!$B$4+SUM(L$2:L398)</f>
        <v>221.36294236810679</v>
      </c>
    </row>
    <row r="399" spans="10:13" x14ac:dyDescent="0.35">
      <c r="J399" s="16" t="str">
        <f t="shared" si="12"/>
        <v/>
      </c>
      <c r="L399" s="20">
        <f t="shared" si="13"/>
        <v>0</v>
      </c>
      <c r="M399" s="20">
        <f>Settings!$B$4+SUM(L$2:L399)</f>
        <v>221.36294236810679</v>
      </c>
    </row>
    <row r="400" spans="10:13" x14ac:dyDescent="0.35">
      <c r="J400" s="16" t="str">
        <f t="shared" si="12"/>
        <v/>
      </c>
      <c r="L400" s="20">
        <f t="shared" si="13"/>
        <v>0</v>
      </c>
      <c r="M400" s="20">
        <f>Settings!$B$4+SUM(L$2:L400)</f>
        <v>221.36294236810679</v>
      </c>
    </row>
    <row r="401" spans="10:13" x14ac:dyDescent="0.35">
      <c r="J401" s="16" t="str">
        <f t="shared" si="12"/>
        <v/>
      </c>
      <c r="L401" s="20">
        <f t="shared" si="13"/>
        <v>0</v>
      </c>
      <c r="M401" s="20">
        <f>Settings!$B$4+SUM(L$2:L401)</f>
        <v>221.36294236810679</v>
      </c>
    </row>
    <row r="402" spans="10:13" x14ac:dyDescent="0.35">
      <c r="J402" s="16" t="str">
        <f t="shared" si="12"/>
        <v/>
      </c>
      <c r="L402" s="20">
        <f t="shared" si="13"/>
        <v>0</v>
      </c>
      <c r="M402" s="20">
        <f>Settings!$B$4+SUM(L$2:L402)</f>
        <v>221.36294236810679</v>
      </c>
    </row>
    <row r="403" spans="10:13" x14ac:dyDescent="0.35">
      <c r="J403" s="16" t="str">
        <f t="shared" si="12"/>
        <v/>
      </c>
      <c r="L403" s="20">
        <f t="shared" si="13"/>
        <v>0</v>
      </c>
      <c r="M403" s="20">
        <f>Settings!$B$4+SUM(L$2:L403)</f>
        <v>221.36294236810679</v>
      </c>
    </row>
    <row r="404" spans="10:13" x14ac:dyDescent="0.35">
      <c r="J404" s="16" t="str">
        <f t="shared" si="12"/>
        <v/>
      </c>
      <c r="L404" s="20">
        <f t="shared" si="13"/>
        <v>0</v>
      </c>
      <c r="M404" s="20">
        <f>Settings!$B$4+SUM(L$2:L404)</f>
        <v>221.36294236810679</v>
      </c>
    </row>
    <row r="405" spans="10:13" x14ac:dyDescent="0.35">
      <c r="J405" s="16" t="str">
        <f t="shared" si="12"/>
        <v/>
      </c>
      <c r="L405" s="20">
        <f t="shared" si="13"/>
        <v>0</v>
      </c>
      <c r="M405" s="20">
        <f>Settings!$B$4+SUM(L$2:L405)</f>
        <v>221.36294236810679</v>
      </c>
    </row>
    <row r="406" spans="10:13" x14ac:dyDescent="0.35">
      <c r="J406" s="16" t="str">
        <f t="shared" si="12"/>
        <v/>
      </c>
      <c r="L406" s="20">
        <f t="shared" si="13"/>
        <v>0</v>
      </c>
      <c r="M406" s="20">
        <f>Settings!$B$4+SUM(L$2:L406)</f>
        <v>221.36294236810679</v>
      </c>
    </row>
    <row r="407" spans="10:13" x14ac:dyDescent="0.35">
      <c r="J407" s="16" t="str">
        <f t="shared" si="12"/>
        <v/>
      </c>
      <c r="L407" s="20">
        <f t="shared" si="13"/>
        <v>0</v>
      </c>
      <c r="M407" s="20">
        <f>Settings!$B$4+SUM(L$2:L407)</f>
        <v>221.36294236810679</v>
      </c>
    </row>
    <row r="408" spans="10:13" x14ac:dyDescent="0.35">
      <c r="J408" s="16" t="str">
        <f t="shared" si="12"/>
        <v/>
      </c>
      <c r="L408" s="20">
        <f t="shared" si="13"/>
        <v>0</v>
      </c>
      <c r="M408" s="20">
        <f>Settings!$B$4+SUM(L$2:L408)</f>
        <v>221.36294236810679</v>
      </c>
    </row>
    <row r="409" spans="10:13" x14ac:dyDescent="0.35">
      <c r="J409" s="16" t="str">
        <f t="shared" si="12"/>
        <v/>
      </c>
      <c r="L409" s="20">
        <f t="shared" si="13"/>
        <v>0</v>
      </c>
      <c r="M409" s="20">
        <f>Settings!$B$4+SUM(L$2:L409)</f>
        <v>221.36294236810679</v>
      </c>
    </row>
    <row r="410" spans="10:13" x14ac:dyDescent="0.35">
      <c r="J410" s="16" t="str">
        <f t="shared" si="12"/>
        <v/>
      </c>
      <c r="L410" s="20">
        <f t="shared" si="13"/>
        <v>0</v>
      </c>
      <c r="M410" s="20">
        <f>Settings!$B$4+SUM(L$2:L410)</f>
        <v>221.36294236810679</v>
      </c>
    </row>
    <row r="411" spans="10:13" x14ac:dyDescent="0.35">
      <c r="J411" s="16" t="str">
        <f t="shared" si="12"/>
        <v/>
      </c>
      <c r="L411" s="20">
        <f t="shared" si="13"/>
        <v>0</v>
      </c>
      <c r="M411" s="20">
        <f>Settings!$B$4+SUM(L$2:L411)</f>
        <v>221.36294236810679</v>
      </c>
    </row>
    <row r="412" spans="10:13" x14ac:dyDescent="0.35">
      <c r="J412" s="16" t="str">
        <f t="shared" si="12"/>
        <v/>
      </c>
      <c r="L412" s="20">
        <f t="shared" si="13"/>
        <v>0</v>
      </c>
      <c r="M412" s="20">
        <f>Settings!$B$4+SUM(L$2:L412)</f>
        <v>221.36294236810679</v>
      </c>
    </row>
    <row r="413" spans="10:13" x14ac:dyDescent="0.35">
      <c r="J413" s="16" t="str">
        <f t="shared" si="12"/>
        <v/>
      </c>
      <c r="L413" s="20">
        <f t="shared" si="13"/>
        <v>0</v>
      </c>
      <c r="M413" s="20">
        <f>Settings!$B$4+SUM(L$2:L413)</f>
        <v>221.36294236810679</v>
      </c>
    </row>
    <row r="414" spans="10:13" x14ac:dyDescent="0.35">
      <c r="J414" s="16" t="str">
        <f t="shared" si="12"/>
        <v/>
      </c>
      <c r="L414" s="20">
        <f t="shared" si="13"/>
        <v>0</v>
      </c>
      <c r="M414" s="20">
        <f>Settings!$B$4+SUM(L$2:L414)</f>
        <v>221.36294236810679</v>
      </c>
    </row>
    <row r="415" spans="10:13" x14ac:dyDescent="0.35">
      <c r="J415" s="16" t="str">
        <f t="shared" si="12"/>
        <v/>
      </c>
      <c r="L415" s="20">
        <f t="shared" si="13"/>
        <v>0</v>
      </c>
      <c r="M415" s="20">
        <f>Settings!$B$4+SUM(L$2:L415)</f>
        <v>221.36294236810679</v>
      </c>
    </row>
    <row r="416" spans="10:13" x14ac:dyDescent="0.35">
      <c r="J416" s="16" t="str">
        <f t="shared" si="12"/>
        <v/>
      </c>
      <c r="L416" s="20">
        <f t="shared" si="13"/>
        <v>0</v>
      </c>
      <c r="M416" s="20">
        <f>Settings!$B$4+SUM(L$2:L416)</f>
        <v>221.36294236810679</v>
      </c>
    </row>
    <row r="417" spans="10:13" x14ac:dyDescent="0.35">
      <c r="J417" s="16" t="str">
        <f t="shared" si="12"/>
        <v/>
      </c>
      <c r="L417" s="20">
        <f t="shared" si="13"/>
        <v>0</v>
      </c>
      <c r="M417" s="20">
        <f>Settings!$B$4+SUM(L$2:L417)</f>
        <v>221.36294236810679</v>
      </c>
    </row>
    <row r="418" spans="10:13" x14ac:dyDescent="0.35">
      <c r="J418" s="16" t="str">
        <f t="shared" si="12"/>
        <v/>
      </c>
      <c r="L418" s="20">
        <f t="shared" si="13"/>
        <v>0</v>
      </c>
      <c r="M418" s="20">
        <f>Settings!$B$4+SUM(L$2:L418)</f>
        <v>221.36294236810679</v>
      </c>
    </row>
    <row r="419" spans="10:13" x14ac:dyDescent="0.35">
      <c r="J419" s="16" t="str">
        <f t="shared" si="12"/>
        <v/>
      </c>
      <c r="L419" s="20">
        <f t="shared" si="13"/>
        <v>0</v>
      </c>
      <c r="M419" s="20">
        <f>Settings!$B$4+SUM(L$2:L419)</f>
        <v>221.36294236810679</v>
      </c>
    </row>
    <row r="420" spans="10:13" x14ac:dyDescent="0.35">
      <c r="J420" s="16" t="str">
        <f t="shared" si="12"/>
        <v/>
      </c>
      <c r="L420" s="20">
        <f t="shared" si="13"/>
        <v>0</v>
      </c>
      <c r="M420" s="20">
        <f>Settings!$B$4+SUM(L$2:L420)</f>
        <v>221.36294236810679</v>
      </c>
    </row>
    <row r="421" spans="10:13" x14ac:dyDescent="0.35">
      <c r="J421" s="16" t="str">
        <f t="shared" si="12"/>
        <v/>
      </c>
      <c r="L421" s="20">
        <f t="shared" si="13"/>
        <v>0</v>
      </c>
      <c r="M421" s="20">
        <f>Settings!$B$4+SUM(L$2:L421)</f>
        <v>221.36294236810679</v>
      </c>
    </row>
    <row r="422" spans="10:13" x14ac:dyDescent="0.35">
      <c r="J422" s="16" t="str">
        <f t="shared" si="12"/>
        <v/>
      </c>
      <c r="L422" s="20">
        <f t="shared" si="13"/>
        <v>0</v>
      </c>
      <c r="M422" s="20">
        <f>Settings!$B$4+SUM(L$2:L422)</f>
        <v>221.36294236810679</v>
      </c>
    </row>
    <row r="423" spans="10:13" x14ac:dyDescent="0.35">
      <c r="J423" s="16" t="str">
        <f t="shared" si="12"/>
        <v/>
      </c>
      <c r="L423" s="20">
        <f t="shared" si="13"/>
        <v>0</v>
      </c>
      <c r="M423" s="20">
        <f>Settings!$B$4+SUM(L$2:L423)</f>
        <v>221.36294236810679</v>
      </c>
    </row>
    <row r="424" spans="10:13" x14ac:dyDescent="0.35">
      <c r="J424" s="16" t="str">
        <f t="shared" si="12"/>
        <v/>
      </c>
      <c r="L424" s="20">
        <f t="shared" si="13"/>
        <v>0</v>
      </c>
      <c r="M424" s="20">
        <f>Settings!$B$4+SUM(L$2:L424)</f>
        <v>221.36294236810679</v>
      </c>
    </row>
    <row r="425" spans="10:13" x14ac:dyDescent="0.35">
      <c r="J425" s="16" t="str">
        <f t="shared" si="12"/>
        <v/>
      </c>
      <c r="L425" s="20">
        <f t="shared" si="13"/>
        <v>0</v>
      </c>
      <c r="M425" s="20">
        <f>Settings!$B$4+SUM(L$2:L425)</f>
        <v>221.36294236810679</v>
      </c>
    </row>
    <row r="426" spans="10:13" x14ac:dyDescent="0.35">
      <c r="J426" s="16" t="str">
        <f t="shared" si="12"/>
        <v/>
      </c>
      <c r="L426" s="20">
        <f t="shared" si="13"/>
        <v>0</v>
      </c>
      <c r="M426" s="20">
        <f>Settings!$B$4+SUM(L$2:L426)</f>
        <v>221.36294236810679</v>
      </c>
    </row>
    <row r="427" spans="10:13" x14ac:dyDescent="0.35">
      <c r="J427" s="16" t="str">
        <f t="shared" si="12"/>
        <v/>
      </c>
      <c r="L427" s="20">
        <f t="shared" si="13"/>
        <v>0</v>
      </c>
      <c r="M427" s="20">
        <f>Settings!$B$4+SUM(L$2:L427)</f>
        <v>221.36294236810679</v>
      </c>
    </row>
    <row r="428" spans="10:13" x14ac:dyDescent="0.35">
      <c r="J428" s="16" t="str">
        <f t="shared" si="12"/>
        <v/>
      </c>
      <c r="L428" s="20">
        <f t="shared" si="13"/>
        <v>0</v>
      </c>
      <c r="M428" s="20">
        <f>Settings!$B$4+SUM(L$2:L428)</f>
        <v>221.36294236810679</v>
      </c>
    </row>
    <row r="429" spans="10:13" x14ac:dyDescent="0.35">
      <c r="J429" s="16" t="str">
        <f t="shared" si="12"/>
        <v/>
      </c>
      <c r="L429" s="20">
        <f t="shared" si="13"/>
        <v>0</v>
      </c>
      <c r="M429" s="20">
        <f>Settings!$B$4+SUM(L$2:L429)</f>
        <v>221.36294236810679</v>
      </c>
    </row>
    <row r="430" spans="10:13" x14ac:dyDescent="0.35">
      <c r="J430" s="16" t="str">
        <f t="shared" si="12"/>
        <v/>
      </c>
      <c r="L430" s="20">
        <f t="shared" si="13"/>
        <v>0</v>
      </c>
      <c r="M430" s="20">
        <f>Settings!$B$4+SUM(L$2:L430)</f>
        <v>221.36294236810679</v>
      </c>
    </row>
    <row r="431" spans="10:13" x14ac:dyDescent="0.35">
      <c r="J431" s="16" t="str">
        <f t="shared" si="12"/>
        <v/>
      </c>
      <c r="L431" s="20">
        <f t="shared" si="13"/>
        <v>0</v>
      </c>
      <c r="M431" s="20">
        <f>Settings!$B$4+SUM(L$2:L431)</f>
        <v>221.36294236810679</v>
      </c>
    </row>
    <row r="432" spans="10:13" x14ac:dyDescent="0.35">
      <c r="J432" s="16" t="str">
        <f t="shared" si="12"/>
        <v/>
      </c>
      <c r="L432" s="20">
        <f t="shared" si="13"/>
        <v>0</v>
      </c>
      <c r="M432" s="20">
        <f>Settings!$B$4+SUM(L$2:L432)</f>
        <v>221.36294236810679</v>
      </c>
    </row>
    <row r="433" spans="10:13" x14ac:dyDescent="0.35">
      <c r="J433" s="16" t="str">
        <f t="shared" si="12"/>
        <v/>
      </c>
      <c r="L433" s="20">
        <f t="shared" si="13"/>
        <v>0</v>
      </c>
      <c r="M433" s="20">
        <f>Settings!$B$4+SUM(L$2:L433)</f>
        <v>221.36294236810679</v>
      </c>
    </row>
    <row r="434" spans="10:13" x14ac:dyDescent="0.35">
      <c r="J434" s="16" t="str">
        <f t="shared" si="12"/>
        <v/>
      </c>
      <c r="L434" s="20">
        <f t="shared" si="13"/>
        <v>0</v>
      </c>
      <c r="M434" s="20">
        <f>Settings!$B$4+SUM(L$2:L434)</f>
        <v>221.36294236810679</v>
      </c>
    </row>
    <row r="435" spans="10:13" x14ac:dyDescent="0.35">
      <c r="J435" s="16" t="str">
        <f t="shared" si="12"/>
        <v/>
      </c>
      <c r="L435" s="20">
        <f t="shared" si="13"/>
        <v>0</v>
      </c>
      <c r="M435" s="20">
        <f>Settings!$B$4+SUM(L$2:L435)</f>
        <v>221.36294236810679</v>
      </c>
    </row>
    <row r="436" spans="10:13" x14ac:dyDescent="0.35">
      <c r="J436" s="16" t="str">
        <f t="shared" si="12"/>
        <v/>
      </c>
      <c r="L436" s="20">
        <f t="shared" si="13"/>
        <v>0</v>
      </c>
      <c r="M436" s="20">
        <f>Settings!$B$4+SUM(L$2:L436)</f>
        <v>221.36294236810679</v>
      </c>
    </row>
    <row r="437" spans="10:13" x14ac:dyDescent="0.35">
      <c r="J437" s="16" t="str">
        <f t="shared" si="12"/>
        <v/>
      </c>
      <c r="L437" s="20">
        <f t="shared" si="13"/>
        <v>0</v>
      </c>
      <c r="M437" s="20">
        <f>Settings!$B$4+SUM(L$2:L437)</f>
        <v>221.36294236810679</v>
      </c>
    </row>
    <row r="438" spans="10:13" x14ac:dyDescent="0.35">
      <c r="J438" s="16" t="str">
        <f t="shared" si="12"/>
        <v/>
      </c>
      <c r="L438" s="20">
        <f t="shared" si="13"/>
        <v>0</v>
      </c>
      <c r="M438" s="20">
        <f>Settings!$B$4+SUM(L$2:L438)</f>
        <v>221.36294236810679</v>
      </c>
    </row>
    <row r="439" spans="10:13" x14ac:dyDescent="0.35">
      <c r="J439" s="16" t="str">
        <f t="shared" si="12"/>
        <v/>
      </c>
      <c r="L439" s="20">
        <f t="shared" si="13"/>
        <v>0</v>
      </c>
      <c r="M439" s="20">
        <f>Settings!$B$4+SUM(L$2:L439)</f>
        <v>221.36294236810679</v>
      </c>
    </row>
    <row r="440" spans="10:13" x14ac:dyDescent="0.35">
      <c r="J440" s="16" t="str">
        <f t="shared" si="12"/>
        <v/>
      </c>
      <c r="L440" s="20">
        <f t="shared" si="13"/>
        <v>0</v>
      </c>
      <c r="M440" s="20">
        <f>Settings!$B$4+SUM(L$2:L440)</f>
        <v>221.36294236810679</v>
      </c>
    </row>
    <row r="441" spans="10:13" x14ac:dyDescent="0.35">
      <c r="J441" s="16" t="str">
        <f t="shared" si="12"/>
        <v/>
      </c>
      <c r="L441" s="20">
        <f t="shared" si="13"/>
        <v>0</v>
      </c>
      <c r="M441" s="20">
        <f>Settings!$B$4+SUM(L$2:L441)</f>
        <v>221.36294236810679</v>
      </c>
    </row>
    <row r="442" spans="10:13" x14ac:dyDescent="0.35">
      <c r="J442" s="16" t="str">
        <f t="shared" si="12"/>
        <v/>
      </c>
      <c r="L442" s="20">
        <f t="shared" si="13"/>
        <v>0</v>
      </c>
      <c r="M442" s="20">
        <f>Settings!$B$4+SUM(L$2:L442)</f>
        <v>221.36294236810679</v>
      </c>
    </row>
    <row r="443" spans="10:13" x14ac:dyDescent="0.35">
      <c r="J443" s="16" t="str">
        <f t="shared" si="12"/>
        <v/>
      </c>
      <c r="L443" s="20">
        <f t="shared" si="13"/>
        <v>0</v>
      </c>
      <c r="M443" s="20">
        <f>Settings!$B$4+SUM(L$2:L443)</f>
        <v>221.36294236810679</v>
      </c>
    </row>
    <row r="444" spans="10:13" x14ac:dyDescent="0.35">
      <c r="J444" s="16" t="str">
        <f t="shared" si="12"/>
        <v/>
      </c>
      <c r="L444" s="20">
        <f t="shared" si="13"/>
        <v>0</v>
      </c>
      <c r="M444" s="20">
        <f>Settings!$B$4+SUM(L$2:L444)</f>
        <v>221.36294236810679</v>
      </c>
    </row>
    <row r="445" spans="10:13" x14ac:dyDescent="0.35">
      <c r="J445" s="16" t="str">
        <f t="shared" si="12"/>
        <v/>
      </c>
      <c r="L445" s="20">
        <f t="shared" si="13"/>
        <v>0</v>
      </c>
      <c r="M445" s="20">
        <f>Settings!$B$4+SUM(L$2:L445)</f>
        <v>221.36294236810679</v>
      </c>
    </row>
    <row r="446" spans="10:13" x14ac:dyDescent="0.35">
      <c r="J446" s="16" t="str">
        <f t="shared" si="12"/>
        <v/>
      </c>
      <c r="L446" s="20">
        <f t="shared" si="13"/>
        <v>0</v>
      </c>
      <c r="M446" s="20">
        <f>Settings!$B$4+SUM(L$2:L446)</f>
        <v>221.36294236810679</v>
      </c>
    </row>
    <row r="447" spans="10:13" x14ac:dyDescent="0.35">
      <c r="J447" s="16" t="str">
        <f t="shared" si="12"/>
        <v/>
      </c>
      <c r="L447" s="20">
        <f t="shared" si="13"/>
        <v>0</v>
      </c>
      <c r="M447" s="20">
        <f>Settings!$B$4+SUM(L$2:L447)</f>
        <v>221.36294236810679</v>
      </c>
    </row>
    <row r="448" spans="10:13" x14ac:dyDescent="0.35">
      <c r="J448" s="16" t="str">
        <f t="shared" si="12"/>
        <v/>
      </c>
      <c r="L448" s="20">
        <f t="shared" si="13"/>
        <v>0</v>
      </c>
      <c r="M448" s="20">
        <f>Settings!$B$4+SUM(L$2:L448)</f>
        <v>221.36294236810679</v>
      </c>
    </row>
    <row r="449" spans="10:13" x14ac:dyDescent="0.35">
      <c r="J449" s="16" t="str">
        <f t="shared" si="12"/>
        <v/>
      </c>
      <c r="L449" s="20">
        <f t="shared" si="13"/>
        <v>0</v>
      </c>
      <c r="M449" s="20">
        <f>Settings!$B$4+SUM(L$2:L449)</f>
        <v>221.36294236810679</v>
      </c>
    </row>
    <row r="450" spans="10:13" x14ac:dyDescent="0.35">
      <c r="J450" s="16" t="str">
        <f t="shared" ref="J450:J513" si="14">IF(I450="","",I450-F450)</f>
        <v/>
      </c>
      <c r="L450" s="20">
        <f t="shared" ref="L450:L513" si="15">IF(K450="W",IF(G450&lt;0,H450*100/ABS(G450),H450*G450/100),IF(K450="L",-H450,0))</f>
        <v>0</v>
      </c>
      <c r="M450" s="20">
        <f>Settings!$B$4+SUM(L$2:L450)</f>
        <v>221.36294236810679</v>
      </c>
    </row>
    <row r="451" spans="10:13" x14ac:dyDescent="0.35">
      <c r="J451" s="16" t="str">
        <f t="shared" si="14"/>
        <v/>
      </c>
      <c r="L451" s="20">
        <f t="shared" si="15"/>
        <v>0</v>
      </c>
      <c r="M451" s="20">
        <f>Settings!$B$4+SUM(L$2:L451)</f>
        <v>221.36294236810679</v>
      </c>
    </row>
    <row r="452" spans="10:13" x14ac:dyDescent="0.35">
      <c r="J452" s="16" t="str">
        <f t="shared" si="14"/>
        <v/>
      </c>
      <c r="L452" s="20">
        <f t="shared" si="15"/>
        <v>0</v>
      </c>
      <c r="M452" s="20">
        <f>Settings!$B$4+SUM(L$2:L452)</f>
        <v>221.36294236810679</v>
      </c>
    </row>
    <row r="453" spans="10:13" x14ac:dyDescent="0.35">
      <c r="J453" s="16" t="str">
        <f t="shared" si="14"/>
        <v/>
      </c>
      <c r="L453" s="20">
        <f t="shared" si="15"/>
        <v>0</v>
      </c>
      <c r="M453" s="20">
        <f>Settings!$B$4+SUM(L$2:L453)</f>
        <v>221.36294236810679</v>
      </c>
    </row>
    <row r="454" spans="10:13" x14ac:dyDescent="0.35">
      <c r="J454" s="16" t="str">
        <f t="shared" si="14"/>
        <v/>
      </c>
      <c r="L454" s="20">
        <f t="shared" si="15"/>
        <v>0</v>
      </c>
      <c r="M454" s="20">
        <f>Settings!$B$4+SUM(L$2:L454)</f>
        <v>221.36294236810679</v>
      </c>
    </row>
    <row r="455" spans="10:13" x14ac:dyDescent="0.35">
      <c r="J455" s="16" t="str">
        <f t="shared" si="14"/>
        <v/>
      </c>
      <c r="L455" s="20">
        <f t="shared" si="15"/>
        <v>0</v>
      </c>
      <c r="M455" s="20">
        <f>Settings!$B$4+SUM(L$2:L455)</f>
        <v>221.36294236810679</v>
      </c>
    </row>
    <row r="456" spans="10:13" x14ac:dyDescent="0.35">
      <c r="J456" s="16" t="str">
        <f t="shared" si="14"/>
        <v/>
      </c>
      <c r="L456" s="20">
        <f t="shared" si="15"/>
        <v>0</v>
      </c>
      <c r="M456" s="20">
        <f>Settings!$B$4+SUM(L$2:L456)</f>
        <v>221.36294236810679</v>
      </c>
    </row>
    <row r="457" spans="10:13" x14ac:dyDescent="0.35">
      <c r="J457" s="16" t="str">
        <f t="shared" si="14"/>
        <v/>
      </c>
      <c r="L457" s="20">
        <f t="shared" si="15"/>
        <v>0</v>
      </c>
      <c r="M457" s="20">
        <f>Settings!$B$4+SUM(L$2:L457)</f>
        <v>221.36294236810679</v>
      </c>
    </row>
    <row r="458" spans="10:13" x14ac:dyDescent="0.35">
      <c r="J458" s="16" t="str">
        <f t="shared" si="14"/>
        <v/>
      </c>
      <c r="L458" s="20">
        <f t="shared" si="15"/>
        <v>0</v>
      </c>
      <c r="M458" s="20">
        <f>Settings!$B$4+SUM(L$2:L458)</f>
        <v>221.36294236810679</v>
      </c>
    </row>
    <row r="459" spans="10:13" x14ac:dyDescent="0.35">
      <c r="J459" s="16" t="str">
        <f t="shared" si="14"/>
        <v/>
      </c>
      <c r="L459" s="20">
        <f t="shared" si="15"/>
        <v>0</v>
      </c>
      <c r="M459" s="20">
        <f>Settings!$B$4+SUM(L$2:L459)</f>
        <v>221.36294236810679</v>
      </c>
    </row>
    <row r="460" spans="10:13" x14ac:dyDescent="0.35">
      <c r="J460" s="16" t="str">
        <f t="shared" si="14"/>
        <v/>
      </c>
      <c r="L460" s="20">
        <f t="shared" si="15"/>
        <v>0</v>
      </c>
      <c r="M460" s="20">
        <f>Settings!$B$4+SUM(L$2:L460)</f>
        <v>221.36294236810679</v>
      </c>
    </row>
    <row r="461" spans="10:13" x14ac:dyDescent="0.35">
      <c r="J461" s="16" t="str">
        <f t="shared" si="14"/>
        <v/>
      </c>
      <c r="L461" s="20">
        <f t="shared" si="15"/>
        <v>0</v>
      </c>
      <c r="M461" s="20">
        <f>Settings!$B$4+SUM(L$2:L461)</f>
        <v>221.36294236810679</v>
      </c>
    </row>
    <row r="462" spans="10:13" x14ac:dyDescent="0.35">
      <c r="J462" s="16" t="str">
        <f t="shared" si="14"/>
        <v/>
      </c>
      <c r="L462" s="20">
        <f t="shared" si="15"/>
        <v>0</v>
      </c>
      <c r="M462" s="20">
        <f>Settings!$B$4+SUM(L$2:L462)</f>
        <v>221.36294236810679</v>
      </c>
    </row>
    <row r="463" spans="10:13" x14ac:dyDescent="0.35">
      <c r="J463" s="16" t="str">
        <f t="shared" si="14"/>
        <v/>
      </c>
      <c r="L463" s="20">
        <f t="shared" si="15"/>
        <v>0</v>
      </c>
      <c r="M463" s="20">
        <f>Settings!$B$4+SUM(L$2:L463)</f>
        <v>221.36294236810679</v>
      </c>
    </row>
    <row r="464" spans="10:13" x14ac:dyDescent="0.35">
      <c r="J464" s="16" t="str">
        <f t="shared" si="14"/>
        <v/>
      </c>
      <c r="L464" s="20">
        <f t="shared" si="15"/>
        <v>0</v>
      </c>
      <c r="M464" s="20">
        <f>Settings!$B$4+SUM(L$2:L464)</f>
        <v>221.36294236810679</v>
      </c>
    </row>
    <row r="465" spans="10:13" x14ac:dyDescent="0.35">
      <c r="J465" s="16" t="str">
        <f t="shared" si="14"/>
        <v/>
      </c>
      <c r="L465" s="20">
        <f t="shared" si="15"/>
        <v>0</v>
      </c>
      <c r="M465" s="20">
        <f>Settings!$B$4+SUM(L$2:L465)</f>
        <v>221.36294236810679</v>
      </c>
    </row>
    <row r="466" spans="10:13" x14ac:dyDescent="0.35">
      <c r="J466" s="16" t="str">
        <f t="shared" si="14"/>
        <v/>
      </c>
      <c r="L466" s="20">
        <f t="shared" si="15"/>
        <v>0</v>
      </c>
      <c r="M466" s="20">
        <f>Settings!$B$4+SUM(L$2:L466)</f>
        <v>221.36294236810679</v>
      </c>
    </row>
    <row r="467" spans="10:13" x14ac:dyDescent="0.35">
      <c r="J467" s="16" t="str">
        <f t="shared" si="14"/>
        <v/>
      </c>
      <c r="L467" s="20">
        <f t="shared" si="15"/>
        <v>0</v>
      </c>
      <c r="M467" s="20">
        <f>Settings!$B$4+SUM(L$2:L467)</f>
        <v>221.36294236810679</v>
      </c>
    </row>
    <row r="468" spans="10:13" x14ac:dyDescent="0.35">
      <c r="J468" s="16" t="str">
        <f t="shared" si="14"/>
        <v/>
      </c>
      <c r="L468" s="20">
        <f t="shared" si="15"/>
        <v>0</v>
      </c>
      <c r="M468" s="20">
        <f>Settings!$B$4+SUM(L$2:L468)</f>
        <v>221.36294236810679</v>
      </c>
    </row>
    <row r="469" spans="10:13" x14ac:dyDescent="0.35">
      <c r="J469" s="16" t="str">
        <f t="shared" si="14"/>
        <v/>
      </c>
      <c r="L469" s="20">
        <f t="shared" si="15"/>
        <v>0</v>
      </c>
      <c r="M469" s="20">
        <f>Settings!$B$4+SUM(L$2:L469)</f>
        <v>221.36294236810679</v>
      </c>
    </row>
    <row r="470" spans="10:13" x14ac:dyDescent="0.35">
      <c r="J470" s="16" t="str">
        <f t="shared" si="14"/>
        <v/>
      </c>
      <c r="L470" s="20">
        <f t="shared" si="15"/>
        <v>0</v>
      </c>
      <c r="M470" s="20">
        <f>Settings!$B$4+SUM(L$2:L470)</f>
        <v>221.36294236810679</v>
      </c>
    </row>
    <row r="471" spans="10:13" x14ac:dyDescent="0.35">
      <c r="J471" s="16" t="str">
        <f t="shared" si="14"/>
        <v/>
      </c>
      <c r="L471" s="20">
        <f t="shared" si="15"/>
        <v>0</v>
      </c>
      <c r="M471" s="20">
        <f>Settings!$B$4+SUM(L$2:L471)</f>
        <v>221.36294236810679</v>
      </c>
    </row>
    <row r="472" spans="10:13" x14ac:dyDescent="0.35">
      <c r="J472" s="16" t="str">
        <f t="shared" si="14"/>
        <v/>
      </c>
      <c r="L472" s="20">
        <f t="shared" si="15"/>
        <v>0</v>
      </c>
      <c r="M472" s="20">
        <f>Settings!$B$4+SUM(L$2:L472)</f>
        <v>221.36294236810679</v>
      </c>
    </row>
    <row r="473" spans="10:13" x14ac:dyDescent="0.35">
      <c r="J473" s="16" t="str">
        <f t="shared" si="14"/>
        <v/>
      </c>
      <c r="L473" s="20">
        <f t="shared" si="15"/>
        <v>0</v>
      </c>
      <c r="M473" s="20">
        <f>Settings!$B$4+SUM(L$2:L473)</f>
        <v>221.36294236810679</v>
      </c>
    </row>
    <row r="474" spans="10:13" x14ac:dyDescent="0.35">
      <c r="J474" s="16" t="str">
        <f t="shared" si="14"/>
        <v/>
      </c>
      <c r="L474" s="20">
        <f t="shared" si="15"/>
        <v>0</v>
      </c>
      <c r="M474" s="20">
        <f>Settings!$B$4+SUM(L$2:L474)</f>
        <v>221.36294236810679</v>
      </c>
    </row>
    <row r="475" spans="10:13" x14ac:dyDescent="0.35">
      <c r="J475" s="16" t="str">
        <f t="shared" si="14"/>
        <v/>
      </c>
      <c r="L475" s="20">
        <f t="shared" si="15"/>
        <v>0</v>
      </c>
      <c r="M475" s="20">
        <f>Settings!$B$4+SUM(L$2:L475)</f>
        <v>221.36294236810679</v>
      </c>
    </row>
    <row r="476" spans="10:13" x14ac:dyDescent="0.35">
      <c r="J476" s="16" t="str">
        <f t="shared" si="14"/>
        <v/>
      </c>
      <c r="L476" s="20">
        <f t="shared" si="15"/>
        <v>0</v>
      </c>
      <c r="M476" s="20">
        <f>Settings!$B$4+SUM(L$2:L476)</f>
        <v>221.36294236810679</v>
      </c>
    </row>
    <row r="477" spans="10:13" x14ac:dyDescent="0.35">
      <c r="J477" s="16" t="str">
        <f t="shared" si="14"/>
        <v/>
      </c>
      <c r="L477" s="20">
        <f t="shared" si="15"/>
        <v>0</v>
      </c>
      <c r="M477" s="20">
        <f>Settings!$B$4+SUM(L$2:L477)</f>
        <v>221.36294236810679</v>
      </c>
    </row>
    <row r="478" spans="10:13" x14ac:dyDescent="0.35">
      <c r="J478" s="16" t="str">
        <f t="shared" si="14"/>
        <v/>
      </c>
      <c r="L478" s="20">
        <f t="shared" si="15"/>
        <v>0</v>
      </c>
      <c r="M478" s="20">
        <f>Settings!$B$4+SUM(L$2:L478)</f>
        <v>221.36294236810679</v>
      </c>
    </row>
    <row r="479" spans="10:13" x14ac:dyDescent="0.35">
      <c r="J479" s="16" t="str">
        <f t="shared" si="14"/>
        <v/>
      </c>
      <c r="L479" s="20">
        <f t="shared" si="15"/>
        <v>0</v>
      </c>
      <c r="M479" s="20">
        <f>Settings!$B$4+SUM(L$2:L479)</f>
        <v>221.36294236810679</v>
      </c>
    </row>
    <row r="480" spans="10:13" x14ac:dyDescent="0.35">
      <c r="J480" s="16" t="str">
        <f t="shared" si="14"/>
        <v/>
      </c>
      <c r="L480" s="20">
        <f t="shared" si="15"/>
        <v>0</v>
      </c>
      <c r="M480" s="20">
        <f>Settings!$B$4+SUM(L$2:L480)</f>
        <v>221.36294236810679</v>
      </c>
    </row>
    <row r="481" spans="10:13" x14ac:dyDescent="0.35">
      <c r="J481" s="16" t="str">
        <f t="shared" si="14"/>
        <v/>
      </c>
      <c r="L481" s="20">
        <f t="shared" si="15"/>
        <v>0</v>
      </c>
      <c r="M481" s="20">
        <f>Settings!$B$4+SUM(L$2:L481)</f>
        <v>221.36294236810679</v>
      </c>
    </row>
    <row r="482" spans="10:13" x14ac:dyDescent="0.35">
      <c r="J482" s="16" t="str">
        <f t="shared" si="14"/>
        <v/>
      </c>
      <c r="L482" s="20">
        <f t="shared" si="15"/>
        <v>0</v>
      </c>
      <c r="M482" s="20">
        <f>Settings!$B$4+SUM(L$2:L482)</f>
        <v>221.36294236810679</v>
      </c>
    </row>
    <row r="483" spans="10:13" x14ac:dyDescent="0.35">
      <c r="J483" s="16" t="str">
        <f t="shared" si="14"/>
        <v/>
      </c>
      <c r="L483" s="20">
        <f t="shared" si="15"/>
        <v>0</v>
      </c>
      <c r="M483" s="20">
        <f>Settings!$B$4+SUM(L$2:L483)</f>
        <v>221.36294236810679</v>
      </c>
    </row>
    <row r="484" spans="10:13" x14ac:dyDescent="0.35">
      <c r="J484" s="16" t="str">
        <f t="shared" si="14"/>
        <v/>
      </c>
      <c r="L484" s="20">
        <f t="shared" si="15"/>
        <v>0</v>
      </c>
      <c r="M484" s="20">
        <f>Settings!$B$4+SUM(L$2:L484)</f>
        <v>221.36294236810679</v>
      </c>
    </row>
    <row r="485" spans="10:13" x14ac:dyDescent="0.35">
      <c r="J485" s="16" t="str">
        <f t="shared" si="14"/>
        <v/>
      </c>
      <c r="L485" s="20">
        <f t="shared" si="15"/>
        <v>0</v>
      </c>
      <c r="M485" s="20">
        <f>Settings!$B$4+SUM(L$2:L485)</f>
        <v>221.36294236810679</v>
      </c>
    </row>
    <row r="486" spans="10:13" x14ac:dyDescent="0.35">
      <c r="J486" s="16" t="str">
        <f t="shared" si="14"/>
        <v/>
      </c>
      <c r="L486" s="20">
        <f t="shared" si="15"/>
        <v>0</v>
      </c>
      <c r="M486" s="20">
        <f>Settings!$B$4+SUM(L$2:L486)</f>
        <v>221.36294236810679</v>
      </c>
    </row>
    <row r="487" spans="10:13" x14ac:dyDescent="0.35">
      <c r="J487" s="16" t="str">
        <f t="shared" si="14"/>
        <v/>
      </c>
      <c r="L487" s="20">
        <f t="shared" si="15"/>
        <v>0</v>
      </c>
      <c r="M487" s="20">
        <f>Settings!$B$4+SUM(L$2:L487)</f>
        <v>221.36294236810679</v>
      </c>
    </row>
    <row r="488" spans="10:13" x14ac:dyDescent="0.35">
      <c r="J488" s="16" t="str">
        <f t="shared" si="14"/>
        <v/>
      </c>
      <c r="L488" s="20">
        <f t="shared" si="15"/>
        <v>0</v>
      </c>
      <c r="M488" s="20">
        <f>Settings!$B$4+SUM(L$2:L488)</f>
        <v>221.36294236810679</v>
      </c>
    </row>
    <row r="489" spans="10:13" x14ac:dyDescent="0.35">
      <c r="J489" s="16" t="str">
        <f t="shared" si="14"/>
        <v/>
      </c>
      <c r="L489" s="20">
        <f t="shared" si="15"/>
        <v>0</v>
      </c>
      <c r="M489" s="20">
        <f>Settings!$B$4+SUM(L$2:L489)</f>
        <v>221.36294236810679</v>
      </c>
    </row>
    <row r="490" spans="10:13" x14ac:dyDescent="0.35">
      <c r="J490" s="16" t="str">
        <f t="shared" si="14"/>
        <v/>
      </c>
      <c r="L490" s="20">
        <f t="shared" si="15"/>
        <v>0</v>
      </c>
      <c r="M490" s="20">
        <f>Settings!$B$4+SUM(L$2:L490)</f>
        <v>221.36294236810679</v>
      </c>
    </row>
    <row r="491" spans="10:13" x14ac:dyDescent="0.35">
      <c r="J491" s="16" t="str">
        <f t="shared" si="14"/>
        <v/>
      </c>
      <c r="L491" s="20">
        <f t="shared" si="15"/>
        <v>0</v>
      </c>
      <c r="M491" s="20">
        <f>Settings!$B$4+SUM(L$2:L491)</f>
        <v>221.36294236810679</v>
      </c>
    </row>
    <row r="492" spans="10:13" x14ac:dyDescent="0.35">
      <c r="J492" s="16" t="str">
        <f t="shared" si="14"/>
        <v/>
      </c>
      <c r="L492" s="20">
        <f t="shared" si="15"/>
        <v>0</v>
      </c>
      <c r="M492" s="20">
        <f>Settings!$B$4+SUM(L$2:L492)</f>
        <v>221.36294236810679</v>
      </c>
    </row>
    <row r="493" spans="10:13" x14ac:dyDescent="0.35">
      <c r="J493" s="16" t="str">
        <f t="shared" si="14"/>
        <v/>
      </c>
      <c r="L493" s="20">
        <f t="shared" si="15"/>
        <v>0</v>
      </c>
      <c r="M493" s="20">
        <f>Settings!$B$4+SUM(L$2:L493)</f>
        <v>221.36294236810679</v>
      </c>
    </row>
    <row r="494" spans="10:13" x14ac:dyDescent="0.35">
      <c r="J494" s="16" t="str">
        <f t="shared" si="14"/>
        <v/>
      </c>
      <c r="L494" s="20">
        <f t="shared" si="15"/>
        <v>0</v>
      </c>
      <c r="M494" s="20">
        <f>Settings!$B$4+SUM(L$2:L494)</f>
        <v>221.36294236810679</v>
      </c>
    </row>
    <row r="495" spans="10:13" x14ac:dyDescent="0.35">
      <c r="J495" s="16" t="str">
        <f t="shared" si="14"/>
        <v/>
      </c>
      <c r="L495" s="20">
        <f t="shared" si="15"/>
        <v>0</v>
      </c>
      <c r="M495" s="20">
        <f>Settings!$B$4+SUM(L$2:L495)</f>
        <v>221.36294236810679</v>
      </c>
    </row>
    <row r="496" spans="10:13" x14ac:dyDescent="0.35">
      <c r="J496" s="16" t="str">
        <f t="shared" si="14"/>
        <v/>
      </c>
      <c r="L496" s="20">
        <f t="shared" si="15"/>
        <v>0</v>
      </c>
      <c r="M496" s="20">
        <f>Settings!$B$4+SUM(L$2:L496)</f>
        <v>221.36294236810679</v>
      </c>
    </row>
    <row r="497" spans="1:13" x14ac:dyDescent="0.35">
      <c r="J497" s="16" t="str">
        <f t="shared" si="14"/>
        <v/>
      </c>
      <c r="L497" s="20">
        <f t="shared" si="15"/>
        <v>0</v>
      </c>
      <c r="M497" s="20">
        <f>Settings!$B$4+SUM(L$2:L497)</f>
        <v>221.36294236810679</v>
      </c>
    </row>
    <row r="498" spans="1:13" x14ac:dyDescent="0.35">
      <c r="J498" s="16" t="str">
        <f t="shared" si="14"/>
        <v/>
      </c>
      <c r="L498" s="20">
        <f t="shared" si="15"/>
        <v>0</v>
      </c>
      <c r="M498" s="20">
        <f>Settings!$B$4+SUM(L$2:L498)</f>
        <v>221.36294236810679</v>
      </c>
    </row>
    <row r="499" spans="1:13" x14ac:dyDescent="0.35">
      <c r="J499" s="16" t="str">
        <f t="shared" si="14"/>
        <v/>
      </c>
      <c r="L499" s="20">
        <f t="shared" si="15"/>
        <v>0</v>
      </c>
      <c r="M499" s="20">
        <f>Settings!$B$4+SUM(L$2:L499)</f>
        <v>221.36294236810679</v>
      </c>
    </row>
    <row r="500" spans="1:13" x14ac:dyDescent="0.35">
      <c r="J500" s="16" t="str">
        <f t="shared" si="14"/>
        <v/>
      </c>
      <c r="L500" s="20">
        <f t="shared" si="15"/>
        <v>0</v>
      </c>
      <c r="M500" s="20">
        <f>Settings!$B$4+SUM(L$2:L500)</f>
        <v>221.36294236810679</v>
      </c>
    </row>
    <row r="503" spans="1:13" x14ac:dyDescent="0.35">
      <c r="A503" s="2" t="s">
        <v>544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545</v>
      </c>
      <c r="B1" s="5" t="s">
        <v>546</v>
      </c>
      <c r="C1" s="5" t="s">
        <v>547</v>
      </c>
      <c r="D1" s="5" t="s">
        <v>548</v>
      </c>
      <c r="E1" s="5" t="s">
        <v>549</v>
      </c>
      <c r="F1" s="5" t="s">
        <v>550</v>
      </c>
      <c r="G1" s="5" t="s">
        <v>551</v>
      </c>
      <c r="H1" s="5" t="s">
        <v>552</v>
      </c>
      <c r="I1" s="5" t="s">
        <v>429</v>
      </c>
    </row>
    <row r="2" spans="1:9" ht="14.25" customHeight="1" x14ac:dyDescent="0.35">
      <c r="A2" s="6" t="s">
        <v>467</v>
      </c>
      <c r="B2" s="6" t="s">
        <v>553</v>
      </c>
      <c r="C2" s="6" t="s">
        <v>554</v>
      </c>
      <c r="D2" s="9">
        <v>1760.7</v>
      </c>
      <c r="E2" s="9">
        <v>4.2</v>
      </c>
      <c r="F2" s="9">
        <v>0.15682460749059801</v>
      </c>
      <c r="G2" s="9">
        <v>-0.15609768018813189</v>
      </c>
      <c r="H2" s="9">
        <v>117</v>
      </c>
      <c r="I2" s="2" t="s">
        <v>555</v>
      </c>
    </row>
    <row r="3" spans="1:9" ht="14.25" customHeight="1" x14ac:dyDescent="0.35">
      <c r="A3" s="6" t="s">
        <v>454</v>
      </c>
      <c r="B3" s="6" t="s">
        <v>556</v>
      </c>
      <c r="C3" s="6" t="s">
        <v>557</v>
      </c>
      <c r="D3" s="9">
        <v>1583.6</v>
      </c>
      <c r="E3" s="9">
        <v>-2.7</v>
      </c>
      <c r="F3" s="9">
        <v>-5.2489309445280651E-2</v>
      </c>
      <c r="G3" s="9">
        <v>0.14710564000270929</v>
      </c>
      <c r="H3" s="9">
        <v>63</v>
      </c>
      <c r="I3" s="2" t="s">
        <v>558</v>
      </c>
    </row>
    <row r="4" spans="1:9" ht="14.25" customHeight="1" x14ac:dyDescent="0.35">
      <c r="A4" s="6" t="s">
        <v>460</v>
      </c>
      <c r="B4" s="6" t="s">
        <v>556</v>
      </c>
      <c r="C4" s="6" t="s">
        <v>557</v>
      </c>
      <c r="D4" s="9">
        <v>1575.5</v>
      </c>
      <c r="E4" s="9">
        <v>5</v>
      </c>
      <c r="F4" s="9">
        <v>0.1020851442163246</v>
      </c>
      <c r="G4" s="9">
        <v>-0.21953357820649061</v>
      </c>
      <c r="H4" s="9">
        <v>87</v>
      </c>
      <c r="I4" s="2" t="s">
        <v>559</v>
      </c>
    </row>
    <row r="5" spans="1:9" ht="14.25" customHeight="1" x14ac:dyDescent="0.35">
      <c r="A5" s="6" t="s">
        <v>458</v>
      </c>
      <c r="B5" s="6" t="s">
        <v>556</v>
      </c>
      <c r="C5" s="6" t="s">
        <v>557</v>
      </c>
      <c r="D5" s="9">
        <v>1506.1</v>
      </c>
      <c r="E5" s="9">
        <v>-5.8</v>
      </c>
      <c r="F5" s="9">
        <v>3.2940963609442007E-2</v>
      </c>
      <c r="G5" s="9">
        <v>0.12966446420247421</v>
      </c>
      <c r="H5" s="9">
        <v>124</v>
      </c>
      <c r="I5" s="2" t="s">
        <v>560</v>
      </c>
    </row>
    <row r="6" spans="1:9" ht="14.25" customHeight="1" x14ac:dyDescent="0.35">
      <c r="A6" s="6" t="s">
        <v>462</v>
      </c>
      <c r="B6" s="6" t="s">
        <v>556</v>
      </c>
      <c r="C6" s="6" t="s">
        <v>557</v>
      </c>
      <c r="D6" s="9">
        <v>1489.8</v>
      </c>
      <c r="E6" s="9">
        <v>-0.1</v>
      </c>
      <c r="F6" s="9">
        <v>0.31687248688952668</v>
      </c>
      <c r="G6" s="9">
        <v>-7.9004412866496912E-2</v>
      </c>
      <c r="H6" s="9">
        <v>141</v>
      </c>
      <c r="I6" s="2" t="s">
        <v>561</v>
      </c>
    </row>
    <row r="7" spans="1:9" ht="14.25" customHeight="1" x14ac:dyDescent="0.35">
      <c r="A7" s="6" t="s">
        <v>459</v>
      </c>
      <c r="B7" s="6" t="s">
        <v>556</v>
      </c>
      <c r="C7" s="6" t="s">
        <v>557</v>
      </c>
      <c r="D7" s="9">
        <v>1399.2</v>
      </c>
      <c r="E7" s="9">
        <v>-13.7</v>
      </c>
      <c r="F7" s="9">
        <v>4.0581748695027432E-2</v>
      </c>
      <c r="G7" s="9">
        <v>0.14121999790364079</v>
      </c>
      <c r="H7" s="9">
        <v>114</v>
      </c>
      <c r="I7" s="2" t="s">
        <v>562</v>
      </c>
    </row>
    <row r="8" spans="1:9" ht="14.25" customHeight="1" x14ac:dyDescent="0.35">
      <c r="A8" s="6" t="s">
        <v>456</v>
      </c>
      <c r="B8" s="6" t="s">
        <v>563</v>
      </c>
      <c r="C8" s="6" t="s">
        <v>554</v>
      </c>
      <c r="D8" s="9">
        <v>1385.2</v>
      </c>
      <c r="E8" s="9">
        <v>-16.899999999999999</v>
      </c>
      <c r="F8" s="9">
        <v>-0.14212530709228791</v>
      </c>
      <c r="G8" s="9">
        <v>0.13763371085684481</v>
      </c>
      <c r="H8" s="9">
        <v>82</v>
      </c>
      <c r="I8" s="2" t="s">
        <v>564</v>
      </c>
    </row>
    <row r="9" spans="1:9" ht="14.25" customHeight="1" x14ac:dyDescent="0.35">
      <c r="A9" s="6" t="s">
        <v>468</v>
      </c>
      <c r="B9" s="6" t="s">
        <v>556</v>
      </c>
      <c r="C9" s="6" t="s">
        <v>557</v>
      </c>
      <c r="D9" s="9">
        <v>1428.8</v>
      </c>
      <c r="E9" s="9">
        <v>-12.5</v>
      </c>
      <c r="F9" s="9">
        <v>8.2208844058065736E-2</v>
      </c>
      <c r="G9" s="9">
        <v>6.6097430840985613E-2</v>
      </c>
      <c r="H9" s="9">
        <v>129</v>
      </c>
      <c r="I9" s="2" t="s">
        <v>559</v>
      </c>
    </row>
    <row r="10" spans="1:9" ht="14.25" customHeight="1" x14ac:dyDescent="0.35">
      <c r="A10" s="6" t="s">
        <v>466</v>
      </c>
      <c r="B10" s="6" t="s">
        <v>556</v>
      </c>
      <c r="C10" s="6" t="s">
        <v>557</v>
      </c>
      <c r="D10" s="9">
        <v>1393.9</v>
      </c>
      <c r="E10" s="9">
        <v>-7.6</v>
      </c>
      <c r="F10" s="9">
        <v>7.8258503292111356E-2</v>
      </c>
      <c r="G10" s="9">
        <v>0.1036882953044283</v>
      </c>
      <c r="H10" s="9">
        <v>98</v>
      </c>
      <c r="I10" s="2" t="s">
        <v>565</v>
      </c>
    </row>
    <row r="11" spans="1:9" ht="14.25" customHeight="1" x14ac:dyDescent="0.35">
      <c r="A11" s="6" t="s">
        <v>465</v>
      </c>
      <c r="B11" s="6" t="s">
        <v>566</v>
      </c>
      <c r="C11" s="6" t="s">
        <v>554</v>
      </c>
      <c r="D11" s="9">
        <v>1375.4</v>
      </c>
      <c r="E11" s="9">
        <v>-16.2</v>
      </c>
      <c r="F11" s="9">
        <v>-0.16705475460225369</v>
      </c>
      <c r="G11" s="9">
        <v>0.23436929762016581</v>
      </c>
      <c r="H11" s="9">
        <v>92</v>
      </c>
      <c r="I11" s="2" t="s">
        <v>567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63"/>
  <sheetViews>
    <sheetView showGridLines="0" workbookViewId="0">
      <pane ySplit="2" topLeftCell="A34" activePane="bottomLeft" state="frozen"/>
      <selection pane="bottomLeft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x14ac:dyDescent="0.4">
      <c r="A1" s="12" t="s">
        <v>0</v>
      </c>
    </row>
    <row r="2" spans="1:12" x14ac:dyDescent="0.35">
      <c r="A2" s="13" t="s">
        <v>1</v>
      </c>
    </row>
    <row r="4" spans="1:12" x14ac:dyDescent="0.35">
      <c r="A4" s="14" t="s">
        <v>2</v>
      </c>
    </row>
    <row r="5" spans="1:12" ht="39" x14ac:dyDescent="0.3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  <c r="F5" s="15" t="s">
        <v>8</v>
      </c>
      <c r="G5" s="15" t="s">
        <v>9</v>
      </c>
      <c r="H5" s="15" t="s">
        <v>10</v>
      </c>
      <c r="I5" s="15" t="s">
        <v>11</v>
      </c>
      <c r="J5" s="15" t="s">
        <v>12</v>
      </c>
      <c r="K5" s="15" t="s">
        <v>13</v>
      </c>
      <c r="L5" s="15" t="s">
        <v>14</v>
      </c>
    </row>
    <row r="6" spans="1:12" x14ac:dyDescent="0.35">
      <c r="A6" s="16" t="s">
        <v>15</v>
      </c>
      <c r="B6" s="16">
        <v>8618</v>
      </c>
      <c r="C6" s="16">
        <v>183</v>
      </c>
      <c r="D6" s="16">
        <v>107</v>
      </c>
      <c r="E6" s="16">
        <v>76</v>
      </c>
      <c r="F6" s="16">
        <v>2</v>
      </c>
      <c r="G6" s="16" t="s">
        <v>16</v>
      </c>
      <c r="H6" s="16" t="s">
        <v>17</v>
      </c>
      <c r="I6" s="16">
        <v>155</v>
      </c>
      <c r="J6" s="16" t="s">
        <v>18</v>
      </c>
      <c r="K6" s="16" t="s">
        <v>19</v>
      </c>
      <c r="L6" s="16" t="s">
        <v>20</v>
      </c>
    </row>
    <row r="7" spans="1:12" x14ac:dyDescent="0.35">
      <c r="A7" s="16" t="s">
        <v>21</v>
      </c>
      <c r="B7" s="16">
        <v>978</v>
      </c>
      <c r="C7" s="16">
        <v>22</v>
      </c>
      <c r="D7" s="16">
        <v>16</v>
      </c>
      <c r="E7" s="16">
        <v>6</v>
      </c>
      <c r="F7" s="16">
        <v>0</v>
      </c>
      <c r="G7" s="16" t="s">
        <v>22</v>
      </c>
      <c r="H7" s="16" t="s">
        <v>23</v>
      </c>
      <c r="I7" s="16">
        <v>20</v>
      </c>
      <c r="J7" s="16" t="s">
        <v>24</v>
      </c>
      <c r="K7" s="16" t="s">
        <v>25</v>
      </c>
      <c r="L7" s="16" t="s">
        <v>26</v>
      </c>
    </row>
    <row r="8" spans="1:12" x14ac:dyDescent="0.35">
      <c r="A8" s="16" t="s">
        <v>27</v>
      </c>
      <c r="B8" s="16">
        <v>8618</v>
      </c>
      <c r="C8" s="16">
        <v>8548</v>
      </c>
      <c r="D8" s="16">
        <v>4273</v>
      </c>
      <c r="E8" s="16">
        <v>4275</v>
      </c>
      <c r="F8" s="16">
        <v>70</v>
      </c>
      <c r="G8" s="16" t="s">
        <v>28</v>
      </c>
      <c r="H8" s="16" t="s">
        <v>29</v>
      </c>
      <c r="I8" s="16">
        <v>6762</v>
      </c>
      <c r="J8" s="16" t="s">
        <v>30</v>
      </c>
      <c r="K8" s="16" t="s">
        <v>31</v>
      </c>
      <c r="L8" s="16" t="s">
        <v>32</v>
      </c>
    </row>
    <row r="9" spans="1:12" x14ac:dyDescent="0.35">
      <c r="A9" s="16" t="s">
        <v>33</v>
      </c>
      <c r="B9" s="16">
        <v>978</v>
      </c>
      <c r="C9" s="16">
        <v>966</v>
      </c>
      <c r="D9" s="16">
        <v>492</v>
      </c>
      <c r="E9" s="16">
        <v>474</v>
      </c>
      <c r="F9" s="16">
        <v>12</v>
      </c>
      <c r="G9" s="16" t="s">
        <v>34</v>
      </c>
      <c r="H9" s="16" t="s">
        <v>35</v>
      </c>
      <c r="I9" s="16">
        <v>784</v>
      </c>
      <c r="J9" s="16" t="s">
        <v>36</v>
      </c>
      <c r="K9" s="16" t="s">
        <v>37</v>
      </c>
      <c r="L9" s="16" t="s">
        <v>38</v>
      </c>
    </row>
    <row r="10" spans="1:12" x14ac:dyDescent="0.35">
      <c r="A10" s="16" t="s">
        <v>39</v>
      </c>
      <c r="B10" s="16">
        <v>8618</v>
      </c>
      <c r="C10" s="16">
        <v>8548</v>
      </c>
      <c r="D10" s="16">
        <v>4261</v>
      </c>
      <c r="E10" s="16">
        <v>4287</v>
      </c>
      <c r="F10" s="16">
        <v>70</v>
      </c>
      <c r="G10" s="16" t="s">
        <v>40</v>
      </c>
      <c r="H10" s="16" t="s">
        <v>41</v>
      </c>
      <c r="I10" s="16">
        <v>6695</v>
      </c>
      <c r="J10" s="16" t="s">
        <v>42</v>
      </c>
      <c r="K10" s="16" t="s">
        <v>43</v>
      </c>
      <c r="L10" s="16" t="s">
        <v>44</v>
      </c>
    </row>
    <row r="11" spans="1:12" x14ac:dyDescent="0.35">
      <c r="A11" s="16" t="s">
        <v>45</v>
      </c>
      <c r="B11" s="16">
        <v>978</v>
      </c>
      <c r="C11" s="16">
        <v>966</v>
      </c>
      <c r="D11" s="16">
        <v>487</v>
      </c>
      <c r="E11" s="16">
        <v>479</v>
      </c>
      <c r="F11" s="16">
        <v>12</v>
      </c>
      <c r="G11" s="16" t="s">
        <v>46</v>
      </c>
      <c r="H11" s="16" t="s">
        <v>47</v>
      </c>
      <c r="I11" s="16">
        <v>747</v>
      </c>
      <c r="J11" s="16" t="s">
        <v>48</v>
      </c>
      <c r="K11" s="16" t="s">
        <v>49</v>
      </c>
      <c r="L11" s="16" t="s">
        <v>50</v>
      </c>
    </row>
    <row r="12" spans="1:12" x14ac:dyDescent="0.35">
      <c r="A12" s="16" t="s">
        <v>51</v>
      </c>
      <c r="B12" s="16">
        <v>8618</v>
      </c>
      <c r="C12" s="16">
        <v>7369</v>
      </c>
      <c r="D12" s="16">
        <v>3730</v>
      </c>
      <c r="E12" s="16">
        <v>3639</v>
      </c>
      <c r="F12" s="16">
        <v>60</v>
      </c>
      <c r="G12" s="16" t="s">
        <v>52</v>
      </c>
      <c r="H12" s="16" t="s">
        <v>53</v>
      </c>
      <c r="I12" s="16">
        <v>5613</v>
      </c>
      <c r="J12" s="16" t="s">
        <v>52</v>
      </c>
      <c r="K12" s="16" t="s">
        <v>54</v>
      </c>
      <c r="L12" s="16" t="s">
        <v>55</v>
      </c>
    </row>
    <row r="13" spans="1:12" x14ac:dyDescent="0.35">
      <c r="A13" s="16" t="s">
        <v>56</v>
      </c>
      <c r="B13" s="16">
        <v>978</v>
      </c>
      <c r="C13" s="16">
        <v>825</v>
      </c>
      <c r="D13" s="16">
        <v>416</v>
      </c>
      <c r="E13" s="16">
        <v>409</v>
      </c>
      <c r="F13" s="16">
        <v>10</v>
      </c>
      <c r="G13" s="16" t="s">
        <v>46</v>
      </c>
      <c r="H13" s="16" t="s">
        <v>57</v>
      </c>
      <c r="I13" s="16">
        <v>626</v>
      </c>
      <c r="J13" s="16" t="s">
        <v>58</v>
      </c>
      <c r="K13" s="16" t="s">
        <v>59</v>
      </c>
      <c r="L13" s="16" t="s">
        <v>60</v>
      </c>
    </row>
    <row r="15" spans="1:12" x14ac:dyDescent="0.35">
      <c r="A15" s="14" t="s">
        <v>61</v>
      </c>
    </row>
    <row r="16" spans="1:12" ht="39" x14ac:dyDescent="0.35">
      <c r="A16" s="15" t="s">
        <v>3</v>
      </c>
      <c r="B16" s="15" t="s">
        <v>4</v>
      </c>
      <c r="C16" s="15" t="s">
        <v>5</v>
      </c>
      <c r="D16" s="15" t="s">
        <v>6</v>
      </c>
      <c r="E16" s="15" t="s">
        <v>7</v>
      </c>
      <c r="F16" s="15" t="s">
        <v>8</v>
      </c>
      <c r="G16" s="15" t="s">
        <v>9</v>
      </c>
      <c r="H16" s="15" t="s">
        <v>10</v>
      </c>
      <c r="I16" s="15" t="s">
        <v>11</v>
      </c>
      <c r="J16" s="15" t="s">
        <v>12</v>
      </c>
      <c r="K16" s="15" t="s">
        <v>13</v>
      </c>
      <c r="L16" s="15" t="s">
        <v>14</v>
      </c>
    </row>
    <row r="17" spans="1:12" x14ac:dyDescent="0.35">
      <c r="A17" s="16" t="s">
        <v>15</v>
      </c>
      <c r="B17" s="16">
        <v>185</v>
      </c>
      <c r="C17" s="16">
        <v>183</v>
      </c>
      <c r="D17" s="16">
        <v>107</v>
      </c>
      <c r="E17" s="16">
        <v>76</v>
      </c>
      <c r="F17" s="16">
        <v>2</v>
      </c>
      <c r="G17" s="16" t="s">
        <v>16</v>
      </c>
      <c r="H17" s="16" t="s">
        <v>17</v>
      </c>
      <c r="I17" s="16">
        <v>155</v>
      </c>
      <c r="J17" s="16" t="s">
        <v>18</v>
      </c>
      <c r="K17" s="16" t="s">
        <v>19</v>
      </c>
      <c r="L17" s="16" t="s">
        <v>20</v>
      </c>
    </row>
    <row r="18" spans="1:12" x14ac:dyDescent="0.35">
      <c r="A18" s="16" t="s">
        <v>21</v>
      </c>
      <c r="B18" s="16">
        <v>22</v>
      </c>
      <c r="C18" s="16">
        <v>22</v>
      </c>
      <c r="D18" s="16">
        <v>16</v>
      </c>
      <c r="E18" s="16">
        <v>6</v>
      </c>
      <c r="F18" s="16">
        <v>0</v>
      </c>
      <c r="G18" s="16" t="s">
        <v>22</v>
      </c>
      <c r="H18" s="16" t="s">
        <v>23</v>
      </c>
      <c r="I18" s="16">
        <v>20</v>
      </c>
      <c r="J18" s="16" t="s">
        <v>24</v>
      </c>
      <c r="K18" s="16" t="s">
        <v>25</v>
      </c>
      <c r="L18" s="16" t="s">
        <v>26</v>
      </c>
    </row>
    <row r="19" spans="1:12" x14ac:dyDescent="0.35">
      <c r="A19" s="16" t="s">
        <v>27</v>
      </c>
      <c r="B19" s="16">
        <v>185</v>
      </c>
      <c r="C19" s="16">
        <v>183</v>
      </c>
      <c r="D19" s="16">
        <v>78</v>
      </c>
      <c r="E19" s="16">
        <v>105</v>
      </c>
      <c r="F19" s="16">
        <v>2</v>
      </c>
      <c r="G19" s="16" t="s">
        <v>62</v>
      </c>
      <c r="H19" s="16" t="s">
        <v>63</v>
      </c>
      <c r="I19" s="16">
        <v>166</v>
      </c>
      <c r="J19" s="16" t="s">
        <v>64</v>
      </c>
      <c r="K19" s="16" t="s">
        <v>65</v>
      </c>
      <c r="L19" s="16" t="s">
        <v>66</v>
      </c>
    </row>
    <row r="20" spans="1:12" x14ac:dyDescent="0.35">
      <c r="A20" s="16" t="s">
        <v>33</v>
      </c>
      <c r="B20" s="16">
        <v>22</v>
      </c>
      <c r="C20" s="16">
        <v>22</v>
      </c>
      <c r="D20" s="16">
        <v>11</v>
      </c>
      <c r="E20" s="16">
        <v>11</v>
      </c>
      <c r="F20" s="16">
        <v>0</v>
      </c>
      <c r="G20" s="16" t="s">
        <v>28</v>
      </c>
      <c r="H20" s="16" t="s">
        <v>67</v>
      </c>
      <c r="I20" s="16">
        <v>19</v>
      </c>
      <c r="J20" s="16" t="s">
        <v>68</v>
      </c>
      <c r="K20" s="16" t="s">
        <v>25</v>
      </c>
      <c r="L20" s="16" t="s">
        <v>69</v>
      </c>
    </row>
    <row r="21" spans="1:12" x14ac:dyDescent="0.35">
      <c r="A21" s="16" t="s">
        <v>39</v>
      </c>
      <c r="B21" s="16">
        <v>185</v>
      </c>
      <c r="C21" s="16">
        <v>183</v>
      </c>
      <c r="D21" s="16">
        <v>85</v>
      </c>
      <c r="E21" s="16">
        <v>98</v>
      </c>
      <c r="F21" s="16">
        <v>2</v>
      </c>
      <c r="G21" s="16" t="s">
        <v>70</v>
      </c>
      <c r="H21" s="16" t="s">
        <v>71</v>
      </c>
      <c r="I21" s="16">
        <v>154</v>
      </c>
      <c r="J21" s="16" t="s">
        <v>72</v>
      </c>
      <c r="K21" s="16" t="s">
        <v>73</v>
      </c>
      <c r="L21" s="16" t="s">
        <v>74</v>
      </c>
    </row>
    <row r="22" spans="1:12" x14ac:dyDescent="0.35">
      <c r="A22" s="16" t="s">
        <v>45</v>
      </c>
      <c r="B22" s="16">
        <v>22</v>
      </c>
      <c r="C22" s="16">
        <v>22</v>
      </c>
      <c r="D22" s="16">
        <v>8</v>
      </c>
      <c r="E22" s="16">
        <v>14</v>
      </c>
      <c r="F22" s="16">
        <v>0</v>
      </c>
      <c r="G22" s="16" t="s">
        <v>75</v>
      </c>
      <c r="H22" s="16" t="s">
        <v>76</v>
      </c>
      <c r="I22" s="16">
        <v>16</v>
      </c>
      <c r="J22" s="16" t="s">
        <v>77</v>
      </c>
      <c r="K22" s="16" t="s">
        <v>78</v>
      </c>
      <c r="L22" s="16" t="s">
        <v>79</v>
      </c>
    </row>
    <row r="23" spans="1:12" x14ac:dyDescent="0.35">
      <c r="A23" s="16" t="s">
        <v>51</v>
      </c>
      <c r="B23" s="16">
        <v>185</v>
      </c>
      <c r="C23" s="16">
        <v>86</v>
      </c>
      <c r="D23" s="16">
        <v>35</v>
      </c>
      <c r="E23" s="16">
        <v>51</v>
      </c>
      <c r="F23" s="16">
        <v>0</v>
      </c>
      <c r="G23" s="16" t="s">
        <v>80</v>
      </c>
      <c r="H23" s="16" t="s">
        <v>81</v>
      </c>
      <c r="I23" s="16">
        <v>81</v>
      </c>
      <c r="J23" s="16" t="s">
        <v>80</v>
      </c>
      <c r="K23" s="16" t="s">
        <v>82</v>
      </c>
      <c r="L23" s="16" t="s">
        <v>83</v>
      </c>
    </row>
    <row r="24" spans="1:12" x14ac:dyDescent="0.35">
      <c r="A24" s="16" t="s">
        <v>56</v>
      </c>
      <c r="B24" s="16">
        <v>22</v>
      </c>
      <c r="C24" s="16">
        <v>9</v>
      </c>
      <c r="D24" s="16">
        <v>4</v>
      </c>
      <c r="E24" s="16">
        <v>5</v>
      </c>
      <c r="F24" s="16">
        <v>0</v>
      </c>
      <c r="G24" s="16" t="s">
        <v>84</v>
      </c>
      <c r="H24" s="16" t="s">
        <v>85</v>
      </c>
      <c r="I24" s="16">
        <v>8</v>
      </c>
      <c r="J24" s="16" t="s">
        <v>86</v>
      </c>
      <c r="K24" s="16" t="s">
        <v>87</v>
      </c>
      <c r="L24" s="16" t="s">
        <v>88</v>
      </c>
    </row>
    <row r="26" spans="1:12" x14ac:dyDescent="0.35">
      <c r="A26" s="13" t="s">
        <v>89</v>
      </c>
    </row>
    <row r="28" spans="1:12" x14ac:dyDescent="0.35">
      <c r="A28" s="14" t="s">
        <v>90</v>
      </c>
    </row>
    <row r="29" spans="1:12" x14ac:dyDescent="0.35">
      <c r="A29" s="13" t="s">
        <v>91</v>
      </c>
    </row>
    <row r="30" spans="1:12" ht="39" x14ac:dyDescent="0.35">
      <c r="A30" s="15" t="s">
        <v>92</v>
      </c>
      <c r="B30" s="15" t="s">
        <v>93</v>
      </c>
      <c r="C30" s="15" t="s">
        <v>94</v>
      </c>
      <c r="D30" s="15" t="s">
        <v>95</v>
      </c>
      <c r="E30" s="15" t="s">
        <v>96</v>
      </c>
      <c r="F30" s="15" t="s">
        <v>97</v>
      </c>
      <c r="G30" s="15" t="s">
        <v>98</v>
      </c>
      <c r="H30" s="15" t="s">
        <v>99</v>
      </c>
      <c r="I30" s="15" t="s">
        <v>100</v>
      </c>
      <c r="J30" s="15" t="s">
        <v>101</v>
      </c>
      <c r="K30" s="15" t="s">
        <v>102</v>
      </c>
    </row>
    <row r="31" spans="1:12" x14ac:dyDescent="0.35">
      <c r="A31" s="16">
        <v>4</v>
      </c>
      <c r="B31" s="16" t="s">
        <v>103</v>
      </c>
      <c r="C31" s="16" t="s">
        <v>104</v>
      </c>
      <c r="D31" s="16" t="s">
        <v>105</v>
      </c>
      <c r="E31" s="16" t="s">
        <v>106</v>
      </c>
      <c r="F31" s="16" t="s">
        <v>107</v>
      </c>
      <c r="G31" s="16" t="s">
        <v>108</v>
      </c>
      <c r="H31" s="16" t="s">
        <v>108</v>
      </c>
      <c r="I31" s="16" t="s">
        <v>108</v>
      </c>
      <c r="J31" s="16" t="s">
        <v>108</v>
      </c>
      <c r="K31" s="16" t="s">
        <v>108</v>
      </c>
    </row>
    <row r="32" spans="1:12" x14ac:dyDescent="0.35">
      <c r="A32" s="16">
        <v>4</v>
      </c>
      <c r="B32" s="16" t="s">
        <v>109</v>
      </c>
      <c r="C32" s="16" t="s">
        <v>104</v>
      </c>
      <c r="D32" s="16" t="s">
        <v>110</v>
      </c>
      <c r="E32" s="16" t="s">
        <v>111</v>
      </c>
      <c r="F32" s="16" t="s">
        <v>112</v>
      </c>
      <c r="G32" s="16" t="s">
        <v>108</v>
      </c>
      <c r="H32" s="16" t="s">
        <v>108</v>
      </c>
      <c r="I32" s="16" t="s">
        <v>108</v>
      </c>
      <c r="J32" s="16" t="s">
        <v>108</v>
      </c>
      <c r="K32" s="16" t="s">
        <v>108</v>
      </c>
    </row>
    <row r="33" spans="1:28" x14ac:dyDescent="0.35">
      <c r="A33" s="16">
        <v>4</v>
      </c>
      <c r="B33" s="16" t="s">
        <v>113</v>
      </c>
      <c r="C33" s="16" t="s">
        <v>104</v>
      </c>
      <c r="D33" s="16" t="s">
        <v>114</v>
      </c>
      <c r="E33" s="16" t="s">
        <v>115</v>
      </c>
      <c r="F33" s="16" t="s">
        <v>116</v>
      </c>
      <c r="G33" s="16" t="s">
        <v>108</v>
      </c>
      <c r="H33" s="16" t="s">
        <v>108</v>
      </c>
      <c r="I33" s="16" t="s">
        <v>108</v>
      </c>
      <c r="J33" s="16" t="s">
        <v>108</v>
      </c>
      <c r="K33" s="16" t="s">
        <v>108</v>
      </c>
    </row>
    <row r="34" spans="1:28" x14ac:dyDescent="0.35">
      <c r="A34" s="16">
        <v>4</v>
      </c>
      <c r="B34" s="16" t="s">
        <v>117</v>
      </c>
      <c r="C34" s="16" t="s">
        <v>104</v>
      </c>
      <c r="D34" s="16" t="s">
        <v>118</v>
      </c>
      <c r="E34" s="16" t="s">
        <v>119</v>
      </c>
      <c r="F34" s="16" t="s">
        <v>120</v>
      </c>
      <c r="G34" s="16" t="s">
        <v>108</v>
      </c>
      <c r="H34" s="16" t="s">
        <v>108</v>
      </c>
      <c r="I34" s="16" t="s">
        <v>108</v>
      </c>
      <c r="J34" s="16" t="s">
        <v>108</v>
      </c>
      <c r="K34" s="16" t="s">
        <v>108</v>
      </c>
    </row>
    <row r="35" spans="1:28" x14ac:dyDescent="0.35">
      <c r="A35" s="16">
        <v>4</v>
      </c>
      <c r="B35" s="16" t="s">
        <v>121</v>
      </c>
      <c r="C35" s="16" t="s">
        <v>104</v>
      </c>
      <c r="D35" s="16" t="s">
        <v>122</v>
      </c>
      <c r="E35" s="16" t="s">
        <v>123</v>
      </c>
      <c r="F35" s="16" t="s">
        <v>124</v>
      </c>
      <c r="G35" s="16" t="s">
        <v>108</v>
      </c>
      <c r="H35" s="16" t="s">
        <v>108</v>
      </c>
      <c r="I35" s="16" t="s">
        <v>108</v>
      </c>
      <c r="J35" s="16" t="s">
        <v>108</v>
      </c>
      <c r="K35" s="16" t="s">
        <v>108</v>
      </c>
    </row>
    <row r="36" spans="1:28" x14ac:dyDescent="0.35">
      <c r="A36" s="16">
        <v>4</v>
      </c>
      <c r="B36" s="16" t="s">
        <v>125</v>
      </c>
      <c r="C36" s="16" t="s">
        <v>104</v>
      </c>
      <c r="D36" s="16" t="s">
        <v>126</v>
      </c>
      <c r="E36" s="16" t="s">
        <v>127</v>
      </c>
      <c r="F36" s="16" t="s">
        <v>128</v>
      </c>
      <c r="G36" s="16" t="s">
        <v>108</v>
      </c>
      <c r="H36" s="16" t="s">
        <v>108</v>
      </c>
      <c r="I36" s="16" t="s">
        <v>108</v>
      </c>
      <c r="J36" s="16" t="s">
        <v>108</v>
      </c>
      <c r="K36" s="16" t="s">
        <v>108</v>
      </c>
    </row>
    <row r="37" spans="1:28" x14ac:dyDescent="0.35">
      <c r="A37" s="13" t="s">
        <v>129</v>
      </c>
    </row>
    <row r="40" spans="1:28" x14ac:dyDescent="0.35">
      <c r="A40" s="14" t="s">
        <v>130</v>
      </c>
    </row>
    <row r="41" spans="1:28" ht="26" x14ac:dyDescent="0.35">
      <c r="A41" s="15" t="s">
        <v>92</v>
      </c>
      <c r="B41" s="15" t="s">
        <v>93</v>
      </c>
      <c r="C41" s="15" t="s">
        <v>131</v>
      </c>
      <c r="D41" s="15" t="s">
        <v>132</v>
      </c>
      <c r="E41" s="15" t="s">
        <v>133</v>
      </c>
      <c r="F41" s="15" t="s">
        <v>95</v>
      </c>
      <c r="G41" s="15" t="s">
        <v>134</v>
      </c>
      <c r="H41" s="15" t="s">
        <v>98</v>
      </c>
      <c r="I41" s="15" t="s">
        <v>135</v>
      </c>
      <c r="J41" s="15" t="s">
        <v>96</v>
      </c>
      <c r="K41" s="15" t="s">
        <v>136</v>
      </c>
      <c r="L41" s="15" t="s">
        <v>99</v>
      </c>
      <c r="M41" s="15" t="s">
        <v>137</v>
      </c>
      <c r="N41" s="15" t="s">
        <v>97</v>
      </c>
      <c r="O41" s="15" t="s">
        <v>138</v>
      </c>
      <c r="P41" s="15" t="s">
        <v>100</v>
      </c>
      <c r="Q41" s="15" t="s">
        <v>139</v>
      </c>
      <c r="R41" s="15" t="s">
        <v>140</v>
      </c>
      <c r="S41" s="15" t="s">
        <v>141</v>
      </c>
      <c r="T41" s="15" t="s">
        <v>142</v>
      </c>
      <c r="U41" s="15" t="s">
        <v>143</v>
      </c>
      <c r="V41" s="15" t="s">
        <v>101</v>
      </c>
      <c r="W41" s="15" t="s">
        <v>144</v>
      </c>
      <c r="X41" s="15" t="s">
        <v>145</v>
      </c>
      <c r="Y41" s="15" t="s">
        <v>146</v>
      </c>
      <c r="Z41" s="15" t="s">
        <v>147</v>
      </c>
      <c r="AA41" s="15" t="s">
        <v>148</v>
      </c>
      <c r="AB41" s="15" t="s">
        <v>149</v>
      </c>
    </row>
    <row r="42" spans="1:28" x14ac:dyDescent="0.35">
      <c r="A42" s="16">
        <v>1</v>
      </c>
      <c r="B42" s="16" t="s">
        <v>150</v>
      </c>
      <c r="C42" s="16" t="s">
        <v>151</v>
      </c>
      <c r="D42" s="16" t="s">
        <v>152</v>
      </c>
      <c r="E42" s="16" t="s">
        <v>153</v>
      </c>
      <c r="F42" s="16" t="s">
        <v>154</v>
      </c>
      <c r="G42" s="16" t="s">
        <v>155</v>
      </c>
      <c r="H42" s="16" t="s">
        <v>156</v>
      </c>
      <c r="I42" s="17" t="s">
        <v>157</v>
      </c>
      <c r="J42" s="16" t="s">
        <v>158</v>
      </c>
      <c r="K42" s="16" t="s">
        <v>159</v>
      </c>
      <c r="L42" s="16" t="s">
        <v>156</v>
      </c>
      <c r="M42" s="17" t="s">
        <v>160</v>
      </c>
      <c r="N42" s="16" t="s">
        <v>161</v>
      </c>
      <c r="O42" s="16" t="s">
        <v>162</v>
      </c>
      <c r="P42" s="16" t="s">
        <v>163</v>
      </c>
      <c r="Q42" s="18" t="s">
        <v>164</v>
      </c>
      <c r="R42" s="16" t="s">
        <v>104</v>
      </c>
      <c r="S42" s="16" t="s">
        <v>104</v>
      </c>
      <c r="T42" s="16" t="s">
        <v>108</v>
      </c>
      <c r="U42" s="16" t="s">
        <v>108</v>
      </c>
      <c r="V42" s="16" t="s">
        <v>165</v>
      </c>
      <c r="W42" s="16" t="s">
        <v>166</v>
      </c>
      <c r="X42" s="18" t="s">
        <v>167</v>
      </c>
      <c r="Y42" s="16" t="s">
        <v>155</v>
      </c>
      <c r="Z42" s="16" t="s">
        <v>159</v>
      </c>
      <c r="AA42" s="16" t="s">
        <v>162</v>
      </c>
      <c r="AB42" s="16" t="s">
        <v>168</v>
      </c>
    </row>
    <row r="43" spans="1:28" x14ac:dyDescent="0.35">
      <c r="A43" s="16">
        <v>1</v>
      </c>
      <c r="B43" s="16" t="s">
        <v>169</v>
      </c>
      <c r="C43" s="16" t="s">
        <v>170</v>
      </c>
      <c r="D43" s="16" t="s">
        <v>171</v>
      </c>
      <c r="E43" s="16" t="s">
        <v>172</v>
      </c>
      <c r="F43" s="16" t="s">
        <v>112</v>
      </c>
      <c r="G43" s="16" t="s">
        <v>173</v>
      </c>
      <c r="H43" s="16" t="s">
        <v>163</v>
      </c>
      <c r="I43" s="18" t="s">
        <v>174</v>
      </c>
      <c r="J43" s="16" t="s">
        <v>175</v>
      </c>
      <c r="K43" s="16" t="s">
        <v>176</v>
      </c>
      <c r="L43" s="16" t="s">
        <v>156</v>
      </c>
      <c r="M43" s="17" t="s">
        <v>160</v>
      </c>
      <c r="N43" s="16" t="s">
        <v>177</v>
      </c>
      <c r="O43" s="16" t="s">
        <v>178</v>
      </c>
      <c r="P43" s="16" t="s">
        <v>163</v>
      </c>
      <c r="Q43" s="18" t="s">
        <v>164</v>
      </c>
      <c r="R43" s="16" t="s">
        <v>104</v>
      </c>
      <c r="S43" s="16" t="s">
        <v>104</v>
      </c>
      <c r="T43" s="16" t="s">
        <v>108</v>
      </c>
      <c r="U43" s="16" t="s">
        <v>108</v>
      </c>
      <c r="V43" s="16" t="s">
        <v>166</v>
      </c>
      <c r="W43" s="16" t="s">
        <v>165</v>
      </c>
      <c r="X43" s="18" t="s">
        <v>167</v>
      </c>
      <c r="Y43" s="16" t="s">
        <v>179</v>
      </c>
      <c r="Z43" s="16" t="s">
        <v>180</v>
      </c>
      <c r="AA43" s="16" t="s">
        <v>181</v>
      </c>
      <c r="AB43" s="16" t="s">
        <v>168</v>
      </c>
    </row>
    <row r="44" spans="1:28" x14ac:dyDescent="0.35">
      <c r="A44" s="16">
        <v>1</v>
      </c>
      <c r="B44" s="16" t="s">
        <v>182</v>
      </c>
      <c r="C44" s="16" t="s">
        <v>183</v>
      </c>
      <c r="D44" s="16" t="s">
        <v>184</v>
      </c>
      <c r="E44" s="16" t="s">
        <v>185</v>
      </c>
      <c r="F44" s="16" t="s">
        <v>186</v>
      </c>
      <c r="G44" s="16" t="s">
        <v>187</v>
      </c>
      <c r="H44" s="16" t="s">
        <v>163</v>
      </c>
      <c r="I44" s="17" t="s">
        <v>157</v>
      </c>
      <c r="J44" s="16" t="s">
        <v>188</v>
      </c>
      <c r="K44" s="16" t="s">
        <v>189</v>
      </c>
      <c r="L44" s="16" t="s">
        <v>163</v>
      </c>
      <c r="M44" s="17" t="s">
        <v>157</v>
      </c>
      <c r="N44" s="16" t="s">
        <v>190</v>
      </c>
      <c r="O44" s="16" t="s">
        <v>191</v>
      </c>
      <c r="P44" s="16" t="s">
        <v>156</v>
      </c>
      <c r="Q44" s="18" t="s">
        <v>164</v>
      </c>
      <c r="R44" s="16" t="s">
        <v>104</v>
      </c>
      <c r="S44" s="16" t="s">
        <v>104</v>
      </c>
      <c r="T44" s="16" t="s">
        <v>108</v>
      </c>
      <c r="U44" s="16" t="s">
        <v>108</v>
      </c>
      <c r="V44" s="16" t="s">
        <v>165</v>
      </c>
      <c r="W44" s="16" t="s">
        <v>166</v>
      </c>
      <c r="X44" s="18" t="s">
        <v>192</v>
      </c>
      <c r="Y44" s="16" t="s">
        <v>193</v>
      </c>
      <c r="Z44" s="16" t="s">
        <v>194</v>
      </c>
      <c r="AA44" s="16" t="s">
        <v>195</v>
      </c>
      <c r="AB44" s="16" t="s">
        <v>168</v>
      </c>
    </row>
    <row r="45" spans="1:28" x14ac:dyDescent="0.35">
      <c r="A45" s="16">
        <v>1</v>
      </c>
      <c r="B45" s="16" t="s">
        <v>196</v>
      </c>
      <c r="C45" s="16" t="s">
        <v>197</v>
      </c>
      <c r="D45" s="16" t="s">
        <v>198</v>
      </c>
      <c r="E45" s="16" t="s">
        <v>199</v>
      </c>
      <c r="F45" s="16" t="s">
        <v>200</v>
      </c>
      <c r="G45" s="16" t="s">
        <v>201</v>
      </c>
      <c r="H45" s="16" t="s">
        <v>156</v>
      </c>
      <c r="I45" s="18" t="s">
        <v>202</v>
      </c>
      <c r="J45" s="16" t="s">
        <v>203</v>
      </c>
      <c r="K45" s="16" t="s">
        <v>204</v>
      </c>
      <c r="L45" s="16" t="s">
        <v>163</v>
      </c>
      <c r="M45" s="17" t="s">
        <v>157</v>
      </c>
      <c r="N45" s="16" t="s">
        <v>205</v>
      </c>
      <c r="O45" s="16" t="s">
        <v>206</v>
      </c>
      <c r="P45" s="16" t="s">
        <v>156</v>
      </c>
      <c r="Q45" s="18" t="s">
        <v>207</v>
      </c>
      <c r="R45" s="16" t="s">
        <v>104</v>
      </c>
      <c r="S45" s="16" t="s">
        <v>104</v>
      </c>
      <c r="T45" s="16" t="s">
        <v>108</v>
      </c>
      <c r="U45" s="16" t="s">
        <v>108</v>
      </c>
      <c r="V45" s="16" t="s">
        <v>166</v>
      </c>
      <c r="W45" s="16" t="s">
        <v>165</v>
      </c>
      <c r="X45" s="18" t="s">
        <v>208</v>
      </c>
      <c r="Y45" s="16" t="s">
        <v>209</v>
      </c>
      <c r="Z45" s="16" t="s">
        <v>210</v>
      </c>
      <c r="AA45" s="16" t="s">
        <v>162</v>
      </c>
      <c r="AB45" s="16" t="s">
        <v>168</v>
      </c>
    </row>
    <row r="46" spans="1:28" x14ac:dyDescent="0.35">
      <c r="A46" s="16">
        <v>1</v>
      </c>
      <c r="B46" s="16" t="s">
        <v>211</v>
      </c>
      <c r="C46" s="16" t="s">
        <v>212</v>
      </c>
      <c r="D46" s="16" t="s">
        <v>213</v>
      </c>
      <c r="E46" s="16" t="s">
        <v>214</v>
      </c>
      <c r="F46" s="16" t="s">
        <v>158</v>
      </c>
      <c r="G46" s="16" t="s">
        <v>215</v>
      </c>
      <c r="H46" s="16" t="s">
        <v>156</v>
      </c>
      <c r="I46" s="17" t="s">
        <v>157</v>
      </c>
      <c r="J46" s="16" t="s">
        <v>216</v>
      </c>
      <c r="K46" s="16" t="s">
        <v>177</v>
      </c>
      <c r="L46" s="16" t="s">
        <v>156</v>
      </c>
      <c r="M46" s="17" t="s">
        <v>157</v>
      </c>
      <c r="N46" s="16" t="s">
        <v>217</v>
      </c>
      <c r="O46" s="16" t="s">
        <v>218</v>
      </c>
      <c r="P46" s="16" t="s">
        <v>163</v>
      </c>
      <c r="Q46" s="18" t="s">
        <v>164</v>
      </c>
      <c r="R46" s="16" t="s">
        <v>104</v>
      </c>
      <c r="S46" s="16" t="s">
        <v>104</v>
      </c>
      <c r="T46" s="16" t="s">
        <v>108</v>
      </c>
      <c r="U46" s="16" t="s">
        <v>108</v>
      </c>
      <c r="V46" s="16" t="s">
        <v>165</v>
      </c>
      <c r="W46" s="16" t="s">
        <v>166</v>
      </c>
      <c r="X46" s="18" t="s">
        <v>208</v>
      </c>
      <c r="Y46" s="16" t="s">
        <v>198</v>
      </c>
      <c r="Z46" s="16" t="s">
        <v>219</v>
      </c>
      <c r="AA46" s="16" t="s">
        <v>220</v>
      </c>
      <c r="AB46" s="16" t="s">
        <v>168</v>
      </c>
    </row>
    <row r="47" spans="1:28" x14ac:dyDescent="0.35">
      <c r="A47" s="16">
        <v>1</v>
      </c>
      <c r="B47" s="16" t="s">
        <v>221</v>
      </c>
      <c r="C47" s="16" t="s">
        <v>222</v>
      </c>
      <c r="D47" s="16" t="s">
        <v>223</v>
      </c>
      <c r="E47" s="16" t="s">
        <v>224</v>
      </c>
      <c r="F47" s="16" t="s">
        <v>225</v>
      </c>
      <c r="G47" s="16" t="s">
        <v>226</v>
      </c>
      <c r="H47" s="16" t="s">
        <v>156</v>
      </c>
      <c r="I47" s="17" t="s">
        <v>157</v>
      </c>
      <c r="J47" s="16" t="s">
        <v>227</v>
      </c>
      <c r="K47" s="16" t="s">
        <v>228</v>
      </c>
      <c r="L47" s="16" t="s">
        <v>156</v>
      </c>
      <c r="M47" s="17" t="s">
        <v>157</v>
      </c>
      <c r="N47" s="16" t="s">
        <v>175</v>
      </c>
      <c r="O47" s="16" t="s">
        <v>229</v>
      </c>
      <c r="P47" s="16" t="s">
        <v>163</v>
      </c>
      <c r="Q47" s="18" t="s">
        <v>164</v>
      </c>
      <c r="R47" s="16" t="s">
        <v>104</v>
      </c>
      <c r="S47" s="16" t="s">
        <v>104</v>
      </c>
      <c r="T47" s="16" t="s">
        <v>108</v>
      </c>
      <c r="U47" s="16" t="s">
        <v>108</v>
      </c>
      <c r="V47" s="16" t="s">
        <v>165</v>
      </c>
      <c r="W47" s="16" t="s">
        <v>166</v>
      </c>
      <c r="X47" s="18" t="s">
        <v>192</v>
      </c>
      <c r="Y47" s="16" t="s">
        <v>230</v>
      </c>
      <c r="Z47" s="16" t="s">
        <v>159</v>
      </c>
      <c r="AA47" s="16" t="s">
        <v>231</v>
      </c>
      <c r="AB47" s="16" t="s">
        <v>168</v>
      </c>
    </row>
    <row r="48" spans="1:28" x14ac:dyDescent="0.35">
      <c r="A48" s="16">
        <v>1</v>
      </c>
      <c r="B48" s="16" t="s">
        <v>232</v>
      </c>
      <c r="C48" s="16" t="s">
        <v>233</v>
      </c>
      <c r="D48" s="16" t="s">
        <v>234</v>
      </c>
      <c r="E48" s="16" t="s">
        <v>235</v>
      </c>
      <c r="F48" s="16" t="s">
        <v>236</v>
      </c>
      <c r="G48" s="16" t="s">
        <v>209</v>
      </c>
      <c r="H48" s="16" t="s">
        <v>163</v>
      </c>
      <c r="I48" s="18" t="s">
        <v>174</v>
      </c>
      <c r="J48" s="16" t="s">
        <v>237</v>
      </c>
      <c r="K48" s="16" t="s">
        <v>238</v>
      </c>
      <c r="L48" s="16" t="s">
        <v>163</v>
      </c>
      <c r="M48" s="18" t="s">
        <v>202</v>
      </c>
      <c r="N48" s="16" t="s">
        <v>239</v>
      </c>
      <c r="O48" s="16" t="s">
        <v>240</v>
      </c>
      <c r="P48" s="16" t="s">
        <v>163</v>
      </c>
      <c r="Q48" s="18" t="s">
        <v>164</v>
      </c>
      <c r="R48" s="16" t="s">
        <v>104</v>
      </c>
      <c r="S48" s="16" t="s">
        <v>104</v>
      </c>
      <c r="T48" s="16" t="s">
        <v>108</v>
      </c>
      <c r="U48" s="16" t="s">
        <v>108</v>
      </c>
      <c r="V48" s="16" t="s">
        <v>165</v>
      </c>
      <c r="W48" s="16" t="s">
        <v>165</v>
      </c>
      <c r="X48" s="18" t="s">
        <v>167</v>
      </c>
      <c r="Y48" s="16" t="s">
        <v>241</v>
      </c>
      <c r="Z48" s="16" t="s">
        <v>242</v>
      </c>
      <c r="AA48" s="16" t="s">
        <v>243</v>
      </c>
      <c r="AB48" s="16" t="s">
        <v>168</v>
      </c>
    </row>
    <row r="49" spans="1:28" x14ac:dyDescent="0.35">
      <c r="A49" s="16">
        <v>1</v>
      </c>
      <c r="B49" s="16" t="s">
        <v>244</v>
      </c>
      <c r="C49" s="16" t="s">
        <v>245</v>
      </c>
      <c r="D49" s="16" t="s">
        <v>246</v>
      </c>
      <c r="E49" s="16" t="s">
        <v>247</v>
      </c>
      <c r="F49" s="16" t="s">
        <v>248</v>
      </c>
      <c r="G49" s="16" t="s">
        <v>249</v>
      </c>
      <c r="H49" s="16" t="s">
        <v>163</v>
      </c>
      <c r="I49" s="18" t="s">
        <v>174</v>
      </c>
      <c r="J49" s="16" t="s">
        <v>250</v>
      </c>
      <c r="K49" s="16" t="s">
        <v>251</v>
      </c>
      <c r="L49" s="16" t="s">
        <v>163</v>
      </c>
      <c r="M49" s="18" t="s">
        <v>174</v>
      </c>
      <c r="N49" s="16" t="s">
        <v>252</v>
      </c>
      <c r="O49" s="16" t="s">
        <v>253</v>
      </c>
      <c r="P49" s="16" t="s">
        <v>163</v>
      </c>
      <c r="Q49" s="18" t="s">
        <v>164</v>
      </c>
      <c r="R49" s="16" t="s">
        <v>104</v>
      </c>
      <c r="S49" s="16" t="s">
        <v>104</v>
      </c>
      <c r="T49" s="16" t="s">
        <v>108</v>
      </c>
      <c r="U49" s="16" t="s">
        <v>108</v>
      </c>
      <c r="V49" s="16" t="s">
        <v>165</v>
      </c>
      <c r="W49" s="16" t="s">
        <v>165</v>
      </c>
      <c r="X49" s="18" t="s">
        <v>167</v>
      </c>
      <c r="Y49" s="16" t="s">
        <v>254</v>
      </c>
      <c r="Z49" s="16" t="s">
        <v>255</v>
      </c>
      <c r="AA49" s="16" t="s">
        <v>256</v>
      </c>
      <c r="AB49" s="16" t="s">
        <v>168</v>
      </c>
    </row>
    <row r="50" spans="1:28" x14ac:dyDescent="0.35">
      <c r="A50" s="16">
        <v>1</v>
      </c>
      <c r="B50" s="16" t="s">
        <v>257</v>
      </c>
      <c r="C50" s="16" t="s">
        <v>258</v>
      </c>
      <c r="D50" s="16" t="s">
        <v>259</v>
      </c>
      <c r="E50" s="16" t="s">
        <v>260</v>
      </c>
      <c r="F50" s="16" t="s">
        <v>261</v>
      </c>
      <c r="G50" s="16" t="s">
        <v>79</v>
      </c>
      <c r="H50" s="16" t="s">
        <v>156</v>
      </c>
      <c r="I50" s="18" t="s">
        <v>202</v>
      </c>
      <c r="J50" s="16" t="s">
        <v>262</v>
      </c>
      <c r="K50" s="16" t="s">
        <v>263</v>
      </c>
      <c r="L50" s="16" t="s">
        <v>156</v>
      </c>
      <c r="M50" s="18" t="s">
        <v>174</v>
      </c>
      <c r="N50" s="16" t="s">
        <v>264</v>
      </c>
      <c r="O50" s="16" t="s">
        <v>265</v>
      </c>
      <c r="P50" s="16" t="s">
        <v>163</v>
      </c>
      <c r="Q50" s="17" t="s">
        <v>266</v>
      </c>
      <c r="R50" s="16" t="s">
        <v>104</v>
      </c>
      <c r="S50" s="16" t="s">
        <v>104</v>
      </c>
      <c r="T50" s="16" t="s">
        <v>108</v>
      </c>
      <c r="U50" s="16" t="s">
        <v>108</v>
      </c>
      <c r="V50" s="16" t="s">
        <v>165</v>
      </c>
      <c r="W50" s="16" t="s">
        <v>166</v>
      </c>
      <c r="X50" s="18" t="s">
        <v>208</v>
      </c>
      <c r="Y50" s="16" t="s">
        <v>267</v>
      </c>
      <c r="Z50" s="16" t="s">
        <v>176</v>
      </c>
      <c r="AA50" s="16" t="s">
        <v>268</v>
      </c>
      <c r="AB50" s="16" t="s">
        <v>168</v>
      </c>
    </row>
    <row r="51" spans="1:28" x14ac:dyDescent="0.35">
      <c r="A51" s="16">
        <v>1</v>
      </c>
      <c r="B51" s="16" t="s">
        <v>269</v>
      </c>
      <c r="C51" s="16" t="s">
        <v>270</v>
      </c>
      <c r="D51" s="16" t="s">
        <v>271</v>
      </c>
      <c r="E51" s="16" t="s">
        <v>272</v>
      </c>
      <c r="F51" s="16" t="s">
        <v>273</v>
      </c>
      <c r="G51" s="16" t="s">
        <v>274</v>
      </c>
      <c r="H51" s="16" t="s">
        <v>156</v>
      </c>
      <c r="I51" s="17" t="s">
        <v>157</v>
      </c>
      <c r="J51" s="16" t="s">
        <v>275</v>
      </c>
      <c r="K51" s="16" t="s">
        <v>276</v>
      </c>
      <c r="L51" s="16" t="s">
        <v>156</v>
      </c>
      <c r="M51" s="17" t="s">
        <v>157</v>
      </c>
      <c r="N51" s="16" t="s">
        <v>277</v>
      </c>
      <c r="O51" s="16" t="s">
        <v>278</v>
      </c>
      <c r="P51" s="16" t="s">
        <v>163</v>
      </c>
      <c r="Q51" s="18" t="s">
        <v>164</v>
      </c>
      <c r="R51" s="16" t="s">
        <v>104</v>
      </c>
      <c r="S51" s="16" t="s">
        <v>104</v>
      </c>
      <c r="T51" s="16" t="s">
        <v>108</v>
      </c>
      <c r="U51" s="16" t="s">
        <v>108</v>
      </c>
      <c r="V51" s="16" t="s">
        <v>165</v>
      </c>
      <c r="W51" s="16" t="s">
        <v>166</v>
      </c>
      <c r="X51" s="18" t="s">
        <v>192</v>
      </c>
      <c r="Y51" s="16" t="s">
        <v>279</v>
      </c>
      <c r="Z51" s="16" t="s">
        <v>280</v>
      </c>
      <c r="AA51" s="16" t="s">
        <v>281</v>
      </c>
      <c r="AB51" s="16" t="s">
        <v>168</v>
      </c>
    </row>
    <row r="52" spans="1:28" x14ac:dyDescent="0.35">
      <c r="A52" s="16">
        <v>1</v>
      </c>
      <c r="B52" s="16" t="s">
        <v>282</v>
      </c>
      <c r="C52" s="16" t="s">
        <v>283</v>
      </c>
      <c r="D52" s="16" t="s">
        <v>284</v>
      </c>
      <c r="E52" s="16" t="s">
        <v>285</v>
      </c>
      <c r="F52" s="16" t="s">
        <v>184</v>
      </c>
      <c r="G52" s="16" t="s">
        <v>286</v>
      </c>
      <c r="H52" s="16" t="s">
        <v>156</v>
      </c>
      <c r="I52" s="17" t="s">
        <v>157</v>
      </c>
      <c r="J52" s="16" t="s">
        <v>287</v>
      </c>
      <c r="K52" s="16" t="s">
        <v>288</v>
      </c>
      <c r="L52" s="16" t="s">
        <v>156</v>
      </c>
      <c r="M52" s="17" t="s">
        <v>157</v>
      </c>
      <c r="N52" s="16" t="s">
        <v>234</v>
      </c>
      <c r="O52" s="16" t="s">
        <v>193</v>
      </c>
      <c r="P52" s="16" t="s">
        <v>163</v>
      </c>
      <c r="Q52" s="18" t="s">
        <v>164</v>
      </c>
      <c r="R52" s="16" t="s">
        <v>104</v>
      </c>
      <c r="S52" s="16" t="s">
        <v>104</v>
      </c>
      <c r="T52" s="16" t="s">
        <v>108</v>
      </c>
      <c r="U52" s="16" t="s">
        <v>108</v>
      </c>
      <c r="V52" s="16" t="s">
        <v>165</v>
      </c>
      <c r="W52" s="16" t="s">
        <v>166</v>
      </c>
      <c r="X52" s="18" t="s">
        <v>208</v>
      </c>
      <c r="Y52" s="16" t="s">
        <v>251</v>
      </c>
      <c r="Z52" s="16" t="s">
        <v>289</v>
      </c>
      <c r="AA52" s="16" t="s">
        <v>290</v>
      </c>
      <c r="AB52" s="16" t="s">
        <v>168</v>
      </c>
    </row>
    <row r="53" spans="1:28" x14ac:dyDescent="0.35">
      <c r="A53" s="16">
        <v>1</v>
      </c>
      <c r="B53" s="16" t="s">
        <v>291</v>
      </c>
      <c r="C53" s="16" t="s">
        <v>183</v>
      </c>
      <c r="D53" s="16" t="s">
        <v>284</v>
      </c>
      <c r="E53" s="16" t="s">
        <v>185</v>
      </c>
      <c r="F53" s="16" t="s">
        <v>292</v>
      </c>
      <c r="G53" s="16" t="s">
        <v>209</v>
      </c>
      <c r="H53" s="16" t="s">
        <v>163</v>
      </c>
      <c r="I53" s="17" t="s">
        <v>157</v>
      </c>
      <c r="J53" s="16" t="s">
        <v>293</v>
      </c>
      <c r="K53" s="16" t="s">
        <v>294</v>
      </c>
      <c r="L53" s="16" t="s">
        <v>163</v>
      </c>
      <c r="M53" s="17" t="s">
        <v>157</v>
      </c>
      <c r="N53" s="16" t="s">
        <v>295</v>
      </c>
      <c r="O53" s="16" t="s">
        <v>296</v>
      </c>
      <c r="P53" s="16" t="s">
        <v>156</v>
      </c>
      <c r="Q53" s="18" t="s">
        <v>164</v>
      </c>
      <c r="R53" s="16" t="s">
        <v>104</v>
      </c>
      <c r="S53" s="16" t="s">
        <v>104</v>
      </c>
      <c r="T53" s="16" t="s">
        <v>108</v>
      </c>
      <c r="U53" s="16" t="s">
        <v>108</v>
      </c>
      <c r="V53" s="16" t="s">
        <v>165</v>
      </c>
      <c r="W53" s="16" t="s">
        <v>166</v>
      </c>
      <c r="X53" s="18" t="s">
        <v>167</v>
      </c>
      <c r="Y53" s="16" t="s">
        <v>297</v>
      </c>
      <c r="Z53" s="16" t="s">
        <v>298</v>
      </c>
      <c r="AA53" s="16" t="s">
        <v>299</v>
      </c>
      <c r="AB53" s="16" t="s">
        <v>168</v>
      </c>
    </row>
    <row r="54" spans="1:28" x14ac:dyDescent="0.35">
      <c r="A54" s="16">
        <v>1</v>
      </c>
      <c r="B54" s="16" t="s">
        <v>300</v>
      </c>
      <c r="C54" s="16" t="s">
        <v>301</v>
      </c>
      <c r="D54" s="16" t="s">
        <v>302</v>
      </c>
      <c r="E54" s="16" t="s">
        <v>303</v>
      </c>
      <c r="F54" s="16" t="s">
        <v>304</v>
      </c>
      <c r="G54" s="16" t="s">
        <v>305</v>
      </c>
      <c r="H54" s="16" t="s">
        <v>156</v>
      </c>
      <c r="I54" s="18" t="s">
        <v>174</v>
      </c>
      <c r="J54" s="16" t="s">
        <v>306</v>
      </c>
      <c r="K54" s="16" t="s">
        <v>191</v>
      </c>
      <c r="L54" s="16" t="s">
        <v>156</v>
      </c>
      <c r="M54" s="18" t="s">
        <v>202</v>
      </c>
      <c r="N54" s="16" t="s">
        <v>307</v>
      </c>
      <c r="O54" s="16" t="s">
        <v>308</v>
      </c>
      <c r="P54" s="16" t="s">
        <v>156</v>
      </c>
      <c r="Q54" s="18" t="s">
        <v>164</v>
      </c>
      <c r="R54" s="16" t="s">
        <v>104</v>
      </c>
      <c r="S54" s="16" t="s">
        <v>104</v>
      </c>
      <c r="T54" s="16" t="s">
        <v>108</v>
      </c>
      <c r="U54" s="16" t="s">
        <v>108</v>
      </c>
      <c r="V54" s="16" t="s">
        <v>165</v>
      </c>
      <c r="W54" s="16" t="s">
        <v>165</v>
      </c>
      <c r="X54" s="18" t="s">
        <v>167</v>
      </c>
      <c r="Y54" s="16" t="s">
        <v>309</v>
      </c>
      <c r="Z54" s="16" t="s">
        <v>310</v>
      </c>
      <c r="AA54" s="16" t="s">
        <v>311</v>
      </c>
      <c r="AB54" s="16" t="s">
        <v>168</v>
      </c>
    </row>
    <row r="55" spans="1:28" x14ac:dyDescent="0.35">
      <c r="A55" s="16">
        <v>2</v>
      </c>
      <c r="B55" s="16" t="s">
        <v>312</v>
      </c>
      <c r="C55" s="16" t="s">
        <v>313</v>
      </c>
      <c r="D55" s="16" t="s">
        <v>314</v>
      </c>
      <c r="E55" s="16" t="s">
        <v>185</v>
      </c>
      <c r="F55" s="16" t="s">
        <v>265</v>
      </c>
      <c r="G55" s="16" t="s">
        <v>315</v>
      </c>
      <c r="H55" s="16" t="s">
        <v>156</v>
      </c>
      <c r="I55" s="18" t="s">
        <v>174</v>
      </c>
      <c r="J55" s="16" t="s">
        <v>316</v>
      </c>
      <c r="K55" s="16" t="s">
        <v>155</v>
      </c>
      <c r="L55" s="16" t="s">
        <v>156</v>
      </c>
      <c r="M55" s="18" t="s">
        <v>174</v>
      </c>
      <c r="N55" s="16" t="s">
        <v>317</v>
      </c>
      <c r="O55" s="16" t="s">
        <v>318</v>
      </c>
      <c r="P55" s="16" t="s">
        <v>156</v>
      </c>
      <c r="Q55" s="18" t="s">
        <v>174</v>
      </c>
      <c r="R55" s="16" t="s">
        <v>116</v>
      </c>
      <c r="S55" s="16" t="s">
        <v>176</v>
      </c>
      <c r="T55" s="16" t="s">
        <v>156</v>
      </c>
      <c r="U55" s="18" t="s">
        <v>202</v>
      </c>
      <c r="V55" s="16" t="s">
        <v>165</v>
      </c>
      <c r="W55" s="16" t="s">
        <v>165</v>
      </c>
      <c r="X55" s="18" t="s">
        <v>319</v>
      </c>
      <c r="Y55" s="16" t="s">
        <v>320</v>
      </c>
      <c r="Z55" s="16" t="s">
        <v>321</v>
      </c>
      <c r="AA55" s="16" t="s">
        <v>322</v>
      </c>
      <c r="AB55" s="16" t="s">
        <v>176</v>
      </c>
    </row>
    <row r="56" spans="1:28" x14ac:dyDescent="0.35">
      <c r="A56" s="16">
        <v>2</v>
      </c>
      <c r="B56" s="16" t="s">
        <v>323</v>
      </c>
      <c r="C56" s="16" t="s">
        <v>324</v>
      </c>
      <c r="D56" s="16" t="s">
        <v>325</v>
      </c>
      <c r="E56" s="16" t="s">
        <v>285</v>
      </c>
      <c r="F56" s="16" t="s">
        <v>326</v>
      </c>
      <c r="G56" s="16" t="s">
        <v>327</v>
      </c>
      <c r="H56" s="16" t="s">
        <v>163</v>
      </c>
      <c r="I56" s="18" t="s">
        <v>174</v>
      </c>
      <c r="J56" s="16" t="s">
        <v>310</v>
      </c>
      <c r="K56" s="16" t="s">
        <v>328</v>
      </c>
      <c r="L56" s="16" t="s">
        <v>163</v>
      </c>
      <c r="M56" s="18" t="s">
        <v>174</v>
      </c>
      <c r="N56" s="16" t="s">
        <v>329</v>
      </c>
      <c r="O56" s="16" t="s">
        <v>330</v>
      </c>
      <c r="P56" s="16" t="s">
        <v>163</v>
      </c>
      <c r="Q56" s="18" t="s">
        <v>202</v>
      </c>
      <c r="R56" s="16" t="s">
        <v>194</v>
      </c>
      <c r="S56" s="16" t="s">
        <v>331</v>
      </c>
      <c r="T56" s="16" t="s">
        <v>156</v>
      </c>
      <c r="U56" s="17" t="s">
        <v>157</v>
      </c>
      <c r="V56" s="16" t="s">
        <v>165</v>
      </c>
      <c r="W56" s="16" t="s">
        <v>165</v>
      </c>
      <c r="X56" s="18" t="s">
        <v>192</v>
      </c>
      <c r="Y56" s="16" t="s">
        <v>332</v>
      </c>
      <c r="Z56" s="16" t="s">
        <v>333</v>
      </c>
      <c r="AA56" s="16" t="s">
        <v>334</v>
      </c>
      <c r="AB56" s="16" t="s">
        <v>335</v>
      </c>
    </row>
    <row r="57" spans="1:28" x14ac:dyDescent="0.35">
      <c r="A57" s="16">
        <v>2</v>
      </c>
      <c r="B57" s="16" t="s">
        <v>336</v>
      </c>
      <c r="C57" s="16" t="s">
        <v>337</v>
      </c>
      <c r="D57" s="16" t="s">
        <v>338</v>
      </c>
      <c r="E57" s="16" t="s">
        <v>155</v>
      </c>
      <c r="F57" s="16" t="s">
        <v>339</v>
      </c>
      <c r="G57" s="16" t="s">
        <v>340</v>
      </c>
      <c r="H57" s="16" t="s">
        <v>163</v>
      </c>
      <c r="I57" s="17" t="s">
        <v>157</v>
      </c>
      <c r="J57" s="16" t="s">
        <v>237</v>
      </c>
      <c r="K57" s="16" t="s">
        <v>341</v>
      </c>
      <c r="L57" s="16" t="s">
        <v>163</v>
      </c>
      <c r="M57" s="17" t="s">
        <v>157</v>
      </c>
      <c r="N57" s="16" t="s">
        <v>342</v>
      </c>
      <c r="O57" s="16" t="s">
        <v>343</v>
      </c>
      <c r="P57" s="16" t="s">
        <v>163</v>
      </c>
      <c r="Q57" s="17" t="s">
        <v>157</v>
      </c>
      <c r="R57" s="16" t="s">
        <v>344</v>
      </c>
      <c r="S57" s="16" t="s">
        <v>345</v>
      </c>
      <c r="T57" s="16" t="s">
        <v>163</v>
      </c>
      <c r="U57" s="17" t="s">
        <v>157</v>
      </c>
      <c r="V57" s="16" t="s">
        <v>165</v>
      </c>
      <c r="W57" s="16" t="s">
        <v>165</v>
      </c>
      <c r="X57" s="18" t="s">
        <v>167</v>
      </c>
      <c r="Y57" s="16" t="s">
        <v>346</v>
      </c>
      <c r="Z57" s="16" t="s">
        <v>347</v>
      </c>
      <c r="AA57" s="16" t="s">
        <v>348</v>
      </c>
      <c r="AB57" s="16" t="s">
        <v>314</v>
      </c>
    </row>
    <row r="58" spans="1:28" x14ac:dyDescent="0.35">
      <c r="A58" s="16">
        <v>2</v>
      </c>
      <c r="B58" s="16" t="s">
        <v>349</v>
      </c>
      <c r="C58" s="16" t="s">
        <v>350</v>
      </c>
      <c r="D58" s="16" t="s">
        <v>351</v>
      </c>
      <c r="E58" s="16" t="s">
        <v>352</v>
      </c>
      <c r="F58" s="16" t="s">
        <v>154</v>
      </c>
      <c r="G58" s="16" t="s">
        <v>353</v>
      </c>
      <c r="H58" s="16" t="s">
        <v>156</v>
      </c>
      <c r="I58" s="17" t="s">
        <v>157</v>
      </c>
      <c r="J58" s="16" t="s">
        <v>354</v>
      </c>
      <c r="K58" s="16" t="s">
        <v>355</v>
      </c>
      <c r="L58" s="16" t="s">
        <v>156</v>
      </c>
      <c r="M58" s="17" t="s">
        <v>157</v>
      </c>
      <c r="N58" s="16" t="s">
        <v>356</v>
      </c>
      <c r="O58" s="16" t="s">
        <v>225</v>
      </c>
      <c r="P58" s="16" t="s">
        <v>163</v>
      </c>
      <c r="Q58" s="18" t="s">
        <v>174</v>
      </c>
      <c r="R58" s="16" t="s">
        <v>357</v>
      </c>
      <c r="S58" s="16" t="s">
        <v>358</v>
      </c>
      <c r="T58" s="16" t="s">
        <v>156</v>
      </c>
      <c r="U58" s="17" t="s">
        <v>157</v>
      </c>
      <c r="V58" s="16" t="s">
        <v>165</v>
      </c>
      <c r="W58" s="16" t="s">
        <v>166</v>
      </c>
      <c r="X58" s="18" t="s">
        <v>192</v>
      </c>
      <c r="Y58" s="16" t="s">
        <v>359</v>
      </c>
      <c r="Z58" s="16" t="s">
        <v>360</v>
      </c>
      <c r="AA58" s="16" t="s">
        <v>361</v>
      </c>
      <c r="AB58" s="16" t="s">
        <v>362</v>
      </c>
    </row>
    <row r="59" spans="1:28" x14ac:dyDescent="0.35">
      <c r="A59" s="16">
        <v>2</v>
      </c>
      <c r="B59" s="16" t="s">
        <v>363</v>
      </c>
      <c r="C59" s="16" t="s">
        <v>364</v>
      </c>
      <c r="D59" s="16" t="s">
        <v>198</v>
      </c>
      <c r="E59" s="16" t="s">
        <v>260</v>
      </c>
      <c r="F59" s="16" t="s">
        <v>365</v>
      </c>
      <c r="G59" s="16" t="s">
        <v>255</v>
      </c>
      <c r="H59" s="16" t="s">
        <v>163</v>
      </c>
      <c r="I59" s="18" t="s">
        <v>174</v>
      </c>
      <c r="J59" s="16" t="s">
        <v>105</v>
      </c>
      <c r="K59" s="16" t="s">
        <v>366</v>
      </c>
      <c r="L59" s="16" t="s">
        <v>163</v>
      </c>
      <c r="M59" s="18" t="s">
        <v>202</v>
      </c>
      <c r="N59" s="16" t="s">
        <v>367</v>
      </c>
      <c r="O59" s="16" t="s">
        <v>368</v>
      </c>
      <c r="P59" s="16" t="s">
        <v>163</v>
      </c>
      <c r="Q59" s="18" t="s">
        <v>174</v>
      </c>
      <c r="R59" s="16" t="s">
        <v>369</v>
      </c>
      <c r="S59" s="16" t="s">
        <v>226</v>
      </c>
      <c r="T59" s="16" t="s">
        <v>156</v>
      </c>
      <c r="U59" s="17" t="s">
        <v>157</v>
      </c>
      <c r="V59" s="16" t="s">
        <v>165</v>
      </c>
      <c r="W59" s="16" t="s">
        <v>165</v>
      </c>
      <c r="X59" s="18" t="s">
        <v>167</v>
      </c>
      <c r="Y59" s="16" t="s">
        <v>241</v>
      </c>
      <c r="Z59" s="16" t="s">
        <v>370</v>
      </c>
      <c r="AA59" s="16" t="s">
        <v>371</v>
      </c>
      <c r="AB59" s="16" t="s">
        <v>372</v>
      </c>
    </row>
    <row r="60" spans="1:28" x14ac:dyDescent="0.35">
      <c r="A60" s="16">
        <v>2</v>
      </c>
      <c r="B60" s="16" t="s">
        <v>373</v>
      </c>
      <c r="C60" s="16" t="s">
        <v>374</v>
      </c>
      <c r="D60" s="16" t="s">
        <v>332</v>
      </c>
      <c r="E60" s="16" t="s">
        <v>375</v>
      </c>
      <c r="F60" s="16" t="s">
        <v>199</v>
      </c>
      <c r="G60" s="16" t="s">
        <v>376</v>
      </c>
      <c r="H60" s="16" t="s">
        <v>163</v>
      </c>
      <c r="I60" s="17" t="s">
        <v>157</v>
      </c>
      <c r="J60" s="16" t="s">
        <v>377</v>
      </c>
      <c r="K60" s="16" t="s">
        <v>120</v>
      </c>
      <c r="L60" s="16" t="s">
        <v>163</v>
      </c>
      <c r="M60" s="17" t="s">
        <v>157</v>
      </c>
      <c r="N60" s="16" t="s">
        <v>378</v>
      </c>
      <c r="O60" s="16" t="s">
        <v>379</v>
      </c>
      <c r="P60" s="16" t="s">
        <v>163</v>
      </c>
      <c r="Q60" s="17" t="s">
        <v>157</v>
      </c>
      <c r="R60" s="16" t="s">
        <v>338</v>
      </c>
      <c r="S60" s="16" t="s">
        <v>175</v>
      </c>
      <c r="T60" s="16" t="s">
        <v>156</v>
      </c>
      <c r="U60" s="18" t="s">
        <v>174</v>
      </c>
      <c r="V60" s="16" t="s">
        <v>165</v>
      </c>
      <c r="W60" s="16" t="s">
        <v>165</v>
      </c>
      <c r="X60" s="18" t="s">
        <v>319</v>
      </c>
      <c r="Y60" s="16" t="s">
        <v>380</v>
      </c>
      <c r="Z60" s="16" t="s">
        <v>69</v>
      </c>
      <c r="AA60" s="16" t="s">
        <v>381</v>
      </c>
      <c r="AB60" s="16" t="s">
        <v>353</v>
      </c>
    </row>
    <row r="61" spans="1:28" x14ac:dyDescent="0.35">
      <c r="A61" s="16">
        <v>2</v>
      </c>
      <c r="B61" s="16" t="s">
        <v>382</v>
      </c>
      <c r="C61" s="16" t="s">
        <v>383</v>
      </c>
      <c r="D61" s="16" t="s">
        <v>384</v>
      </c>
      <c r="E61" s="16" t="s">
        <v>285</v>
      </c>
      <c r="F61" s="16" t="s">
        <v>385</v>
      </c>
      <c r="G61" s="16" t="s">
        <v>206</v>
      </c>
      <c r="H61" s="16" t="s">
        <v>156</v>
      </c>
      <c r="I61" s="18" t="s">
        <v>202</v>
      </c>
      <c r="J61" s="16" t="s">
        <v>386</v>
      </c>
      <c r="K61" s="16" t="s">
        <v>114</v>
      </c>
      <c r="L61" s="16" t="s">
        <v>163</v>
      </c>
      <c r="M61" s="17" t="s">
        <v>157</v>
      </c>
      <c r="N61" s="16" t="s">
        <v>387</v>
      </c>
      <c r="O61" s="16" t="s">
        <v>218</v>
      </c>
      <c r="P61" s="16" t="s">
        <v>163</v>
      </c>
      <c r="Q61" s="17" t="s">
        <v>157</v>
      </c>
      <c r="R61" s="16" t="s">
        <v>263</v>
      </c>
      <c r="S61" s="16" t="s">
        <v>199</v>
      </c>
      <c r="T61" s="16" t="s">
        <v>156</v>
      </c>
      <c r="U61" s="18" t="s">
        <v>174</v>
      </c>
      <c r="V61" s="16" t="s">
        <v>166</v>
      </c>
      <c r="W61" s="16" t="s">
        <v>166</v>
      </c>
      <c r="X61" s="18" t="s">
        <v>208</v>
      </c>
      <c r="Y61" s="16" t="s">
        <v>388</v>
      </c>
      <c r="Z61" s="16" t="s">
        <v>389</v>
      </c>
      <c r="AA61" s="16" t="s">
        <v>390</v>
      </c>
      <c r="AB61" s="16" t="s">
        <v>391</v>
      </c>
    </row>
    <row r="62" spans="1:28" x14ac:dyDescent="0.35">
      <c r="A62" s="16">
        <v>2</v>
      </c>
      <c r="B62" s="16" t="s">
        <v>392</v>
      </c>
      <c r="C62" s="16" t="s">
        <v>393</v>
      </c>
      <c r="D62" s="16" t="s">
        <v>394</v>
      </c>
      <c r="E62" s="16" t="s">
        <v>395</v>
      </c>
      <c r="F62" s="16" t="s">
        <v>396</v>
      </c>
      <c r="G62" s="16" t="s">
        <v>397</v>
      </c>
      <c r="H62" s="16" t="s">
        <v>156</v>
      </c>
      <c r="I62" s="17" t="s">
        <v>157</v>
      </c>
      <c r="J62" s="16" t="s">
        <v>385</v>
      </c>
      <c r="K62" s="16" t="s">
        <v>293</v>
      </c>
      <c r="L62" s="16" t="s">
        <v>156</v>
      </c>
      <c r="M62" s="17" t="s">
        <v>157</v>
      </c>
      <c r="N62" s="16" t="s">
        <v>362</v>
      </c>
      <c r="O62" s="16" t="s">
        <v>325</v>
      </c>
      <c r="P62" s="16" t="s">
        <v>156</v>
      </c>
      <c r="Q62" s="17" t="s">
        <v>157</v>
      </c>
      <c r="R62" s="16" t="s">
        <v>398</v>
      </c>
      <c r="S62" s="16" t="s">
        <v>262</v>
      </c>
      <c r="T62" s="16" t="s">
        <v>156</v>
      </c>
      <c r="U62" s="17" t="s">
        <v>157</v>
      </c>
      <c r="V62" s="16" t="s">
        <v>165</v>
      </c>
      <c r="W62" s="16" t="s">
        <v>165</v>
      </c>
      <c r="X62" s="18" t="s">
        <v>167</v>
      </c>
      <c r="Y62" s="16" t="s">
        <v>218</v>
      </c>
      <c r="Z62" s="16" t="s">
        <v>127</v>
      </c>
      <c r="AA62" s="16" t="s">
        <v>399</v>
      </c>
      <c r="AB62" s="16" t="s">
        <v>400</v>
      </c>
    </row>
    <row r="63" spans="1:28" x14ac:dyDescent="0.35">
      <c r="A63" s="16">
        <v>2</v>
      </c>
      <c r="B63" s="16" t="s">
        <v>401</v>
      </c>
      <c r="C63" s="16" t="s">
        <v>402</v>
      </c>
      <c r="D63" s="16" t="s">
        <v>403</v>
      </c>
      <c r="E63" s="16" t="s">
        <v>368</v>
      </c>
      <c r="F63" s="16" t="s">
        <v>377</v>
      </c>
      <c r="G63" s="16" t="s">
        <v>404</v>
      </c>
      <c r="H63" s="16" t="s">
        <v>156</v>
      </c>
      <c r="I63" s="18" t="s">
        <v>174</v>
      </c>
      <c r="J63" s="16" t="s">
        <v>405</v>
      </c>
      <c r="K63" s="16" t="s">
        <v>242</v>
      </c>
      <c r="L63" s="16" t="s">
        <v>156</v>
      </c>
      <c r="M63" s="18" t="s">
        <v>202</v>
      </c>
      <c r="N63" s="16" t="s">
        <v>386</v>
      </c>
      <c r="O63" s="16" t="s">
        <v>406</v>
      </c>
      <c r="P63" s="16" t="s">
        <v>163</v>
      </c>
      <c r="Q63" s="17" t="s">
        <v>157</v>
      </c>
      <c r="R63" s="16" t="s">
        <v>190</v>
      </c>
      <c r="S63" s="16" t="s">
        <v>407</v>
      </c>
      <c r="T63" s="16" t="s">
        <v>156</v>
      </c>
      <c r="U63" s="18" t="s">
        <v>174</v>
      </c>
      <c r="V63" s="16" t="s">
        <v>165</v>
      </c>
      <c r="W63" s="16" t="s">
        <v>166</v>
      </c>
      <c r="X63" s="18" t="s">
        <v>167</v>
      </c>
      <c r="Y63" s="16" t="s">
        <v>69</v>
      </c>
      <c r="Z63" s="16" t="s">
        <v>79</v>
      </c>
      <c r="AA63" s="16" t="s">
        <v>26</v>
      </c>
      <c r="AB63" s="16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2026-09-26T19:04:54Z</dcterms:modified>
  <dc:language>en-US</dc:language>
</cp:coreProperties>
</file>