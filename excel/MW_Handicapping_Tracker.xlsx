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47D961F7-2FDE-4D85-B108-7E8B8C21D7F5}" xr6:coauthVersionLast="47" xr6:coauthVersionMax="47" xr10:uidLastSave="{00000000-0000-0000-0000-000000000000}"/>
  <bookViews>
    <workbookView xWindow="-110" yWindow="-110" windowWidth="19420" windowHeight="10300" tabRatio="500" firstSheet="2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K14" i="3"/>
  <c r="N14" i="3" s="1"/>
  <c r="H14" i="3"/>
  <c r="G14" i="3"/>
  <c r="M14" i="3" s="1"/>
  <c r="K13" i="3"/>
  <c r="L13" i="3" s="1"/>
  <c r="G13" i="3"/>
  <c r="H13" i="3" s="1"/>
  <c r="N12" i="3"/>
  <c r="K12" i="3"/>
  <c r="L12" i="3" s="1"/>
  <c r="G12" i="3"/>
  <c r="L11" i="3"/>
  <c r="K11" i="3"/>
  <c r="N11" i="3" s="1"/>
  <c r="G11" i="3"/>
  <c r="M11" i="3" s="1"/>
  <c r="M10" i="3"/>
  <c r="K10" i="3"/>
  <c r="N10" i="3" s="1"/>
  <c r="H10" i="3"/>
  <c r="G10" i="3"/>
  <c r="M9" i="3"/>
  <c r="K9" i="3"/>
  <c r="G9" i="3"/>
  <c r="H9" i="3" s="1"/>
  <c r="N8" i="3"/>
  <c r="K8" i="3"/>
  <c r="L8" i="3" s="1"/>
  <c r="G8" i="3"/>
  <c r="L7" i="3"/>
  <c r="K7" i="3"/>
  <c r="N7" i="3" s="1"/>
  <c r="G7" i="3"/>
  <c r="M6" i="3"/>
  <c r="K6" i="3"/>
  <c r="H6" i="3"/>
  <c r="G6" i="3"/>
  <c r="K5" i="3"/>
  <c r="G5" i="3"/>
  <c r="H5" i="3" s="1"/>
  <c r="M5" i="3" s="1"/>
  <c r="K4" i="3"/>
  <c r="L4" i="3" s="1"/>
  <c r="N4" i="3" s="1"/>
  <c r="G4" i="3"/>
  <c r="L3" i="3"/>
  <c r="K3" i="3"/>
  <c r="N3" i="3" s="1"/>
  <c r="G3" i="3"/>
  <c r="K2" i="3"/>
  <c r="H2" i="3"/>
  <c r="M2" i="3" s="1"/>
  <c r="G2" i="3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M2" i="4"/>
  <c r="L2" i="4"/>
  <c r="J2" i="4"/>
  <c r="L5" i="3" l="1"/>
  <c r="N5" i="3"/>
  <c r="H8" i="3"/>
  <c r="M8" i="3"/>
  <c r="H12" i="3"/>
  <c r="M12" i="3"/>
  <c r="H4" i="3"/>
  <c r="M4" i="3"/>
  <c r="L9" i="3"/>
  <c r="N9" i="3"/>
  <c r="M13" i="3"/>
  <c r="H3" i="3"/>
  <c r="M3" i="3" s="1"/>
  <c r="H7" i="3"/>
  <c r="M7" i="3" s="1"/>
  <c r="H11" i="3"/>
  <c r="N13" i="3"/>
  <c r="L2" i="3"/>
  <c r="N2" i="3" s="1"/>
  <c r="L6" i="3"/>
  <c r="N6" i="3" s="1"/>
  <c r="L10" i="3"/>
  <c r="L14" i="3"/>
</calcChain>
</file>

<file path=xl/sharedStrings.xml><?xml version="1.0" encoding="utf-8"?>
<sst xmlns="http://schemas.openxmlformats.org/spreadsheetml/2006/main" count="1397" uniqueCount="645">
  <si>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</si>
  <si>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</si>
  <si>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</si>
  <si>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</si>
  <si>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</si>
  <si>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</si>
  <si>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</si>
  <si>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</si>
  <si>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</si>
  <si>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</si>
  <si>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</si>
  <si>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</si>
  <si>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</si>
  <si>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</si>
  <si>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</si>
  <si>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</si>
  <si>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</si>
  <si>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</si>
  <si>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</si>
  <si>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</si>
  <si>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</si>
  <si>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</si>
  <si>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</si>
  <si>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</si>
  <si>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</si>
  <si>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</si>
  <si>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</si>
  <si>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</si>
  <si>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</si>
  <si>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</si>
  <si>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</si>
  <si>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</si>
  <si>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</si>
  <si>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</si>
  <si>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</si>
  <si>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</si>
  <si>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</si>
  <si>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</si>
  <si>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</si>
  <si>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</si>
  <si>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</si>
  <si>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</si>
  <si>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</si>
  <si>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</si>
  <si>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</si>
  <si>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</si>
  <si>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</si>
  <si>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</si>
  <si>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</si>
  <si>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</si>
  <si>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</si>
  <si>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</si>
  <si>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</si>
  <si>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</si>
  <si>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</si>
  <si>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</si>
  <si>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</si>
  <si>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</si>
  <si>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</si>
  <si>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</si>
  <si>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</si>
  <si>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</si>
  <si>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</si>
  <si>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</si>
  <si>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</si>
  <si>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</si>
  <si>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</si>
  <si>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</si>
  <si>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</si>
  <si>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</si>
  <si>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</si>
  <si>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</si>
  <si>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</si>
  <si>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</si>
  <si>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</si>
  <si>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</si>
  <si>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</si>
  <si>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</si>
  <si>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</si>
  <si>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</si>
  <si>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</si>
  <si>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</si>
  <si>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</si>
  <si>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</si>
  <si>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</si>
  <si>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</si>
  <si>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</si>
  <si>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</si>
  <si>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</si>
  <si>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</si>
  <si>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</si>
  <si>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</si>
  <si>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</si>
  <si>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</si>
  <si>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</si>
  <si>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</si>
  <si>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</si>
  <si>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</si>
  <si>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</si>
  <si>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</si>
  <si>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</si>
  <si>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</si>
  <si>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</si>
  <si>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</si>
  <si>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</si>
  <si>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</si>
  <si>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</si>
  <si>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</si>
  <si>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</si>
  <si>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</si>
  <si>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</si>
  <si>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</si>
  <si>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</si>
  <si>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</si>
  <si>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</si>
  <si>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</si>
  <si>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</si>
  <si>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</si>
  <si>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</si>
  <si>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</si>
  <si>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</si>
  <si>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</si>
  <si>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</si>
  <si>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</si>
  <si>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</si>
  <si>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</si>
  <si>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</si>
  <si>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</si>
  <si>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</si>
  <si>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</si>
  <si>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</si>
  <si>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</si>
  <si>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</si>
  <si>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</si>
  <si>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</si>
  <si>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</si>
  <si>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</si>
  <si>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Northern Illinois</t>
  </si>
  <si>
    <t>Georgia State</t>
  </si>
  <si>
    <t>Hawai'i</t>
  </si>
  <si>
    <t>Wyoming</t>
  </si>
  <si>
    <t>New Mexico State</t>
  </si>
  <si>
    <t>Air Force</t>
  </si>
  <si>
    <t>2026-09-27</t>
  </si>
  <si>
    <t>Oregon State</t>
  </si>
  <si>
    <t>UTEP</t>
  </si>
  <si>
    <t>Nevada</t>
  </si>
  <si>
    <t>San José State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</si>
  <si>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</si>
  <si>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</si>
  <si>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</si>
  <si>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</si>
  <si>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</si>
  <si>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</si>
  <si>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</si>
  <si>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</si>
  <si>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</si>
  <si>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</si>
  <si>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</si>
  <si>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</si>
  <si>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</si>
  <si>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</si>
  <si>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</si>
  <si>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</si>
  <si>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</si>
  <si>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</si>
  <si>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</si>
  <si>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</si>
  <si>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</si>
  <si>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</si>
  <si>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</si>
  <si>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</si>
  <si>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</si>
  <si>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</si>
  <si>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</si>
  <si>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</si>
  <si>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</si>
  <si>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</si>
  <si>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</si>
  <si>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</si>
  <si>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</si>
  <si>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</si>
  <si>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</si>
  <si>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</si>
  <si>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</si>
  <si>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</si>
  <si>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</si>
  <si>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56.4%</t>
  </si>
  <si>
    <t>+7.7%</t>
  </si>
  <si>
    <t>55.7%</t>
  </si>
  <si>
    <t>98/260 (38%)</t>
  </si>
  <si>
    <t>+807.5</t>
  </si>
  <si>
    <t>Dub Gamma Model (live model) -- MW-involved</t>
  </si>
  <si>
    <t>69.0%</t>
  </si>
  <si>
    <t>+31.7%</t>
  </si>
  <si>
    <t>65.4%</t>
  </si>
  <si>
    <t>7/29 (24%)</t>
  </si>
  <si>
    <t>+106.1</t>
  </si>
  <si>
    <t>Ridge (candidate) -- all FBS</t>
  </si>
  <si>
    <t>50.1%</t>
  </si>
  <si>
    <t>-4.4%</t>
  </si>
  <si>
    <t>49.8%</t>
  </si>
  <si>
    <t>2653/8693 (31%)</t>
  </si>
  <si>
    <t>+5473.7</t>
  </si>
  <si>
    <t>Ridge (candidate) -- MW-involved</t>
  </si>
  <si>
    <t>51.2%</t>
  </si>
  <si>
    <t>-2.3%</t>
  </si>
  <si>
    <t>49.7%</t>
  </si>
  <si>
    <t>297/985 (30%)</t>
  </si>
  <si>
    <t>+608.7</t>
  </si>
  <si>
    <t>XGBoost (candidate) -- all FBS</t>
  </si>
  <si>
    <t>50.3%</t>
  </si>
  <si>
    <t>-4.1%</t>
  </si>
  <si>
    <t>50.7%</t>
  </si>
  <si>
    <t>3097/8693 (36%)</t>
  </si>
  <si>
    <t>+98.7</t>
  </si>
  <si>
    <t>XGBoost (candidate) -- MW-involved</t>
  </si>
  <si>
    <t>-3.3%</t>
  </si>
  <si>
    <t>51.6%</t>
  </si>
  <si>
    <t>340/985 (35%)</t>
  </si>
  <si>
    <t>+785.8</t>
  </si>
  <si>
    <t>Massey (candidate) -- all FBS</t>
  </si>
  <si>
    <t>50.5%</t>
  </si>
  <si>
    <t>-3.5%</t>
  </si>
  <si>
    <t>50.6%</t>
  </si>
  <si>
    <t>2845/7504 (38%)</t>
  </si>
  <si>
    <t>-10816.4</t>
  </si>
  <si>
    <t>Massey (candidate) -- MW-involved</t>
  </si>
  <si>
    <t>-3.4%</t>
  </si>
  <si>
    <t>341/842 (40%)</t>
  </si>
  <si>
    <t>-206.1</t>
  </si>
  <si>
    <t>2026 Season Only</t>
  </si>
  <si>
    <t>47.1%</t>
  </si>
  <si>
    <t>-10.1%</t>
  </si>
  <si>
    <t>66/260 (25%)</t>
  </si>
  <si>
    <t>-621.2</t>
  </si>
  <si>
    <t>58.6%</t>
  </si>
  <si>
    <t>+11.9%</t>
  </si>
  <si>
    <t>54.2%</t>
  </si>
  <si>
    <t>+19.1</t>
  </si>
  <si>
    <t>48.6%</t>
  </si>
  <si>
    <t>-7.1%</t>
  </si>
  <si>
    <t>48.1%</t>
  </si>
  <si>
    <t>77/260 (30%)</t>
  </si>
  <si>
    <t>-592.6</t>
  </si>
  <si>
    <t>48.3%</t>
  </si>
  <si>
    <t>-7.8%</t>
  </si>
  <si>
    <t>45.5%</t>
  </si>
  <si>
    <t>12/29 (41%)</t>
  </si>
  <si>
    <t>-14.1</t>
  </si>
  <si>
    <t>41.2%</t>
  </si>
  <si>
    <t>-21.2%</t>
  </si>
  <si>
    <t>42.8%</t>
  </si>
  <si>
    <t>19/161 (12%)</t>
  </si>
  <si>
    <t>-1982.6</t>
  </si>
  <si>
    <t>56.2%</t>
  </si>
  <si>
    <t>+7.4%</t>
  </si>
  <si>
    <t>53.3%</t>
  </si>
  <si>
    <t>3/16 (19%)</t>
  </si>
  <si>
    <t>-126.9</t>
  </si>
  <si>
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</si>
  <si>
    <t>Upcoming Games -- Ridge vs. XGBoost vs. Massey vs. Dub Gamma (Not Yet Graded)</t>
  </si>
  <si>
    <t>Latest predictions CSV predates Massey's column -- rerun src/predict_week.py to see Massey's live line here too.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</si>
  <si>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</si>
  <si>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</si>
  <si>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</si>
  <si>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</si>
  <si>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</si>
  <si>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</si>
  <si>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</si>
  <si>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</si>
  <si>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</si>
  <si>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</si>
  <si>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--</t>
  </si>
  <si>
    <t>+1.4</t>
  </si>
  <si>
    <t>+9.1</t>
  </si>
  <si>
    <t>+3.7</t>
  </si>
  <si>
    <t>n/a</t>
  </si>
  <si>
    <t>Northern Illinois @ Georgia State</t>
  </si>
  <si>
    <t>-11.7</t>
  </si>
  <si>
    <t>-1.8</t>
  </si>
  <si>
    <t>-7.7</t>
  </si>
  <si>
    <t>Hawai'i @ Wyoming</t>
  </si>
  <si>
    <t>+6.1</t>
  </si>
  <si>
    <t>-0.3</t>
  </si>
  <si>
    <t>+6.7</t>
  </si>
  <si>
    <t>+12.7</t>
  </si>
  <si>
    <t>+18.7</t>
  </si>
  <si>
    <t>Oregon State @ UTEP</t>
  </si>
  <si>
    <t>-3.8</t>
  </si>
  <si>
    <t>+1.1</t>
  </si>
  <si>
    <t>+10.5</t>
  </si>
  <si>
    <t>Air Force @ Nevada</t>
  </si>
  <si>
    <t>+3.4</t>
  </si>
  <si>
    <t>-0.5</t>
  </si>
  <si>
    <t>+2.3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</si>
  <si>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</si>
  <si>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</si>
  <si>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</si>
  <si>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</si>
  <si>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</si>
  <si>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</si>
  <si>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</si>
  <si>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</si>
  <si>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</si>
  <si>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</si>
  <si>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</si>
  <si>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</si>
  <si>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</si>
  <si>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</si>
  <si>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</si>
  <si>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</si>
  <si>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</si>
  <si>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</si>
  <si>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</si>
  <si>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</si>
  <si>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</si>
  <si>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</si>
  <si>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</si>
  <si>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</si>
  <si>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</si>
  <si>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Away</t>
  </si>
  <si>
    <t>Loss</t>
  </si>
  <si>
    <t>-28.4</t>
  </si>
  <si>
    <t>-1.6</t>
  </si>
  <si>
    <t>Loss (no real edge)</t>
  </si>
  <si>
    <t>-36.5</t>
  </si>
  <si>
    <t>+6.5</t>
  </si>
  <si>
    <t>Home</t>
  </si>
  <si>
    <t>Win (seed week)</t>
  </si>
  <si>
    <t>Yes</t>
  </si>
  <si>
    <t>No</t>
  </si>
  <si>
    <t>XGBoost</t>
  </si>
  <si>
    <t>+0.0</t>
  </si>
  <si>
    <t>Wyoming @ Colorado State</t>
  </si>
  <si>
    <t>13-35</t>
  </si>
  <si>
    <t>-2.8</t>
  </si>
  <si>
    <t>+22.0</t>
  </si>
  <si>
    <t>-7.8</t>
  </si>
  <si>
    <t>+5.1</t>
  </si>
  <si>
    <t>Win</t>
  </si>
  <si>
    <t>-2.0</t>
  </si>
  <si>
    <t>-0.7</t>
  </si>
  <si>
    <t>-6.4</t>
  </si>
  <si>
    <t>-7.9</t>
  </si>
  <si>
    <t>-2.4</t>
  </si>
  <si>
    <t>+10.2</t>
  </si>
  <si>
    <t>27-21</t>
  </si>
  <si>
    <t>-1.5</t>
  </si>
  <si>
    <t>-6.0</t>
  </si>
  <si>
    <t>-15.8</t>
  </si>
  <si>
    <t>+14.3</t>
  </si>
  <si>
    <t>-9.5</t>
  </si>
  <si>
    <t>+8.0</t>
  </si>
  <si>
    <t>+0.5</t>
  </si>
  <si>
    <t>Gamma</t>
  </si>
  <si>
    <t>+6.4</t>
  </si>
  <si>
    <t>+5.6</t>
  </si>
  <si>
    <t>+8.2</t>
  </si>
  <si>
    <t>UNLV @ Hawai'i</t>
  </si>
  <si>
    <t>21-6</t>
  </si>
  <si>
    <t>+2.8</t>
  </si>
  <si>
    <t>-15.0</t>
  </si>
  <si>
    <t>+2.9</t>
  </si>
  <si>
    <t>-0.1</t>
  </si>
  <si>
    <t>Win (no real edge)</t>
  </si>
  <si>
    <t>-1.3</t>
  </si>
  <si>
    <t>+4.1</t>
  </si>
  <si>
    <t>+4.4</t>
  </si>
  <si>
    <t>Win (no real edge) (seed week)</t>
  </si>
  <si>
    <t>Ridge</t>
  </si>
  <si>
    <t>+6.2</t>
  </si>
  <si>
    <t>+9.7</t>
  </si>
  <si>
    <t>Northern Illinois @ Iowa</t>
  </si>
  <si>
    <t>0-40</t>
  </si>
  <si>
    <t>-31.8</t>
  </si>
  <si>
    <t>+40.0</t>
  </si>
  <si>
    <t>-28.3</t>
  </si>
  <si>
    <t>-3.5</t>
  </si>
  <si>
    <t>-24.4</t>
  </si>
  <si>
    <t>-7.3</t>
  </si>
  <si>
    <t>-41.0</t>
  </si>
  <si>
    <t>+9.2</t>
  </si>
  <si>
    <t>+2.4</t>
  </si>
  <si>
    <t>+15.8</t>
  </si>
  <si>
    <t>Western Kentucky @ Nevada</t>
  </si>
  <si>
    <t>14-49</t>
  </si>
  <si>
    <t>+0.2</t>
  </si>
  <si>
    <t>+35.0</t>
  </si>
  <si>
    <t>+3.3</t>
  </si>
  <si>
    <t>-3.0</t>
  </si>
  <si>
    <t>+7.0</t>
  </si>
  <si>
    <t>-6.8</t>
  </si>
  <si>
    <t>-2.5</t>
  </si>
  <si>
    <t>+2.7</t>
  </si>
  <si>
    <t>-4.4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</si>
  <si>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</si>
  <si>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</si>
  <si>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</si>
  <si>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</si>
  <si>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</si>
  <si>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</si>
  <si>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</si>
  <si>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</si>
  <si>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-4.0</t>
  </si>
  <si>
    <t>+22.9</t>
  </si>
  <si>
    <t>Fordham @ North Dakota State</t>
  </si>
  <si>
    <t>0-38</t>
  </si>
  <si>
    <t>-41.5</t>
  </si>
  <si>
    <t>+38.0</t>
  </si>
  <si>
    <t>-40.9</t>
  </si>
  <si>
    <t>-0.6</t>
  </si>
  <si>
    <t>-35.3</t>
  </si>
  <si>
    <t>-6.2</t>
  </si>
  <si>
    <t>-58.5</t>
  </si>
  <si>
    <t>+17.0</t>
  </si>
  <si>
    <t>Loss (seed week)</t>
  </si>
  <si>
    <t>+5.3</t>
  </si>
  <si>
    <t>-10.2</t>
  </si>
  <si>
    <t>+39.8</t>
  </si>
  <si>
    <t>7-33</t>
  </si>
  <si>
    <t>+26.0</t>
  </si>
  <si>
    <t>-18.4</t>
  </si>
  <si>
    <t>+11.6</t>
  </si>
  <si>
    <t>+8.3</t>
  </si>
  <si>
    <t>-25.5</t>
  </si>
  <si>
    <t>+16.9</t>
  </si>
  <si>
    <t>-1.9</t>
  </si>
  <si>
    <t>+58.5</t>
  </si>
  <si>
    <t>0-51</t>
  </si>
  <si>
    <t>-40.8</t>
  </si>
  <si>
    <t>+51.0</t>
  </si>
  <si>
    <t>-34.8</t>
  </si>
  <si>
    <t>-5.9</t>
  </si>
  <si>
    <t>-31.9</t>
  </si>
  <si>
    <t>-8.8</t>
  </si>
  <si>
    <t>-44.4</t>
  </si>
  <si>
    <t>+3.6</t>
  </si>
  <si>
    <t>+11.0</t>
  </si>
  <si>
    <t>-10.7</t>
  </si>
  <si>
    <t>+62.1</t>
  </si>
  <si>
    <t>Hawai'i @ Stanford</t>
  </si>
  <si>
    <t>27-37</t>
  </si>
  <si>
    <t>-4.8</t>
  </si>
  <si>
    <t>+10.0</t>
  </si>
  <si>
    <t>-3.3</t>
  </si>
  <si>
    <t>+1.7</t>
  </si>
  <si>
    <t>+7.7</t>
  </si>
  <si>
    <t>-17.2</t>
  </si>
  <si>
    <t>+68.5</t>
  </si>
  <si>
    <t>-10.9</t>
  </si>
  <si>
    <t>-6.3</t>
  </si>
  <si>
    <t>+1.5</t>
  </si>
  <si>
    <t>+1.6</t>
  </si>
  <si>
    <t>+13.9</t>
  </si>
  <si>
    <t>+62.2</t>
  </si>
  <si>
    <t>San José State @ USC</t>
  </si>
  <si>
    <t>26-42</t>
  </si>
  <si>
    <t>-37.2</t>
  </si>
  <si>
    <t>+16.0</t>
  </si>
  <si>
    <t>-34.6</t>
  </si>
  <si>
    <t>-2.7</t>
  </si>
  <si>
    <t>-35.8</t>
  </si>
  <si>
    <t>-1.4</t>
  </si>
  <si>
    <t>-30.3</t>
  </si>
  <si>
    <t>-7.0</t>
  </si>
  <si>
    <t>+11.2</t>
  </si>
  <si>
    <t>-17.1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</si>
  <si>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</si>
  <si>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</si>
  <si>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</si>
  <si>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</si>
  <si>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</si>
  <si>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</si>
  <si>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</si>
  <si>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</si>
  <si>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</si>
  <si>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</si>
  <si>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</si>
  <si>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Massey</t>
  </si>
  <si>
    <t>-4.1</t>
  </si>
  <si>
    <t>-29.8</t>
  </si>
  <si>
    <t>+39.0</t>
  </si>
  <si>
    <t>New Mexico State @ Hawai'i</t>
  </si>
  <si>
    <t>19-29</t>
  </si>
  <si>
    <t>-7.5</t>
  </si>
  <si>
    <t>+6.6</t>
  </si>
  <si>
    <t>-12.9</t>
  </si>
  <si>
    <t>+5.4</t>
  </si>
  <si>
    <t>-7.6</t>
  </si>
  <si>
    <t>+0.1</t>
  </si>
  <si>
    <t>+7.2</t>
  </si>
  <si>
    <t>-14.7</t>
  </si>
  <si>
    <t>+2.5</t>
  </si>
  <si>
    <t>+39.1</t>
  </si>
  <si>
    <t>-14.9</t>
  </si>
  <si>
    <t>Montana State @ Nevada</t>
  </si>
  <si>
    <t>20-7</t>
  </si>
  <si>
    <t>+5.0</t>
  </si>
  <si>
    <t>+22.2</t>
  </si>
  <si>
    <t>-11.4</t>
  </si>
  <si>
    <t>+16.4</t>
  </si>
  <si>
    <t>-33.6</t>
  </si>
  <si>
    <t>+38.6</t>
  </si>
  <si>
    <t>-11.8</t>
  </si>
  <si>
    <t>+16.8</t>
  </si>
  <si>
    <t>+24.8</t>
  </si>
  <si>
    <t>-8.0</t>
  </si>
  <si>
    <t>+77.8</t>
  </si>
  <si>
    <t>Mercyhurst @ New Mexico</t>
  </si>
  <si>
    <t>7-70</t>
  </si>
  <si>
    <t>-42.2</t>
  </si>
  <si>
    <t>+63.0</t>
  </si>
  <si>
    <t>-25.2</t>
  </si>
  <si>
    <t>-27.5</t>
  </si>
  <si>
    <t>-45.6</t>
  </si>
  <si>
    <t>-20.6</t>
  </si>
  <si>
    <t>-21.6</t>
  </si>
  <si>
    <t>-22.8</t>
  </si>
  <si>
    <t>+81.1</t>
  </si>
  <si>
    <t>-19.8</t>
  </si>
  <si>
    <t>6-44</t>
  </si>
  <si>
    <t>-3.6</t>
  </si>
  <si>
    <t>+6.3</t>
  </si>
  <si>
    <t>-5.3</t>
  </si>
  <si>
    <t>+5.7</t>
  </si>
  <si>
    <t>-21.7</t>
  </si>
  <si>
    <t>+89.1</t>
  </si>
  <si>
    <t>-22.7</t>
  </si>
  <si>
    <t>Illinois State @ Northern Illinois</t>
  </si>
  <si>
    <t>28-24</t>
  </si>
  <si>
    <t>+17.5</t>
  </si>
  <si>
    <t>-15.7</t>
  </si>
  <si>
    <t>+18.2</t>
  </si>
  <si>
    <t>-23.3</t>
  </si>
  <si>
    <t>+25.8</t>
  </si>
  <si>
    <t>+23.4</t>
  </si>
  <si>
    <t>-3.4</t>
  </si>
  <si>
    <t>+114.9</t>
  </si>
  <si>
    <t>Cal Poly @ San José State</t>
  </si>
  <si>
    <t>20-30</t>
  </si>
  <si>
    <t>-21.5</t>
  </si>
  <si>
    <t>-19.9</t>
  </si>
  <si>
    <t>-27.9</t>
  </si>
  <si>
    <t>-30.7</t>
  </si>
  <si>
    <t>-6.5</t>
  </si>
  <si>
    <t>+21.8</t>
  </si>
  <si>
    <t>+3.0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</si>
  <si>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</si>
  <si>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</si>
  <si>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</si>
  <si>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</si>
  <si>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</si>
  <si>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</si>
  <si>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</si>
  <si>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</si>
  <si>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-20.5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</si>
  <si>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</si>
  <si>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</si>
  <si>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</si>
  <si>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</si>
  <si>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</si>
  <si>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</si>
  <si>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</si>
  <si>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</si>
  <si>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</si>
  <si>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</si>
  <si>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</si>
  <si>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</si>
  <si>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-24.0</t>
  </si>
  <si>
    <t>+2.0</t>
  </si>
  <si>
    <t>-5.5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</si>
  <si>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</si>
  <si>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</si>
  <si>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</si>
  <si>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</si>
  <si>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</si>
  <si>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</si>
  <si>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</si>
  <si>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</si>
  <si>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</si>
  <si>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</si>
  <si>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</si>
  <si>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</si>
  <si>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-15.5</t>
  </si>
  <si>
    <t>+117.1</t>
  </si>
  <si>
    <t>-114.7</t>
  </si>
  <si>
    <t>10-24</t>
  </si>
  <si>
    <t>+14.0</t>
  </si>
  <si>
    <t>+11.3</t>
  </si>
  <si>
    <t>-8.6</t>
  </si>
  <si>
    <t>+10.4</t>
  </si>
  <si>
    <t>-9.3</t>
  </si>
  <si>
    <t>-2.2</t>
  </si>
  <si>
    <t>+4.0</t>
  </si>
  <si>
    <t>-8.7</t>
  </si>
  <si>
    <t>+128.1</t>
  </si>
  <si>
    <t>-110.7</t>
  </si>
  <si>
    <t>UTEP @ Michigan</t>
  </si>
  <si>
    <t>17-52</t>
  </si>
  <si>
    <t>-32.4</t>
  </si>
  <si>
    <t>-2.1</t>
  </si>
  <si>
    <t>-29.7</t>
  </si>
  <si>
    <t>-10.8</t>
  </si>
  <si>
    <t>+123.3</t>
  </si>
  <si>
    <t>-133.4</t>
  </si>
  <si>
    <t>Nevada @ Middle Tennessee</t>
  </si>
  <si>
    <t>20-27</t>
  </si>
  <si>
    <t>+3.8</t>
  </si>
  <si>
    <t>+7.3</t>
  </si>
  <si>
    <t>+1.2</t>
  </si>
  <si>
    <t>+0.9</t>
  </si>
  <si>
    <t>-4.9</t>
  </si>
  <si>
    <t>+8.7</t>
  </si>
  <si>
    <t>+12.9</t>
  </si>
  <si>
    <t>-8.3</t>
  </si>
  <si>
    <t>+124.2</t>
  </si>
  <si>
    <t>-124.8</t>
  </si>
  <si>
    <t>New Mexico @ Oklahoma</t>
  </si>
  <si>
    <t>6-14</t>
  </si>
  <si>
    <t>-21.2</t>
  </si>
  <si>
    <t>-10.4</t>
  </si>
  <si>
    <t>+0.4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</si>
  <si>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</si>
  <si>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</si>
  <si>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</si>
  <si>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</si>
  <si>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</si>
  <si>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</si>
  <si>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</si>
  <si>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</si>
  <si>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+17.7</t>
  </si>
  <si>
    <t>+35.9</t>
  </si>
  <si>
    <t>+12.2</t>
  </si>
  <si>
    <t>+13.3</t>
  </si>
  <si>
    <t>+103.3</t>
  </si>
  <si>
    <t>-133.1</t>
  </si>
  <si>
    <t>Fresno State @ San José State</t>
  </si>
  <si>
    <t>26-10</t>
  </si>
  <si>
    <t>-16.0</t>
  </si>
  <si>
    <t>+3.1</t>
  </si>
  <si>
    <t>+11.4</t>
  </si>
  <si>
    <t>-7.4</t>
  </si>
  <si>
    <t>Iowa @ Michigan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</si>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</sst>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4" borderId="3" xfId="0" applyFont="1" applyFill="1" applyBorder="1" applyAlignment="1">
      <alignment horizontal="center" vertical="center" wrapText="1"/>
    </xf>
    <xf numFmtId="0" fontId="15" fillId="0" borderId="0" xfId="0" applyFont="1"/>
    <xf numFmtId="0" fontId="15" fillId="5" borderId="0" xfId="0" applyFont="1" applyFill="1"/>
    <xf numFmtId="0" fontId="15" fillId="6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92</v>
      </c>
    </row>
    <row r="2" spans="1:1" ht="14.25" customHeight="1" x14ac:dyDescent="0.35">
      <c r="A2" s="2" t="s">
        <v>93</v>
      </c>
    </row>
    <row r="3" spans="1:1" ht="14.25" customHeight="1" x14ac:dyDescent="0.35">
      <c r="A3" s="3"/>
    </row>
    <row r="4" spans="1:1" ht="14.25" customHeight="1" x14ac:dyDescent="0.35">
      <c r="A4" s="4" t="s">
        <v>94</v>
      </c>
    </row>
    <row r="5" spans="1:1" ht="14.25" customHeight="1" x14ac:dyDescent="0.35">
      <c r="A5" s="3" t="s">
        <v>95</v>
      </c>
    </row>
    <row r="6" spans="1:1" ht="14.25" customHeight="1" x14ac:dyDescent="0.35">
      <c r="A6" s="3" t="s">
        <v>96</v>
      </c>
    </row>
    <row r="7" spans="1:1" ht="14.25" customHeight="1" x14ac:dyDescent="0.35">
      <c r="A7" s="3" t="s">
        <v>97</v>
      </c>
    </row>
    <row r="8" spans="1:1" ht="14.25" customHeight="1" x14ac:dyDescent="0.35">
      <c r="A8" s="3"/>
    </row>
    <row r="9" spans="1:1" ht="14.25" customHeight="1" x14ac:dyDescent="0.35">
      <c r="A9" s="4" t="s">
        <v>98</v>
      </c>
    </row>
    <row r="10" spans="1:1" ht="14.25" customHeight="1" x14ac:dyDescent="0.35">
      <c r="A10" s="3" t="s">
        <v>99</v>
      </c>
    </row>
    <row r="11" spans="1:1" ht="14.25" customHeight="1" x14ac:dyDescent="0.35">
      <c r="A11" s="3" t="s">
        <v>100</v>
      </c>
    </row>
    <row r="12" spans="1:1" ht="14.25" customHeight="1" x14ac:dyDescent="0.35">
      <c r="A12" s="3" t="s">
        <v>101</v>
      </c>
    </row>
    <row r="13" spans="1:1" ht="14.25" customHeight="1" x14ac:dyDescent="0.35">
      <c r="A13" s="3"/>
    </row>
    <row r="14" spans="1:1" ht="14.25" customHeight="1" x14ac:dyDescent="0.35">
      <c r="A14" s="4" t="s">
        <v>102</v>
      </c>
    </row>
    <row r="15" spans="1:1" ht="14.25" customHeight="1" x14ac:dyDescent="0.35">
      <c r="A15" s="3" t="s">
        <v>103</v>
      </c>
    </row>
    <row r="16" spans="1:1" ht="14.25" customHeight="1" x14ac:dyDescent="0.35">
      <c r="A16" s="3" t="s">
        <v>104</v>
      </c>
    </row>
    <row r="17" spans="1:1" ht="14.25" customHeight="1" x14ac:dyDescent="0.35">
      <c r="A17" s="3" t="s">
        <v>105</v>
      </c>
    </row>
    <row r="18" spans="1:1" ht="14.25" customHeight="1" x14ac:dyDescent="0.35">
      <c r="A18" s="3" t="s">
        <v>106</v>
      </c>
    </row>
    <row r="19" spans="1:1" ht="14.25" customHeight="1" x14ac:dyDescent="0.35">
      <c r="A19" s="3" t="s">
        <v>107</v>
      </c>
    </row>
    <row r="20" spans="1:1" ht="14.25" customHeight="1" x14ac:dyDescent="0.35">
      <c r="A20" s="3"/>
    </row>
    <row r="21" spans="1:1" ht="14.25" customHeight="1" x14ac:dyDescent="0.35">
      <c r="A21" s="3" t="s">
        <v>108</v>
      </c>
    </row>
    <row r="22" spans="1:1" ht="14.25" customHeight="1" x14ac:dyDescent="0.35">
      <c r="A22" s="3" t="s">
        <v>109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110</v>
      </c>
    </row>
    <row r="3" spans="1:3" ht="14.25" customHeight="1" x14ac:dyDescent="0.35">
      <c r="A3" s="5" t="s">
        <v>111</v>
      </c>
      <c r="B3" s="5" t="s">
        <v>112</v>
      </c>
      <c r="C3" s="5" t="s">
        <v>113</v>
      </c>
    </row>
    <row r="4" spans="1:3" ht="14.25" customHeight="1" x14ac:dyDescent="0.35">
      <c r="A4" s="6" t="s">
        <v>114</v>
      </c>
      <c r="B4" s="7">
        <v>50</v>
      </c>
      <c r="C4" s="2" t="s">
        <v>115</v>
      </c>
    </row>
    <row r="5" spans="1:3" ht="14.25" customHeight="1" x14ac:dyDescent="0.35">
      <c r="A5" s="6" t="s">
        <v>116</v>
      </c>
      <c r="B5" s="7">
        <v>2</v>
      </c>
      <c r="C5" s="2" t="s">
        <v>117</v>
      </c>
    </row>
    <row r="6" spans="1:3" ht="14.25" customHeight="1" x14ac:dyDescent="0.35">
      <c r="A6" s="6" t="s">
        <v>118</v>
      </c>
      <c r="B6" s="7">
        <v>2</v>
      </c>
      <c r="C6" s="2" t="s">
        <v>119</v>
      </c>
    </row>
    <row r="7" spans="1:3" ht="14.25" customHeight="1" x14ac:dyDescent="0.35">
      <c r="A7" s="6" t="s">
        <v>120</v>
      </c>
      <c r="B7" s="7">
        <v>-110</v>
      </c>
      <c r="C7" s="2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</v>
      </c>
      <c r="B1" s="5" t="s">
        <v>0</v>
      </c>
      <c r="C1" s="5" t="s">
        <v>122</v>
      </c>
      <c r="D1" s="5" t="s">
        <v>123</v>
      </c>
      <c r="E1" s="5" t="s">
        <v>124</v>
      </c>
      <c r="F1" s="5" t="s">
        <v>125</v>
      </c>
      <c r="G1" s="5" t="s">
        <v>126</v>
      </c>
      <c r="H1" s="5" t="s">
        <v>127</v>
      </c>
      <c r="I1" s="5" t="s">
        <v>128</v>
      </c>
      <c r="J1" s="5" t="s">
        <v>129</v>
      </c>
      <c r="K1" s="5" t="s">
        <v>130</v>
      </c>
      <c r="L1" s="5" t="s">
        <v>131</v>
      </c>
      <c r="M1" s="5" t="s">
        <v>132</v>
      </c>
      <c r="N1" s="5" t="s">
        <v>133</v>
      </c>
      <c r="O1" s="5" t="s">
        <v>134</v>
      </c>
      <c r="P1" s="5" t="s">
        <v>135</v>
      </c>
      <c r="R1" s="8" t="s">
        <v>136</v>
      </c>
    </row>
    <row r="2" spans="1:18" ht="14.25" customHeight="1" x14ac:dyDescent="0.35">
      <c r="A2">
        <v>4</v>
      </c>
      <c r="B2" t="s">
        <v>85</v>
      </c>
      <c r="C2" t="s">
        <v>20</v>
      </c>
      <c r="D2" t="s">
        <v>88</v>
      </c>
      <c r="E2">
        <v>4</v>
      </c>
      <c r="F2">
        <v>13.5</v>
      </c>
      <c r="G2" s="6">
        <f t="shared" ref="G2:G14" si="0">F2-E2</f>
        <v>9.5</v>
      </c>
      <c r="H2" s="6" t="str">
        <f t="shared" ref="H2:H14" si="1">IF(G2=0,"Pick'em",IF(G2&gt;0,"Home","Away"))</f>
        <v>Home</v>
      </c>
      <c r="I2">
        <v>47.8</v>
      </c>
      <c r="J2">
        <v>50.8</v>
      </c>
      <c r="K2" s="6">
        <f t="shared" ref="K2:K14" si="2">I2-J2</f>
        <v>-3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35">
      <c r="A3">
        <v>4</v>
      </c>
      <c r="B3" t="s">
        <v>85</v>
      </c>
      <c r="C3" t="s">
        <v>137</v>
      </c>
      <c r="D3" t="s">
        <v>138</v>
      </c>
      <c r="E3">
        <v>-7.8</v>
      </c>
      <c r="F3">
        <v>-10</v>
      </c>
      <c r="G3" s="6">
        <f t="shared" si="0"/>
        <v>-2.2000000000000002</v>
      </c>
      <c r="H3" s="6" t="str">
        <f t="shared" si="1"/>
        <v>Away</v>
      </c>
      <c r="I3">
        <v>46.1</v>
      </c>
      <c r="J3">
        <v>56</v>
      </c>
      <c r="K3" s="6">
        <f t="shared" si="2"/>
        <v>-9.8999999999999986</v>
      </c>
      <c r="L3" s="6" t="str">
        <f t="shared" si="3"/>
        <v>Under</v>
      </c>
      <c r="M3" s="6" t="str">
        <f>IF(ABS(G3)&gt;=Settings!$B$5,H3,IF(F3=0,"Pick'em",IF(F3&lt;0,"Home (auto)","Away (auto)")))</f>
        <v>Away</v>
      </c>
      <c r="N3" s="6" t="str">
        <f>IF(ABS(K3)&gt;=Settings!$B$6,L3,IF(K3=0,"Push",L3&amp;" (auto)"))</f>
        <v>Under</v>
      </c>
    </row>
    <row r="4" spans="1:18" ht="14.25" customHeight="1" x14ac:dyDescent="0.35">
      <c r="A4">
        <v>4</v>
      </c>
      <c r="B4" t="s">
        <v>85</v>
      </c>
      <c r="C4" t="s">
        <v>139</v>
      </c>
      <c r="D4" t="s">
        <v>140</v>
      </c>
      <c r="E4">
        <v>1.9</v>
      </c>
      <c r="F4">
        <v>3</v>
      </c>
      <c r="G4" s="6">
        <f t="shared" si="0"/>
        <v>1.1000000000000001</v>
      </c>
      <c r="H4" s="6" t="str">
        <f t="shared" si="1"/>
        <v>Home</v>
      </c>
      <c r="I4">
        <v>44.9</v>
      </c>
      <c r="J4">
        <v>45.8</v>
      </c>
      <c r="K4" s="6">
        <f t="shared" si="2"/>
        <v>-0.89999999999999858</v>
      </c>
      <c r="L4" s="6" t="str">
        <f t="shared" si="3"/>
        <v>Under</v>
      </c>
      <c r="M4" s="6" t="str">
        <f>IF(ABS(G4)&gt;=Settings!$B$5,H4,IF(F4=0,"Pick'em",IF(F4&lt;0,"Home (auto)","Away (auto)")))</f>
        <v>Away (auto)</v>
      </c>
      <c r="N4" s="6" t="str">
        <f>IF(ABS(K4)&gt;=Settings!$B$6,L4,IF(K4=0,"Push",L4&amp;" (auto)"))</f>
        <v>Under (auto)</v>
      </c>
    </row>
    <row r="5" spans="1:18" ht="14.25" customHeight="1" x14ac:dyDescent="0.35">
      <c r="A5">
        <v>4</v>
      </c>
      <c r="B5" t="s">
        <v>85</v>
      </c>
      <c r="C5" t="s">
        <v>34</v>
      </c>
      <c r="D5" t="s">
        <v>141</v>
      </c>
      <c r="E5">
        <v>18.8</v>
      </c>
      <c r="F5">
        <v>12.8</v>
      </c>
      <c r="G5" s="6">
        <f t="shared" si="0"/>
        <v>-6</v>
      </c>
      <c r="H5" s="6" t="str">
        <f t="shared" si="1"/>
        <v>Away</v>
      </c>
      <c r="I5">
        <v>45.7</v>
      </c>
      <c r="J5">
        <v>48.5</v>
      </c>
      <c r="K5" s="6">
        <f t="shared" si="2"/>
        <v>-2.7999999999999972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</v>
      </c>
      <c r="R5" s="6" t="s">
        <v>142</v>
      </c>
    </row>
    <row r="6" spans="1:18" ht="14.25" customHeight="1" x14ac:dyDescent="0.35">
      <c r="A6">
        <v>4</v>
      </c>
      <c r="B6" t="s">
        <v>143</v>
      </c>
      <c r="C6" t="s">
        <v>144</v>
      </c>
      <c r="D6" t="s">
        <v>145</v>
      </c>
      <c r="E6">
        <v>10.5</v>
      </c>
      <c r="F6">
        <v>10.5</v>
      </c>
      <c r="G6" s="6">
        <f t="shared" si="0"/>
        <v>0</v>
      </c>
      <c r="H6" s="6" t="str">
        <f t="shared" si="1"/>
        <v>Pick'em</v>
      </c>
      <c r="I6">
        <v>50.9</v>
      </c>
      <c r="J6">
        <v>53.5</v>
      </c>
      <c r="K6" s="6">
        <f t="shared" si="2"/>
        <v>-2.6000000000000014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</v>
      </c>
      <c r="R6" s="6" t="s">
        <v>139</v>
      </c>
    </row>
    <row r="7" spans="1:18" ht="14.25" customHeight="1" x14ac:dyDescent="0.35">
      <c r="A7" s="10">
        <v>4</v>
      </c>
      <c r="B7" s="10" t="s">
        <v>143</v>
      </c>
      <c r="C7" s="10" t="s">
        <v>142</v>
      </c>
      <c r="D7" s="10" t="s">
        <v>146</v>
      </c>
      <c r="E7" s="10">
        <v>2.2999999999999998</v>
      </c>
      <c r="F7" s="10">
        <v>5.5</v>
      </c>
      <c r="G7" s="10">
        <f t="shared" si="0"/>
        <v>3.2</v>
      </c>
      <c r="H7" s="10" t="str">
        <f t="shared" si="1"/>
        <v>Home</v>
      </c>
      <c r="I7" s="10">
        <v>46.6</v>
      </c>
      <c r="J7" s="10">
        <v>48.8</v>
      </c>
      <c r="K7" s="10">
        <f t="shared" si="2"/>
        <v>-2.1999999999999957</v>
      </c>
      <c r="L7" s="10" t="str">
        <f t="shared" si="3"/>
        <v>Under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Under</v>
      </c>
      <c r="R7" s="6" t="s">
        <v>146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34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16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137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147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C1" zoomScaleNormal="100" workbookViewId="0">
      <pane ySplit="1" topLeftCell="A40" activePane="bottomLeft" state="frozen"/>
      <selection pane="bottomLeft" activeCell="O6" sqref="O6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si="0"/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0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0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J46" s="12" t="str">
        <f t="shared" si="0"/>
        <v/>
      </c>
      <c r="L46" s="11">
        <f t="shared" si="1"/>
        <v>0</v>
      </c>
      <c r="M46" s="11">
        <f>Settings!$B$4+SUM(L$2:L46)</f>
        <v>221.36294236810679</v>
      </c>
    </row>
    <row r="47" spans="1:13" x14ac:dyDescent="0.3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0"/>
        <v/>
      </c>
      <c r="K47" t="s">
        <v>21</v>
      </c>
      <c r="L47" s="11">
        <f t="shared" si="1"/>
        <v>-1.5</v>
      </c>
      <c r="M47" s="11">
        <f>Settings!$B$4+SUM(L$2:L47)</f>
        <v>219.86294236810679</v>
      </c>
    </row>
    <row r="48" spans="1:13" x14ac:dyDescent="0.3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0"/>
        <v/>
      </c>
      <c r="K48" t="s">
        <v>21</v>
      </c>
      <c r="L48" s="11">
        <f t="shared" si="1"/>
        <v>-1</v>
      </c>
      <c r="M48" s="11">
        <f>Settings!$B$4+SUM(L$2:L48)</f>
        <v>218.86294236810679</v>
      </c>
    </row>
    <row r="49" spans="1:13" x14ac:dyDescent="0.35">
      <c r="A49" t="s">
        <v>85</v>
      </c>
      <c r="B49">
        <v>4</v>
      </c>
      <c r="C49" t="s">
        <v>643</v>
      </c>
      <c r="D49" t="s">
        <v>15</v>
      </c>
      <c r="E49" t="s">
        <v>644</v>
      </c>
      <c r="F49">
        <v>5.5</v>
      </c>
      <c r="G49">
        <v>-112</v>
      </c>
      <c r="H49">
        <v>1</v>
      </c>
      <c r="J49" s="12" t="str">
        <f t="shared" si="0"/>
        <v/>
      </c>
      <c r="L49" s="11">
        <f t="shared" si="1"/>
        <v>0</v>
      </c>
      <c r="M49" s="11">
        <f>Settings!$B$4+SUM(L$2:L49)</f>
        <v>218.86294236810679</v>
      </c>
    </row>
    <row r="50" spans="1:13" x14ac:dyDescent="0.35">
      <c r="J50" s="12" t="str">
        <f t="shared" si="0"/>
        <v/>
      </c>
      <c r="L50" s="11">
        <f t="shared" si="1"/>
        <v>0</v>
      </c>
      <c r="M50" s="11">
        <f>Settings!$B$4+SUM(L$2:L50)</f>
        <v>218.86294236810679</v>
      </c>
    </row>
    <row r="51" spans="1:13" x14ac:dyDescent="0.35">
      <c r="J51" s="12" t="str">
        <f t="shared" si="0"/>
        <v/>
      </c>
      <c r="L51" s="11">
        <f t="shared" si="1"/>
        <v>0</v>
      </c>
      <c r="M51" s="11">
        <f>Settings!$B$4+SUM(L$2:L51)</f>
        <v>218.86294236810679</v>
      </c>
    </row>
    <row r="52" spans="1:13" x14ac:dyDescent="0.35">
      <c r="J52" s="12" t="str">
        <f t="shared" si="0"/>
        <v/>
      </c>
      <c r="L52" s="11">
        <f t="shared" si="1"/>
        <v>0</v>
      </c>
      <c r="M52" s="11">
        <f>Settings!$B$4+SUM(L$2:L52)</f>
        <v>218.86294236810679</v>
      </c>
    </row>
    <row r="53" spans="1:13" x14ac:dyDescent="0.35">
      <c r="J53" s="12" t="str">
        <f t="shared" si="0"/>
        <v/>
      </c>
      <c r="L53" s="11">
        <f t="shared" si="1"/>
        <v>0</v>
      </c>
      <c r="M53" s="11">
        <f>Settings!$B$4+SUM(L$2:L53)</f>
        <v>218.86294236810679</v>
      </c>
    </row>
    <row r="54" spans="1:13" x14ac:dyDescent="0.35">
      <c r="J54" s="12" t="str">
        <f t="shared" si="0"/>
        <v/>
      </c>
      <c r="L54" s="11">
        <f t="shared" si="1"/>
        <v>0</v>
      </c>
      <c r="M54" s="11">
        <f>Settings!$B$4+SUM(L$2:L54)</f>
        <v>218.86294236810679</v>
      </c>
    </row>
    <row r="55" spans="1:13" x14ac:dyDescent="0.35">
      <c r="J55" s="12" t="str">
        <f t="shared" si="0"/>
        <v/>
      </c>
      <c r="L55" s="11">
        <f t="shared" si="1"/>
        <v>0</v>
      </c>
      <c r="M55" s="11">
        <f>Settings!$B$4+SUM(L$2:L55)</f>
        <v>218.86294236810679</v>
      </c>
    </row>
    <row r="56" spans="1:13" x14ac:dyDescent="0.35">
      <c r="J56" s="12" t="str">
        <f t="shared" si="0"/>
        <v/>
      </c>
      <c r="L56" s="11">
        <f t="shared" si="1"/>
        <v>0</v>
      </c>
      <c r="M56" s="11">
        <f>Settings!$B$4+SUM(L$2:L56)</f>
        <v>218.86294236810679</v>
      </c>
    </row>
    <row r="57" spans="1:13" x14ac:dyDescent="0.35">
      <c r="J57" s="12" t="str">
        <f t="shared" si="0"/>
        <v/>
      </c>
      <c r="L57" s="11">
        <f t="shared" si="1"/>
        <v>0</v>
      </c>
      <c r="M57" s="11">
        <f>Settings!$B$4+SUM(L$2:L57)</f>
        <v>218.86294236810679</v>
      </c>
    </row>
    <row r="58" spans="1:13" x14ac:dyDescent="0.35">
      <c r="J58" s="12" t="str">
        <f t="shared" si="0"/>
        <v/>
      </c>
      <c r="L58" s="11">
        <f t="shared" si="1"/>
        <v>0</v>
      </c>
      <c r="M58" s="11">
        <f>Settings!$B$4+SUM(L$2:L58)</f>
        <v>218.86294236810679</v>
      </c>
    </row>
    <row r="59" spans="1:13" x14ac:dyDescent="0.35">
      <c r="J59" s="12" t="str">
        <f t="shared" si="0"/>
        <v/>
      </c>
      <c r="L59" s="11">
        <f t="shared" si="1"/>
        <v>0</v>
      </c>
      <c r="M59" s="11">
        <f>Settings!$B$4+SUM(L$2:L59)</f>
        <v>218.86294236810679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218.86294236810679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218.86294236810679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218.86294236810679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218.86294236810679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218.86294236810679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218.86294236810679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218.86294236810679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218.86294236810679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218.86294236810679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218.86294236810679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218.86294236810679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218.86294236810679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218.86294236810679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218.86294236810679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218.86294236810679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218.86294236810679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218.86294236810679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218.86294236810679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218.86294236810679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218.86294236810679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218.86294236810679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218.86294236810679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218.86294236810679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218.86294236810679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218.86294236810679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218.86294236810679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218.86294236810679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218.86294236810679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218.86294236810679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218.86294236810679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218.86294236810679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218.86294236810679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218.86294236810679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218.86294236810679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218.86294236810679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218.86294236810679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218.86294236810679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218.86294236810679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218.86294236810679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218.86294236810679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218.86294236810679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218.86294236810679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218.86294236810679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218.86294236810679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218.86294236810679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218.86294236810679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218.86294236810679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218.86294236810679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218.86294236810679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218.86294236810679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218.86294236810679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218.86294236810679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218.86294236810679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218.86294236810679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218.86294236810679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218.86294236810679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218.86294236810679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218.86294236810679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218.86294236810679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218.86294236810679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218.86294236810679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218.86294236810679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218.86294236810679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218.86294236810679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218.86294236810679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218.86294236810679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218.86294236810679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218.86294236810679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218.86294236810679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218.86294236810679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218.86294236810679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218.86294236810679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218.86294236810679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218.86294236810679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218.86294236810679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218.86294236810679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218.86294236810679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218.86294236810679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218.86294236810679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218.86294236810679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218.86294236810679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218.86294236810679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218.86294236810679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218.86294236810679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218.86294236810679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218.86294236810679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218.86294236810679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218.86294236810679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218.86294236810679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218.86294236810679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218.86294236810679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218.86294236810679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218.86294236810679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218.86294236810679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218.86294236810679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218.86294236810679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218.86294236810679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218.86294236810679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218.86294236810679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218.86294236810679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218.86294236810679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218.86294236810679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218.86294236810679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218.86294236810679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218.86294236810679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218.86294236810679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218.86294236810679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218.86294236810679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218.86294236810679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218.86294236810679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218.86294236810679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218.86294236810679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218.86294236810679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218.86294236810679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218.86294236810679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218.86294236810679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218.86294236810679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218.86294236810679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218.86294236810679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218.86294236810679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218.86294236810679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218.86294236810679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218.86294236810679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218.86294236810679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218.86294236810679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218.86294236810679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218.86294236810679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218.86294236810679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218.86294236810679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218.86294236810679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218.86294236810679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218.86294236810679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218.86294236810679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218.86294236810679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218.86294236810679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218.86294236810679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218.86294236810679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218.86294236810679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218.86294236810679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218.86294236810679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218.86294236810679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218.86294236810679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218.86294236810679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218.86294236810679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218.86294236810679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218.86294236810679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218.86294236810679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218.86294236810679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218.86294236810679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218.86294236810679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218.86294236810679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218.86294236810679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218.86294236810679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218.86294236810679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218.86294236810679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218.86294236810679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218.86294236810679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218.86294236810679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218.86294236810679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218.86294236810679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218.86294236810679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218.86294236810679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218.86294236810679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218.86294236810679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218.86294236810679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218.86294236810679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218.86294236810679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218.86294236810679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218.86294236810679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218.86294236810679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218.86294236810679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218.86294236810679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218.86294236810679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218.86294236810679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218.86294236810679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218.86294236810679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218.86294236810679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218.86294236810679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218.86294236810679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218.86294236810679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218.86294236810679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218.86294236810679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218.86294236810679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218.86294236810679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218.86294236810679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218.86294236810679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218.86294236810679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218.86294236810679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218.86294236810679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218.86294236810679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218.86294236810679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218.86294236810679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218.86294236810679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218.86294236810679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218.86294236810679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218.86294236810679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218.86294236810679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218.86294236810679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218.86294236810679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218.86294236810679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218.86294236810679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218.86294236810679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218.86294236810679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218.86294236810679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218.86294236810679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218.86294236810679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218.86294236810679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218.86294236810679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218.86294236810679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218.86294236810679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218.86294236810679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218.86294236810679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218.86294236810679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218.86294236810679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218.86294236810679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218.86294236810679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218.86294236810679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218.86294236810679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218.86294236810679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218.86294236810679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218.86294236810679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218.86294236810679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218.86294236810679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218.86294236810679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218.86294236810679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218.86294236810679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218.86294236810679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218.86294236810679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218.86294236810679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218.86294236810679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218.86294236810679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218.86294236810679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218.86294236810679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218.86294236810679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218.86294236810679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218.86294236810679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218.86294236810679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218.86294236810679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218.86294236810679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218.86294236810679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218.86294236810679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218.86294236810679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218.86294236810679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218.86294236810679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218.86294236810679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218.86294236810679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218.86294236810679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218.86294236810679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218.86294236810679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218.86294236810679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218.86294236810679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218.86294236810679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218.86294236810679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218.86294236810679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218.86294236810679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218.86294236810679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218.86294236810679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218.86294236810679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218.86294236810679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218.86294236810679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218.86294236810679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218.86294236810679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218.86294236810679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218.86294236810679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218.86294236810679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218.86294236810679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218.86294236810679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218.86294236810679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218.86294236810679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218.86294236810679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218.86294236810679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218.86294236810679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218.86294236810679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218.86294236810679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218.86294236810679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218.86294236810679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218.86294236810679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218.86294236810679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218.86294236810679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218.86294236810679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218.86294236810679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218.86294236810679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218.86294236810679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218.86294236810679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218.86294236810679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218.86294236810679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218.86294236810679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218.86294236810679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218.86294236810679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218.86294236810679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218.86294236810679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218.86294236810679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218.86294236810679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218.86294236810679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218.86294236810679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218.86294236810679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218.86294236810679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218.86294236810679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218.86294236810679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218.86294236810679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218.86294236810679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218.86294236810679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218.86294236810679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218.86294236810679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218.86294236810679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218.86294236810679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218.86294236810679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218.86294236810679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218.86294236810679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218.86294236810679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218.86294236810679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218.86294236810679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218.86294236810679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218.86294236810679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218.86294236810679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218.86294236810679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218.86294236810679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218.86294236810679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218.86294236810679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218.86294236810679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218.86294236810679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218.86294236810679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218.86294236810679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218.86294236810679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218.86294236810679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218.86294236810679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218.86294236810679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218.86294236810679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218.86294236810679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218.86294236810679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218.86294236810679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218.86294236810679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218.86294236810679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218.86294236810679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218.86294236810679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218.86294236810679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218.86294236810679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218.86294236810679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218.86294236810679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218.86294236810679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218.86294236810679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218.86294236810679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218.86294236810679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218.86294236810679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218.86294236810679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218.86294236810679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218.86294236810679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218.86294236810679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218.86294236810679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218.86294236810679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218.86294236810679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218.86294236810679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218.86294236810679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218.86294236810679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218.86294236810679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218.86294236810679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218.86294236810679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218.86294236810679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218.86294236810679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218.86294236810679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218.86294236810679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218.86294236810679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218.86294236810679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218.86294236810679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218.86294236810679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218.86294236810679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218.86294236810679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218.86294236810679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218.86294236810679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218.86294236810679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218.86294236810679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218.86294236810679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218.86294236810679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218.86294236810679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218.86294236810679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218.86294236810679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218.86294236810679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218.86294236810679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218.86294236810679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218.86294236810679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218.86294236810679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218.86294236810679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218.86294236810679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218.86294236810679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218.86294236810679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218.86294236810679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218.86294236810679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218.86294236810679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218.86294236810679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218.86294236810679</v>
      </c>
    </row>
    <row r="450" spans="10:13" x14ac:dyDescent="0.35">
      <c r="J450" s="12" t="str">
        <f t="shared" ref="J450:J500" si="14">IF(I450="","",I450-F450)</f>
        <v/>
      </c>
      <c r="L450" s="11">
        <f t="shared" ref="L450:L500" si="15">IF(K450="W",IF(G450&lt;0,H450*100/ABS(G450),H450*G450/100),IF(K450="L",-H450,0))</f>
        <v>0</v>
      </c>
      <c r="M450" s="11">
        <f>Settings!$B$4+SUM(L$2:L450)</f>
        <v>218.86294236810679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218.86294236810679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218.86294236810679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218.86294236810679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218.86294236810679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218.86294236810679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218.86294236810679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218.86294236810679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218.86294236810679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218.86294236810679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218.86294236810679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218.86294236810679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218.86294236810679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218.86294236810679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218.86294236810679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218.86294236810679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218.86294236810679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218.86294236810679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218.86294236810679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218.86294236810679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218.86294236810679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218.86294236810679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218.86294236810679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218.86294236810679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218.86294236810679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218.86294236810679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218.86294236810679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218.86294236810679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218.86294236810679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218.86294236810679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218.86294236810679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218.86294236810679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218.86294236810679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218.86294236810679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218.86294236810679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218.86294236810679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218.86294236810679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218.86294236810679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218.86294236810679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218.86294236810679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218.86294236810679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218.86294236810679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218.86294236810679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218.86294236810679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218.86294236810679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218.86294236810679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218.86294236810679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218.86294236810679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218.86294236810679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218.86294236810679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218.86294236810679</v>
      </c>
    </row>
    <row r="503" spans="1:13" x14ac:dyDescent="0.35">
      <c r="A503" s="2" t="s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148</v>
      </c>
      <c r="B1" s="5" t="s">
        <v>149</v>
      </c>
      <c r="C1" s="5" t="s">
        <v>150</v>
      </c>
      <c r="D1" s="5" t="s">
        <v>151</v>
      </c>
      <c r="E1" s="5" t="s">
        <v>152</v>
      </c>
      <c r="F1" s="5" t="s">
        <v>153</v>
      </c>
      <c r="G1" s="5" t="s">
        <v>154</v>
      </c>
      <c r="H1" s="5" t="s">
        <v>155</v>
      </c>
      <c r="I1" s="5" t="s">
        <v>113</v>
      </c>
    </row>
    <row r="2" spans="1:9" ht="14.25" customHeight="1" x14ac:dyDescent="0.35">
      <c r="A2" s="6" t="s">
        <v>16</v>
      </c>
      <c r="B2" s="6" t="s">
        <v>156</v>
      </c>
      <c r="C2" s="6" t="s">
        <v>157</v>
      </c>
      <c r="D2" s="9">
        <v>1760.7</v>
      </c>
      <c r="E2" s="9">
        <v>4.2</v>
      </c>
      <c r="F2" s="9">
        <v>0.15682460749059801</v>
      </c>
      <c r="G2" s="9">
        <v>-0.15609768018813189</v>
      </c>
      <c r="H2" s="9">
        <v>117</v>
      </c>
      <c r="I2" s="2" t="s">
        <v>158</v>
      </c>
    </row>
    <row r="3" spans="1:9" ht="14.25" customHeight="1" x14ac:dyDescent="0.35">
      <c r="A3" s="6" t="s">
        <v>20</v>
      </c>
      <c r="B3" s="6" t="s">
        <v>159</v>
      </c>
      <c r="C3" s="6" t="s">
        <v>160</v>
      </c>
      <c r="D3" s="9">
        <v>1583.6</v>
      </c>
      <c r="E3" s="9">
        <v>-2.7</v>
      </c>
      <c r="F3" s="9">
        <v>-5.2489309445280651E-2</v>
      </c>
      <c r="G3" s="9">
        <v>0.14710564000270929</v>
      </c>
      <c r="H3" s="9">
        <v>63</v>
      </c>
      <c r="I3" s="2" t="s">
        <v>161</v>
      </c>
    </row>
    <row r="4" spans="1:9" ht="14.25" customHeight="1" x14ac:dyDescent="0.35">
      <c r="A4" s="6" t="s">
        <v>34</v>
      </c>
      <c r="B4" s="6" t="s">
        <v>159</v>
      </c>
      <c r="C4" s="6" t="s">
        <v>160</v>
      </c>
      <c r="D4" s="9">
        <v>1575.5</v>
      </c>
      <c r="E4" s="9">
        <v>5</v>
      </c>
      <c r="F4" s="9">
        <v>0.1020851442163246</v>
      </c>
      <c r="G4" s="9">
        <v>-0.21953357820649061</v>
      </c>
      <c r="H4" s="9">
        <v>87</v>
      </c>
      <c r="I4" s="2" t="s">
        <v>162</v>
      </c>
    </row>
    <row r="5" spans="1:9" ht="14.25" customHeight="1" x14ac:dyDescent="0.35">
      <c r="A5" s="6" t="s">
        <v>139</v>
      </c>
      <c r="B5" s="6" t="s">
        <v>159</v>
      </c>
      <c r="C5" s="6" t="s">
        <v>160</v>
      </c>
      <c r="D5" s="9">
        <v>1506.1</v>
      </c>
      <c r="E5" s="9">
        <v>-5.8</v>
      </c>
      <c r="F5" s="9">
        <v>3.2940963609442007E-2</v>
      </c>
      <c r="G5" s="9">
        <v>0.12966446420247421</v>
      </c>
      <c r="H5" s="9">
        <v>124</v>
      </c>
      <c r="I5" s="2" t="s">
        <v>163</v>
      </c>
    </row>
    <row r="6" spans="1:9" ht="14.25" customHeight="1" x14ac:dyDescent="0.35">
      <c r="A6" s="6" t="s">
        <v>142</v>
      </c>
      <c r="B6" s="6" t="s">
        <v>159</v>
      </c>
      <c r="C6" s="6" t="s">
        <v>160</v>
      </c>
      <c r="D6" s="9">
        <v>1489.8</v>
      </c>
      <c r="E6" s="9">
        <v>-0.1</v>
      </c>
      <c r="F6" s="9">
        <v>0.31687248688952668</v>
      </c>
      <c r="G6" s="9">
        <v>-7.9004412866496912E-2</v>
      </c>
      <c r="H6" s="9">
        <v>141</v>
      </c>
      <c r="I6" s="2" t="s">
        <v>164</v>
      </c>
    </row>
    <row r="7" spans="1:9" ht="14.25" customHeight="1" x14ac:dyDescent="0.35">
      <c r="A7" s="6" t="s">
        <v>140</v>
      </c>
      <c r="B7" s="6" t="s">
        <v>159</v>
      </c>
      <c r="C7" s="6" t="s">
        <v>160</v>
      </c>
      <c r="D7" s="9">
        <v>1399.2</v>
      </c>
      <c r="E7" s="9">
        <v>-13.7</v>
      </c>
      <c r="F7" s="9">
        <v>4.0581748695027432E-2</v>
      </c>
      <c r="G7" s="9">
        <v>0.14121999790364079</v>
      </c>
      <c r="H7" s="9">
        <v>114</v>
      </c>
      <c r="I7" s="2" t="s">
        <v>165</v>
      </c>
    </row>
    <row r="8" spans="1:9" ht="14.25" customHeight="1" x14ac:dyDescent="0.35">
      <c r="A8" s="6" t="s">
        <v>137</v>
      </c>
      <c r="B8" s="6" t="s">
        <v>166</v>
      </c>
      <c r="C8" s="6" t="s">
        <v>157</v>
      </c>
      <c r="D8" s="9">
        <v>1385.2</v>
      </c>
      <c r="E8" s="9">
        <v>-16.899999999999999</v>
      </c>
      <c r="F8" s="9">
        <v>-0.14212530709228791</v>
      </c>
      <c r="G8" s="9">
        <v>0.13763371085684481</v>
      </c>
      <c r="H8" s="9">
        <v>82</v>
      </c>
      <c r="I8" s="2" t="s">
        <v>167</v>
      </c>
    </row>
    <row r="9" spans="1:9" ht="14.25" customHeight="1" x14ac:dyDescent="0.35">
      <c r="A9" s="6" t="s">
        <v>147</v>
      </c>
      <c r="B9" s="6" t="s">
        <v>159</v>
      </c>
      <c r="C9" s="6" t="s">
        <v>160</v>
      </c>
      <c r="D9" s="9">
        <v>1428.8</v>
      </c>
      <c r="E9" s="9">
        <v>-12.5</v>
      </c>
      <c r="F9" s="9">
        <v>8.2208844058065736E-2</v>
      </c>
      <c r="G9" s="9">
        <v>6.6097430840985613E-2</v>
      </c>
      <c r="H9" s="9">
        <v>129</v>
      </c>
      <c r="I9" s="2" t="s">
        <v>162</v>
      </c>
    </row>
    <row r="10" spans="1:9" ht="14.25" customHeight="1" x14ac:dyDescent="0.35">
      <c r="A10" s="6" t="s">
        <v>146</v>
      </c>
      <c r="B10" s="6" t="s">
        <v>159</v>
      </c>
      <c r="C10" s="6" t="s">
        <v>160</v>
      </c>
      <c r="D10" s="9">
        <v>1393.9</v>
      </c>
      <c r="E10" s="9">
        <v>-7.6</v>
      </c>
      <c r="F10" s="9">
        <v>7.8258503292111356E-2</v>
      </c>
      <c r="G10" s="9">
        <v>0.1036882953044283</v>
      </c>
      <c r="H10" s="9">
        <v>98</v>
      </c>
      <c r="I10" s="2" t="s">
        <v>168</v>
      </c>
    </row>
    <row r="11" spans="1:9" ht="14.25" customHeight="1" x14ac:dyDescent="0.35">
      <c r="A11" s="6" t="s">
        <v>145</v>
      </c>
      <c r="B11" s="6" t="s">
        <v>169</v>
      </c>
      <c r="C11" s="6" t="s">
        <v>157</v>
      </c>
      <c r="D11" s="9">
        <v>1375.4</v>
      </c>
      <c r="E11" s="9">
        <v>-16.2</v>
      </c>
      <c r="F11" s="9">
        <v>-0.16705475460225369</v>
      </c>
      <c r="G11" s="9">
        <v>0.23436929762016581</v>
      </c>
      <c r="H11" s="9">
        <v>92</v>
      </c>
      <c r="I11" s="2" t="s">
        <v>170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70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x14ac:dyDescent="0.4">
      <c r="A1" s="14" t="s">
        <v>171</v>
      </c>
    </row>
    <row r="2" spans="1:12" x14ac:dyDescent="0.35">
      <c r="A2" s="15" t="s">
        <v>172</v>
      </c>
    </row>
    <row r="4" spans="1:12" x14ac:dyDescent="0.35">
      <c r="A4" s="16" t="s">
        <v>173</v>
      </c>
    </row>
    <row r="5" spans="1:12" ht="39" x14ac:dyDescent="0.35">
      <c r="A5" s="17" t="s">
        <v>174</v>
      </c>
      <c r="B5" s="17" t="s">
        <v>175</v>
      </c>
      <c r="C5" s="17" t="s">
        <v>176</v>
      </c>
      <c r="D5" s="17" t="s">
        <v>177</v>
      </c>
      <c r="E5" s="17" t="s">
        <v>178</v>
      </c>
      <c r="F5" s="17" t="s">
        <v>179</v>
      </c>
      <c r="G5" s="17" t="s">
        <v>180</v>
      </c>
      <c r="H5" s="17" t="s">
        <v>181</v>
      </c>
      <c r="I5" s="17" t="s">
        <v>182</v>
      </c>
      <c r="J5" s="17" t="s">
        <v>183</v>
      </c>
      <c r="K5" s="17" t="s">
        <v>184</v>
      </c>
      <c r="L5" s="17" t="s">
        <v>185</v>
      </c>
    </row>
    <row r="6" spans="1:12" x14ac:dyDescent="0.35">
      <c r="A6" s="18" t="s">
        <v>186</v>
      </c>
      <c r="B6" s="18">
        <v>8693</v>
      </c>
      <c r="C6" s="18">
        <v>257</v>
      </c>
      <c r="D6" s="18">
        <v>145</v>
      </c>
      <c r="E6" s="18">
        <v>112</v>
      </c>
      <c r="F6" s="18">
        <v>3</v>
      </c>
      <c r="G6" s="18" t="s">
        <v>187</v>
      </c>
      <c r="H6" s="18" t="s">
        <v>188</v>
      </c>
      <c r="I6" s="18">
        <v>213</v>
      </c>
      <c r="J6" s="18" t="s">
        <v>189</v>
      </c>
      <c r="K6" s="18" t="s">
        <v>190</v>
      </c>
      <c r="L6" s="18" t="s">
        <v>191</v>
      </c>
    </row>
    <row r="7" spans="1:12" x14ac:dyDescent="0.35">
      <c r="A7" s="18" t="s">
        <v>192</v>
      </c>
      <c r="B7" s="18">
        <v>985</v>
      </c>
      <c r="C7" s="18">
        <v>29</v>
      </c>
      <c r="D7" s="18">
        <v>20</v>
      </c>
      <c r="E7" s="18">
        <v>9</v>
      </c>
      <c r="F7" s="18">
        <v>0</v>
      </c>
      <c r="G7" s="18" t="s">
        <v>193</v>
      </c>
      <c r="H7" s="18" t="s">
        <v>194</v>
      </c>
      <c r="I7" s="18">
        <v>26</v>
      </c>
      <c r="J7" s="18" t="s">
        <v>195</v>
      </c>
      <c r="K7" s="18" t="s">
        <v>196</v>
      </c>
      <c r="L7" s="18" t="s">
        <v>197</v>
      </c>
    </row>
    <row r="8" spans="1:12" x14ac:dyDescent="0.35">
      <c r="A8" s="18" t="s">
        <v>198</v>
      </c>
      <c r="B8" s="18">
        <v>8693</v>
      </c>
      <c r="C8" s="18">
        <v>8622</v>
      </c>
      <c r="D8" s="18">
        <v>4316</v>
      </c>
      <c r="E8" s="18">
        <v>4306</v>
      </c>
      <c r="F8" s="18">
        <v>71</v>
      </c>
      <c r="G8" s="18" t="s">
        <v>199</v>
      </c>
      <c r="H8" s="18" t="s">
        <v>200</v>
      </c>
      <c r="I8" s="18">
        <v>6826</v>
      </c>
      <c r="J8" s="18" t="s">
        <v>201</v>
      </c>
      <c r="K8" s="18" t="s">
        <v>202</v>
      </c>
      <c r="L8" s="18" t="s">
        <v>203</v>
      </c>
    </row>
    <row r="9" spans="1:12" x14ac:dyDescent="0.35">
      <c r="A9" s="18" t="s">
        <v>204</v>
      </c>
      <c r="B9" s="18">
        <v>985</v>
      </c>
      <c r="C9" s="18">
        <v>973</v>
      </c>
      <c r="D9" s="18">
        <v>498</v>
      </c>
      <c r="E9" s="18">
        <v>475</v>
      </c>
      <c r="F9" s="18">
        <v>12</v>
      </c>
      <c r="G9" s="18" t="s">
        <v>205</v>
      </c>
      <c r="H9" s="18" t="s">
        <v>206</v>
      </c>
      <c r="I9" s="18">
        <v>789</v>
      </c>
      <c r="J9" s="18" t="s">
        <v>207</v>
      </c>
      <c r="K9" s="18" t="s">
        <v>208</v>
      </c>
      <c r="L9" s="18" t="s">
        <v>209</v>
      </c>
    </row>
    <row r="10" spans="1:12" x14ac:dyDescent="0.35">
      <c r="A10" s="18" t="s">
        <v>210</v>
      </c>
      <c r="B10" s="18">
        <v>8693</v>
      </c>
      <c r="C10" s="18">
        <v>8622</v>
      </c>
      <c r="D10" s="18">
        <v>4333</v>
      </c>
      <c r="E10" s="18">
        <v>4289</v>
      </c>
      <c r="F10" s="18">
        <v>71</v>
      </c>
      <c r="G10" s="18" t="s">
        <v>211</v>
      </c>
      <c r="H10" s="18" t="s">
        <v>212</v>
      </c>
      <c r="I10" s="18">
        <v>6762</v>
      </c>
      <c r="J10" s="18" t="s">
        <v>213</v>
      </c>
      <c r="K10" s="18" t="s">
        <v>214</v>
      </c>
      <c r="L10" s="18" t="s">
        <v>215</v>
      </c>
    </row>
    <row r="11" spans="1:12" x14ac:dyDescent="0.35">
      <c r="A11" s="18" t="s">
        <v>216</v>
      </c>
      <c r="B11" s="18">
        <v>985</v>
      </c>
      <c r="C11" s="18">
        <v>973</v>
      </c>
      <c r="D11" s="18">
        <v>493</v>
      </c>
      <c r="E11" s="18">
        <v>480</v>
      </c>
      <c r="F11" s="18">
        <v>12</v>
      </c>
      <c r="G11" s="18" t="s">
        <v>213</v>
      </c>
      <c r="H11" s="18" t="s">
        <v>217</v>
      </c>
      <c r="I11" s="18">
        <v>758</v>
      </c>
      <c r="J11" s="18" t="s">
        <v>218</v>
      </c>
      <c r="K11" s="18" t="s">
        <v>219</v>
      </c>
      <c r="L11" s="18" t="s">
        <v>220</v>
      </c>
    </row>
    <row r="12" spans="1:12" x14ac:dyDescent="0.35">
      <c r="A12" s="18" t="s">
        <v>221</v>
      </c>
      <c r="B12" s="18">
        <v>8693</v>
      </c>
      <c r="C12" s="18">
        <v>7443</v>
      </c>
      <c r="D12" s="18">
        <v>3761</v>
      </c>
      <c r="E12" s="18">
        <v>3682</v>
      </c>
      <c r="F12" s="18">
        <v>61</v>
      </c>
      <c r="G12" s="18" t="s">
        <v>222</v>
      </c>
      <c r="H12" s="18" t="s">
        <v>223</v>
      </c>
      <c r="I12" s="18">
        <v>5678</v>
      </c>
      <c r="J12" s="18" t="s">
        <v>224</v>
      </c>
      <c r="K12" s="18" t="s">
        <v>225</v>
      </c>
      <c r="L12" s="18" t="s">
        <v>226</v>
      </c>
    </row>
    <row r="13" spans="1:12" x14ac:dyDescent="0.35">
      <c r="A13" s="18" t="s">
        <v>227</v>
      </c>
      <c r="B13" s="18">
        <v>985</v>
      </c>
      <c r="C13" s="18">
        <v>832</v>
      </c>
      <c r="D13" s="18">
        <v>421</v>
      </c>
      <c r="E13" s="18">
        <v>411</v>
      </c>
      <c r="F13" s="18">
        <v>10</v>
      </c>
      <c r="G13" s="18" t="s">
        <v>224</v>
      </c>
      <c r="H13" s="18" t="s">
        <v>228</v>
      </c>
      <c r="I13" s="18">
        <v>633</v>
      </c>
      <c r="J13" s="18" t="s">
        <v>222</v>
      </c>
      <c r="K13" s="18" t="s">
        <v>229</v>
      </c>
      <c r="L13" s="18" t="s">
        <v>230</v>
      </c>
    </row>
    <row r="15" spans="1:12" x14ac:dyDescent="0.35">
      <c r="A15" s="16" t="s">
        <v>231</v>
      </c>
    </row>
    <row r="16" spans="1:12" ht="39" x14ac:dyDescent="0.35">
      <c r="A16" s="17" t="s">
        <v>174</v>
      </c>
      <c r="B16" s="17" t="s">
        <v>175</v>
      </c>
      <c r="C16" s="17" t="s">
        <v>176</v>
      </c>
      <c r="D16" s="17" t="s">
        <v>177</v>
      </c>
      <c r="E16" s="17" t="s">
        <v>178</v>
      </c>
      <c r="F16" s="17" t="s">
        <v>179</v>
      </c>
      <c r="G16" s="17" t="s">
        <v>180</v>
      </c>
      <c r="H16" s="17" t="s">
        <v>181</v>
      </c>
      <c r="I16" s="17" t="s">
        <v>182</v>
      </c>
      <c r="J16" s="17" t="s">
        <v>183</v>
      </c>
      <c r="K16" s="17" t="s">
        <v>184</v>
      </c>
      <c r="L16" s="17" t="s">
        <v>185</v>
      </c>
    </row>
    <row r="17" spans="1:13" x14ac:dyDescent="0.35">
      <c r="A17" s="18" t="s">
        <v>186</v>
      </c>
      <c r="B17" s="18">
        <v>260</v>
      </c>
      <c r="C17" s="18">
        <v>257</v>
      </c>
      <c r="D17" s="18">
        <v>145</v>
      </c>
      <c r="E17" s="18">
        <v>112</v>
      </c>
      <c r="F17" s="18">
        <v>3</v>
      </c>
      <c r="G17" s="18" t="s">
        <v>187</v>
      </c>
      <c r="H17" s="18" t="s">
        <v>188</v>
      </c>
      <c r="I17" s="18">
        <v>213</v>
      </c>
      <c r="J17" s="18" t="s">
        <v>189</v>
      </c>
      <c r="K17" s="18" t="s">
        <v>190</v>
      </c>
      <c r="L17" s="18" t="s">
        <v>191</v>
      </c>
    </row>
    <row r="18" spans="1:13" x14ac:dyDescent="0.35">
      <c r="A18" s="18" t="s">
        <v>192</v>
      </c>
      <c r="B18" s="18">
        <v>29</v>
      </c>
      <c r="C18" s="18">
        <v>29</v>
      </c>
      <c r="D18" s="18">
        <v>20</v>
      </c>
      <c r="E18" s="18">
        <v>9</v>
      </c>
      <c r="F18" s="18">
        <v>0</v>
      </c>
      <c r="G18" s="18" t="s">
        <v>193</v>
      </c>
      <c r="H18" s="18" t="s">
        <v>194</v>
      </c>
      <c r="I18" s="18">
        <v>26</v>
      </c>
      <c r="J18" s="18" t="s">
        <v>195</v>
      </c>
      <c r="K18" s="18" t="s">
        <v>196</v>
      </c>
      <c r="L18" s="18" t="s">
        <v>197</v>
      </c>
    </row>
    <row r="19" spans="1:13" x14ac:dyDescent="0.35">
      <c r="A19" s="18" t="s">
        <v>198</v>
      </c>
      <c r="B19" s="18">
        <v>260</v>
      </c>
      <c r="C19" s="18">
        <v>257</v>
      </c>
      <c r="D19" s="18">
        <v>121</v>
      </c>
      <c r="E19" s="18">
        <v>136</v>
      </c>
      <c r="F19" s="18">
        <v>3</v>
      </c>
      <c r="G19" s="18" t="s">
        <v>232</v>
      </c>
      <c r="H19" s="18" t="s">
        <v>233</v>
      </c>
      <c r="I19" s="18">
        <v>230</v>
      </c>
      <c r="J19" s="18" t="s">
        <v>232</v>
      </c>
      <c r="K19" s="18" t="s">
        <v>234</v>
      </c>
      <c r="L19" s="18" t="s">
        <v>235</v>
      </c>
    </row>
    <row r="20" spans="1:13" x14ac:dyDescent="0.35">
      <c r="A20" s="18" t="s">
        <v>204</v>
      </c>
      <c r="B20" s="18">
        <v>29</v>
      </c>
      <c r="C20" s="18">
        <v>29</v>
      </c>
      <c r="D20" s="18">
        <v>17</v>
      </c>
      <c r="E20" s="18">
        <v>12</v>
      </c>
      <c r="F20" s="18">
        <v>0</v>
      </c>
      <c r="G20" s="18" t="s">
        <v>236</v>
      </c>
      <c r="H20" s="18" t="s">
        <v>237</v>
      </c>
      <c r="I20" s="18">
        <v>24</v>
      </c>
      <c r="J20" s="18" t="s">
        <v>238</v>
      </c>
      <c r="K20" s="18" t="s">
        <v>196</v>
      </c>
      <c r="L20" s="18" t="s">
        <v>239</v>
      </c>
    </row>
    <row r="21" spans="1:13" x14ac:dyDescent="0.35">
      <c r="A21" s="18" t="s">
        <v>210</v>
      </c>
      <c r="B21" s="18">
        <v>260</v>
      </c>
      <c r="C21" s="18">
        <v>257</v>
      </c>
      <c r="D21" s="18">
        <v>125</v>
      </c>
      <c r="E21" s="18">
        <v>132</v>
      </c>
      <c r="F21" s="18">
        <v>3</v>
      </c>
      <c r="G21" s="18" t="s">
        <v>240</v>
      </c>
      <c r="H21" s="18" t="s">
        <v>241</v>
      </c>
      <c r="I21" s="18">
        <v>217</v>
      </c>
      <c r="J21" s="18" t="s">
        <v>242</v>
      </c>
      <c r="K21" s="18" t="s">
        <v>243</v>
      </c>
      <c r="L21" s="18" t="s">
        <v>244</v>
      </c>
    </row>
    <row r="22" spans="1:13" x14ac:dyDescent="0.35">
      <c r="A22" s="18" t="s">
        <v>216</v>
      </c>
      <c r="B22" s="18">
        <v>29</v>
      </c>
      <c r="C22" s="18">
        <v>29</v>
      </c>
      <c r="D22" s="18">
        <v>14</v>
      </c>
      <c r="E22" s="18">
        <v>15</v>
      </c>
      <c r="F22" s="18">
        <v>0</v>
      </c>
      <c r="G22" s="18" t="s">
        <v>245</v>
      </c>
      <c r="H22" s="18" t="s">
        <v>246</v>
      </c>
      <c r="I22" s="18">
        <v>22</v>
      </c>
      <c r="J22" s="18" t="s">
        <v>247</v>
      </c>
      <c r="K22" s="18" t="s">
        <v>248</v>
      </c>
      <c r="L22" s="18" t="s">
        <v>249</v>
      </c>
    </row>
    <row r="23" spans="1:13" x14ac:dyDescent="0.35">
      <c r="A23" s="18" t="s">
        <v>221</v>
      </c>
      <c r="B23" s="18">
        <v>260</v>
      </c>
      <c r="C23" s="18">
        <v>160</v>
      </c>
      <c r="D23" s="18">
        <v>66</v>
      </c>
      <c r="E23" s="18">
        <v>94</v>
      </c>
      <c r="F23" s="18">
        <v>1</v>
      </c>
      <c r="G23" s="18" t="s">
        <v>250</v>
      </c>
      <c r="H23" s="18" t="s">
        <v>251</v>
      </c>
      <c r="I23" s="18">
        <v>146</v>
      </c>
      <c r="J23" s="18" t="s">
        <v>252</v>
      </c>
      <c r="K23" s="18" t="s">
        <v>253</v>
      </c>
      <c r="L23" s="18" t="s">
        <v>254</v>
      </c>
    </row>
    <row r="24" spans="1:13" x14ac:dyDescent="0.35">
      <c r="A24" s="18" t="s">
        <v>227</v>
      </c>
      <c r="B24" s="18">
        <v>29</v>
      </c>
      <c r="C24" s="18">
        <v>16</v>
      </c>
      <c r="D24" s="18">
        <v>9</v>
      </c>
      <c r="E24" s="18">
        <v>7</v>
      </c>
      <c r="F24" s="18">
        <v>0</v>
      </c>
      <c r="G24" s="18" t="s">
        <v>255</v>
      </c>
      <c r="H24" s="18" t="s">
        <v>256</v>
      </c>
      <c r="I24" s="18">
        <v>15</v>
      </c>
      <c r="J24" s="18" t="s">
        <v>257</v>
      </c>
      <c r="K24" s="18" t="s">
        <v>258</v>
      </c>
      <c r="L24" s="18" t="s">
        <v>259</v>
      </c>
    </row>
    <row r="26" spans="1:13" x14ac:dyDescent="0.35">
      <c r="A26" s="15" t="s">
        <v>260</v>
      </c>
    </row>
    <row r="28" spans="1:13" x14ac:dyDescent="0.35">
      <c r="A28" s="16" t="s">
        <v>261</v>
      </c>
    </row>
    <row r="29" spans="1:13" x14ac:dyDescent="0.35">
      <c r="A29" s="15" t="s">
        <v>262</v>
      </c>
    </row>
    <row r="30" spans="1:13" ht="39" x14ac:dyDescent="0.35">
      <c r="A30" s="17" t="s">
        <v>1</v>
      </c>
      <c r="B30" s="17" t="s">
        <v>2</v>
      </c>
      <c r="C30" s="17" t="s">
        <v>125</v>
      </c>
      <c r="D30" s="17" t="s">
        <v>263</v>
      </c>
      <c r="E30" s="17" t="s">
        <v>264</v>
      </c>
      <c r="F30" s="17" t="s">
        <v>265</v>
      </c>
      <c r="G30" s="17" t="s">
        <v>266</v>
      </c>
      <c r="H30" s="17" t="s">
        <v>267</v>
      </c>
      <c r="I30" s="17" t="s">
        <v>268</v>
      </c>
      <c r="J30" s="17" t="s">
        <v>269</v>
      </c>
      <c r="K30" s="17" t="s">
        <v>270</v>
      </c>
      <c r="L30" s="17" t="s">
        <v>271</v>
      </c>
      <c r="M30" s="17" t="s">
        <v>272</v>
      </c>
    </row>
    <row r="31" spans="1:13" x14ac:dyDescent="0.35">
      <c r="A31" s="18">
        <v>4</v>
      </c>
      <c r="B31" s="18" t="s">
        <v>87</v>
      </c>
      <c r="C31" s="18" t="s">
        <v>273</v>
      </c>
      <c r="D31" s="18" t="s">
        <v>274</v>
      </c>
      <c r="E31" s="18" t="s">
        <v>275</v>
      </c>
      <c r="F31" s="18" t="s">
        <v>276</v>
      </c>
      <c r="G31" s="18" t="s">
        <v>273</v>
      </c>
      <c r="H31" s="18" t="s">
        <v>277</v>
      </c>
      <c r="I31" s="18" t="s">
        <v>277</v>
      </c>
      <c r="J31" s="18" t="s">
        <v>277</v>
      </c>
      <c r="K31" s="18" t="s">
        <v>277</v>
      </c>
      <c r="L31" s="18" t="s">
        <v>277</v>
      </c>
      <c r="M31" s="18" t="s">
        <v>277</v>
      </c>
    </row>
    <row r="32" spans="1:13" x14ac:dyDescent="0.35">
      <c r="A32" s="18">
        <v>4</v>
      </c>
      <c r="B32" s="18" t="s">
        <v>278</v>
      </c>
      <c r="C32" s="18" t="s">
        <v>273</v>
      </c>
      <c r="D32" s="18" t="s">
        <v>279</v>
      </c>
      <c r="E32" s="18" t="s">
        <v>280</v>
      </c>
      <c r="F32" s="18" t="s">
        <v>281</v>
      </c>
      <c r="G32" s="18" t="s">
        <v>273</v>
      </c>
      <c r="H32" s="18" t="s">
        <v>277</v>
      </c>
      <c r="I32" s="18" t="s">
        <v>277</v>
      </c>
      <c r="J32" s="18" t="s">
        <v>277</v>
      </c>
      <c r="K32" s="18" t="s">
        <v>277</v>
      </c>
      <c r="L32" s="18" t="s">
        <v>277</v>
      </c>
      <c r="M32" s="18" t="s">
        <v>277</v>
      </c>
    </row>
    <row r="33" spans="1:28" x14ac:dyDescent="0.35">
      <c r="A33" s="18">
        <v>4</v>
      </c>
      <c r="B33" s="18" t="s">
        <v>282</v>
      </c>
      <c r="C33" s="18" t="s">
        <v>273</v>
      </c>
      <c r="D33" s="18" t="s">
        <v>283</v>
      </c>
      <c r="E33" s="18" t="s">
        <v>284</v>
      </c>
      <c r="F33" s="18" t="s">
        <v>274</v>
      </c>
      <c r="G33" s="18" t="s">
        <v>273</v>
      </c>
      <c r="H33" s="18" t="s">
        <v>277</v>
      </c>
      <c r="I33" s="18" t="s">
        <v>277</v>
      </c>
      <c r="J33" s="18" t="s">
        <v>277</v>
      </c>
      <c r="K33" s="18" t="s">
        <v>277</v>
      </c>
      <c r="L33" s="18" t="s">
        <v>277</v>
      </c>
      <c r="M33" s="18" t="s">
        <v>277</v>
      </c>
    </row>
    <row r="34" spans="1:28" x14ac:dyDescent="0.35">
      <c r="A34" s="18">
        <v>4</v>
      </c>
      <c r="B34" s="18" t="s">
        <v>89</v>
      </c>
      <c r="C34" s="18" t="s">
        <v>273</v>
      </c>
      <c r="D34" s="18" t="s">
        <v>285</v>
      </c>
      <c r="E34" s="18" t="s">
        <v>286</v>
      </c>
      <c r="F34" s="18" t="s">
        <v>287</v>
      </c>
      <c r="G34" s="18" t="s">
        <v>273</v>
      </c>
      <c r="H34" s="18" t="s">
        <v>277</v>
      </c>
      <c r="I34" s="18" t="s">
        <v>277</v>
      </c>
      <c r="J34" s="18" t="s">
        <v>277</v>
      </c>
      <c r="K34" s="18" t="s">
        <v>277</v>
      </c>
      <c r="L34" s="18" t="s">
        <v>277</v>
      </c>
      <c r="M34" s="18" t="s">
        <v>277</v>
      </c>
    </row>
    <row r="35" spans="1:28" x14ac:dyDescent="0.35">
      <c r="A35" s="18">
        <v>4</v>
      </c>
      <c r="B35" s="18" t="s">
        <v>288</v>
      </c>
      <c r="C35" s="18" t="s">
        <v>273</v>
      </c>
      <c r="D35" s="18" t="s">
        <v>289</v>
      </c>
      <c r="E35" s="18" t="s">
        <v>290</v>
      </c>
      <c r="F35" s="18" t="s">
        <v>291</v>
      </c>
      <c r="G35" s="18" t="s">
        <v>273</v>
      </c>
      <c r="H35" s="18" t="s">
        <v>277</v>
      </c>
      <c r="I35" s="18" t="s">
        <v>277</v>
      </c>
      <c r="J35" s="18" t="s">
        <v>277</v>
      </c>
      <c r="K35" s="18" t="s">
        <v>277</v>
      </c>
      <c r="L35" s="18" t="s">
        <v>277</v>
      </c>
      <c r="M35" s="18" t="s">
        <v>277</v>
      </c>
    </row>
    <row r="36" spans="1:28" x14ac:dyDescent="0.35">
      <c r="A36" s="18">
        <v>4</v>
      </c>
      <c r="B36" s="18" t="s">
        <v>292</v>
      </c>
      <c r="C36" s="18" t="s">
        <v>273</v>
      </c>
      <c r="D36" s="18" t="s">
        <v>293</v>
      </c>
      <c r="E36" s="18" t="s">
        <v>294</v>
      </c>
      <c r="F36" s="18" t="s">
        <v>295</v>
      </c>
      <c r="G36" s="18" t="s">
        <v>273</v>
      </c>
      <c r="H36" s="18" t="s">
        <v>277</v>
      </c>
      <c r="I36" s="18" t="s">
        <v>277</v>
      </c>
      <c r="J36" s="18" t="s">
        <v>277</v>
      </c>
      <c r="K36" s="18" t="s">
        <v>277</v>
      </c>
      <c r="L36" s="18" t="s">
        <v>277</v>
      </c>
      <c r="M36" s="18" t="s">
        <v>277</v>
      </c>
    </row>
    <row r="37" spans="1:28" x14ac:dyDescent="0.35">
      <c r="A37" s="15" t="s">
        <v>296</v>
      </c>
    </row>
    <row r="40" spans="1:28" x14ac:dyDescent="0.35">
      <c r="A40" s="16" t="s">
        <v>297</v>
      </c>
    </row>
    <row r="41" spans="1:28" ht="26" x14ac:dyDescent="0.35">
      <c r="A41" s="17" t="s">
        <v>1</v>
      </c>
      <c r="B41" s="17" t="s">
        <v>2</v>
      </c>
      <c r="C41" s="17" t="s">
        <v>298</v>
      </c>
      <c r="D41" s="17" t="s">
        <v>299</v>
      </c>
      <c r="E41" s="17" t="s">
        <v>300</v>
      </c>
      <c r="F41" s="17" t="s">
        <v>263</v>
      </c>
      <c r="G41" s="17" t="s">
        <v>301</v>
      </c>
      <c r="H41" s="17" t="s">
        <v>267</v>
      </c>
      <c r="I41" s="17" t="s">
        <v>302</v>
      </c>
      <c r="J41" s="17" t="s">
        <v>264</v>
      </c>
      <c r="K41" s="17" t="s">
        <v>303</v>
      </c>
      <c r="L41" s="17" t="s">
        <v>268</v>
      </c>
      <c r="M41" s="17" t="s">
        <v>304</v>
      </c>
      <c r="N41" s="17" t="s">
        <v>265</v>
      </c>
      <c r="O41" s="17" t="s">
        <v>305</v>
      </c>
      <c r="P41" s="17" t="s">
        <v>269</v>
      </c>
      <c r="Q41" s="17" t="s">
        <v>306</v>
      </c>
      <c r="R41" s="17" t="s">
        <v>266</v>
      </c>
      <c r="S41" s="17" t="s">
        <v>307</v>
      </c>
      <c r="T41" s="17" t="s">
        <v>270</v>
      </c>
      <c r="U41" s="17" t="s">
        <v>308</v>
      </c>
      <c r="V41" s="17" t="s">
        <v>271</v>
      </c>
      <c r="W41" s="17" t="s">
        <v>309</v>
      </c>
      <c r="X41" s="17" t="s">
        <v>310</v>
      </c>
      <c r="Y41" s="17" t="s">
        <v>311</v>
      </c>
      <c r="Z41" s="17" t="s">
        <v>312</v>
      </c>
      <c r="AA41" s="17" t="s">
        <v>313</v>
      </c>
      <c r="AB41" s="17" t="s">
        <v>314</v>
      </c>
    </row>
    <row r="42" spans="1:28" x14ac:dyDescent="0.35">
      <c r="A42" s="18">
        <v>1</v>
      </c>
      <c r="B42" s="18" t="s">
        <v>315</v>
      </c>
      <c r="C42" s="18" t="s">
        <v>316</v>
      </c>
      <c r="D42" s="18" t="s">
        <v>317</v>
      </c>
      <c r="E42" s="18" t="s">
        <v>318</v>
      </c>
      <c r="F42" s="18" t="s">
        <v>319</v>
      </c>
      <c r="G42" s="18" t="s">
        <v>320</v>
      </c>
      <c r="H42" s="18" t="s">
        <v>321</v>
      </c>
      <c r="I42" s="19" t="s">
        <v>322</v>
      </c>
      <c r="J42" s="18" t="s">
        <v>323</v>
      </c>
      <c r="K42" s="18" t="s">
        <v>324</v>
      </c>
      <c r="L42" s="18" t="s">
        <v>321</v>
      </c>
      <c r="M42" s="19" t="s">
        <v>325</v>
      </c>
      <c r="N42" s="18" t="s">
        <v>326</v>
      </c>
      <c r="O42" s="18" t="s">
        <v>327</v>
      </c>
      <c r="P42" s="18" t="s">
        <v>328</v>
      </c>
      <c r="Q42" s="20" t="s">
        <v>329</v>
      </c>
      <c r="R42" s="18" t="s">
        <v>273</v>
      </c>
      <c r="S42" s="18" t="s">
        <v>273</v>
      </c>
      <c r="T42" s="18" t="s">
        <v>277</v>
      </c>
      <c r="U42" s="18" t="s">
        <v>277</v>
      </c>
      <c r="V42" s="18" t="s">
        <v>330</v>
      </c>
      <c r="W42" s="18" t="s">
        <v>331</v>
      </c>
      <c r="X42" s="20" t="s">
        <v>332</v>
      </c>
      <c r="Y42" s="18" t="s">
        <v>320</v>
      </c>
      <c r="Z42" s="18" t="s">
        <v>324</v>
      </c>
      <c r="AA42" s="18" t="s">
        <v>327</v>
      </c>
      <c r="AB42" s="18" t="s">
        <v>333</v>
      </c>
    </row>
    <row r="43" spans="1:28" x14ac:dyDescent="0.35">
      <c r="A43" s="18">
        <v>1</v>
      </c>
      <c r="B43" s="18" t="s">
        <v>334</v>
      </c>
      <c r="C43" s="18" t="s">
        <v>335</v>
      </c>
      <c r="D43" s="18" t="s">
        <v>336</v>
      </c>
      <c r="E43" s="18" t="s">
        <v>337</v>
      </c>
      <c r="F43" s="18" t="s">
        <v>338</v>
      </c>
      <c r="G43" s="18" t="s">
        <v>339</v>
      </c>
      <c r="H43" s="18" t="s">
        <v>328</v>
      </c>
      <c r="I43" s="20" t="s">
        <v>340</v>
      </c>
      <c r="J43" s="18" t="s">
        <v>341</v>
      </c>
      <c r="K43" s="18" t="s">
        <v>342</v>
      </c>
      <c r="L43" s="18" t="s">
        <v>321</v>
      </c>
      <c r="M43" s="19" t="s">
        <v>325</v>
      </c>
      <c r="N43" s="18" t="s">
        <v>343</v>
      </c>
      <c r="O43" s="18" t="s">
        <v>276</v>
      </c>
      <c r="P43" s="18" t="s">
        <v>328</v>
      </c>
      <c r="Q43" s="20" t="s">
        <v>329</v>
      </c>
      <c r="R43" s="18" t="s">
        <v>273</v>
      </c>
      <c r="S43" s="18" t="s">
        <v>273</v>
      </c>
      <c r="T43" s="18" t="s">
        <v>277</v>
      </c>
      <c r="U43" s="18" t="s">
        <v>277</v>
      </c>
      <c r="V43" s="18" t="s">
        <v>331</v>
      </c>
      <c r="W43" s="18" t="s">
        <v>330</v>
      </c>
      <c r="X43" s="20" t="s">
        <v>332</v>
      </c>
      <c r="Y43" s="18" t="s">
        <v>344</v>
      </c>
      <c r="Z43" s="18" t="s">
        <v>345</v>
      </c>
      <c r="AA43" s="18" t="s">
        <v>346</v>
      </c>
      <c r="AB43" s="18" t="s">
        <v>333</v>
      </c>
    </row>
    <row r="44" spans="1:28" x14ac:dyDescent="0.35">
      <c r="A44" s="18">
        <v>1</v>
      </c>
      <c r="B44" s="18" t="s">
        <v>26</v>
      </c>
      <c r="C44" s="18" t="s">
        <v>347</v>
      </c>
      <c r="D44" s="18" t="s">
        <v>348</v>
      </c>
      <c r="E44" s="18" t="s">
        <v>349</v>
      </c>
      <c r="F44" s="18" t="s">
        <v>350</v>
      </c>
      <c r="G44" s="18" t="s">
        <v>351</v>
      </c>
      <c r="H44" s="18" t="s">
        <v>328</v>
      </c>
      <c r="I44" s="19" t="s">
        <v>322</v>
      </c>
      <c r="J44" s="18" t="s">
        <v>352</v>
      </c>
      <c r="K44" s="18" t="s">
        <v>353</v>
      </c>
      <c r="L44" s="18" t="s">
        <v>328</v>
      </c>
      <c r="M44" s="19" t="s">
        <v>322</v>
      </c>
      <c r="N44" s="18" t="s">
        <v>354</v>
      </c>
      <c r="O44" s="18" t="s">
        <v>341</v>
      </c>
      <c r="P44" s="18" t="s">
        <v>321</v>
      </c>
      <c r="Q44" s="20" t="s">
        <v>329</v>
      </c>
      <c r="R44" s="18" t="s">
        <v>273</v>
      </c>
      <c r="S44" s="18" t="s">
        <v>273</v>
      </c>
      <c r="T44" s="18" t="s">
        <v>277</v>
      </c>
      <c r="U44" s="18" t="s">
        <v>277</v>
      </c>
      <c r="V44" s="18" t="s">
        <v>330</v>
      </c>
      <c r="W44" s="18" t="s">
        <v>331</v>
      </c>
      <c r="X44" s="20" t="s">
        <v>355</v>
      </c>
      <c r="Y44" s="18" t="s">
        <v>356</v>
      </c>
      <c r="Z44" s="18" t="s">
        <v>357</v>
      </c>
      <c r="AA44" s="18" t="s">
        <v>358</v>
      </c>
      <c r="AB44" s="18" t="s">
        <v>333</v>
      </c>
    </row>
    <row r="45" spans="1:28" x14ac:dyDescent="0.35">
      <c r="A45" s="18">
        <v>1</v>
      </c>
      <c r="B45" s="18" t="s">
        <v>359</v>
      </c>
      <c r="C45" s="18" t="s">
        <v>360</v>
      </c>
      <c r="D45" s="18" t="s">
        <v>361</v>
      </c>
      <c r="E45" s="18" t="s">
        <v>362</v>
      </c>
      <c r="F45" s="18" t="s">
        <v>363</v>
      </c>
      <c r="G45" s="18" t="s">
        <v>364</v>
      </c>
      <c r="H45" s="18" t="s">
        <v>321</v>
      </c>
      <c r="I45" s="20" t="s">
        <v>365</v>
      </c>
      <c r="J45" s="18" t="s">
        <v>366</v>
      </c>
      <c r="K45" s="18" t="s">
        <v>367</v>
      </c>
      <c r="L45" s="18" t="s">
        <v>328</v>
      </c>
      <c r="M45" s="19" t="s">
        <v>322</v>
      </c>
      <c r="N45" s="18" t="s">
        <v>368</v>
      </c>
      <c r="O45" s="18" t="s">
        <v>324</v>
      </c>
      <c r="P45" s="18" t="s">
        <v>321</v>
      </c>
      <c r="Q45" s="20" t="s">
        <v>369</v>
      </c>
      <c r="R45" s="18" t="s">
        <v>273</v>
      </c>
      <c r="S45" s="18" t="s">
        <v>273</v>
      </c>
      <c r="T45" s="18" t="s">
        <v>277</v>
      </c>
      <c r="U45" s="18" t="s">
        <v>277</v>
      </c>
      <c r="V45" s="18" t="s">
        <v>331</v>
      </c>
      <c r="W45" s="18" t="s">
        <v>330</v>
      </c>
      <c r="X45" s="20" t="s">
        <v>370</v>
      </c>
      <c r="Y45" s="18" t="s">
        <v>371</v>
      </c>
      <c r="Z45" s="18" t="s">
        <v>372</v>
      </c>
      <c r="AA45" s="18" t="s">
        <v>327</v>
      </c>
      <c r="AB45" s="18" t="s">
        <v>333</v>
      </c>
    </row>
    <row r="46" spans="1:28" x14ac:dyDescent="0.35">
      <c r="A46" s="18">
        <v>1</v>
      </c>
      <c r="B46" s="18" t="s">
        <v>373</v>
      </c>
      <c r="C46" s="18" t="s">
        <v>374</v>
      </c>
      <c r="D46" s="18" t="s">
        <v>375</v>
      </c>
      <c r="E46" s="18" t="s">
        <v>376</v>
      </c>
      <c r="F46" s="18" t="s">
        <v>377</v>
      </c>
      <c r="G46" s="18" t="s">
        <v>378</v>
      </c>
      <c r="H46" s="18" t="s">
        <v>321</v>
      </c>
      <c r="I46" s="19" t="s">
        <v>322</v>
      </c>
      <c r="J46" s="18" t="s">
        <v>379</v>
      </c>
      <c r="K46" s="18" t="s">
        <v>380</v>
      </c>
      <c r="L46" s="18" t="s">
        <v>321</v>
      </c>
      <c r="M46" s="19" t="s">
        <v>322</v>
      </c>
      <c r="N46" s="18" t="s">
        <v>381</v>
      </c>
      <c r="O46" s="18" t="s">
        <v>382</v>
      </c>
      <c r="P46" s="18" t="s">
        <v>328</v>
      </c>
      <c r="Q46" s="20" t="s">
        <v>329</v>
      </c>
      <c r="R46" s="18" t="s">
        <v>273</v>
      </c>
      <c r="S46" s="18" t="s">
        <v>273</v>
      </c>
      <c r="T46" s="18" t="s">
        <v>277</v>
      </c>
      <c r="U46" s="18" t="s">
        <v>277</v>
      </c>
      <c r="V46" s="18" t="s">
        <v>330</v>
      </c>
      <c r="W46" s="18" t="s">
        <v>331</v>
      </c>
      <c r="X46" s="20" t="s">
        <v>370</v>
      </c>
      <c r="Y46" s="18" t="s">
        <v>361</v>
      </c>
      <c r="Z46" s="18" t="s">
        <v>383</v>
      </c>
      <c r="AA46" s="18" t="s">
        <v>384</v>
      </c>
      <c r="AB46" s="18" t="s">
        <v>333</v>
      </c>
    </row>
    <row r="47" spans="1:28" x14ac:dyDescent="0.35">
      <c r="A47" s="18">
        <v>1</v>
      </c>
      <c r="B47" s="18" t="s">
        <v>385</v>
      </c>
      <c r="C47" s="18" t="s">
        <v>386</v>
      </c>
      <c r="D47" s="18" t="s">
        <v>387</v>
      </c>
      <c r="E47" s="18" t="s">
        <v>388</v>
      </c>
      <c r="F47" s="18" t="s">
        <v>389</v>
      </c>
      <c r="G47" s="18" t="s">
        <v>390</v>
      </c>
      <c r="H47" s="18" t="s">
        <v>321</v>
      </c>
      <c r="I47" s="19" t="s">
        <v>322</v>
      </c>
      <c r="J47" s="18" t="s">
        <v>391</v>
      </c>
      <c r="K47" s="18" t="s">
        <v>392</v>
      </c>
      <c r="L47" s="18" t="s">
        <v>321</v>
      </c>
      <c r="M47" s="19" t="s">
        <v>322</v>
      </c>
      <c r="N47" s="18" t="s">
        <v>393</v>
      </c>
      <c r="O47" s="18" t="s">
        <v>394</v>
      </c>
      <c r="P47" s="18" t="s">
        <v>328</v>
      </c>
      <c r="Q47" s="20" t="s">
        <v>329</v>
      </c>
      <c r="R47" s="18" t="s">
        <v>273</v>
      </c>
      <c r="S47" s="18" t="s">
        <v>273</v>
      </c>
      <c r="T47" s="18" t="s">
        <v>277</v>
      </c>
      <c r="U47" s="18" t="s">
        <v>277</v>
      </c>
      <c r="V47" s="18" t="s">
        <v>330</v>
      </c>
      <c r="W47" s="18" t="s">
        <v>331</v>
      </c>
      <c r="X47" s="20" t="s">
        <v>355</v>
      </c>
      <c r="Y47" s="18" t="s">
        <v>284</v>
      </c>
      <c r="Z47" s="18" t="s">
        <v>395</v>
      </c>
      <c r="AA47" s="18" t="s">
        <v>396</v>
      </c>
      <c r="AB47" s="18" t="s">
        <v>333</v>
      </c>
    </row>
    <row r="48" spans="1:28" x14ac:dyDescent="0.35">
      <c r="A48" s="18">
        <v>1</v>
      </c>
      <c r="B48" s="18" t="s">
        <v>33</v>
      </c>
      <c r="C48" s="18" t="s">
        <v>397</v>
      </c>
      <c r="D48" s="18" t="s">
        <v>398</v>
      </c>
      <c r="E48" s="18" t="s">
        <v>399</v>
      </c>
      <c r="F48" s="18" t="s">
        <v>400</v>
      </c>
      <c r="G48" s="18" t="s">
        <v>371</v>
      </c>
      <c r="H48" s="18" t="s">
        <v>328</v>
      </c>
      <c r="I48" s="20" t="s">
        <v>340</v>
      </c>
      <c r="J48" s="18" t="s">
        <v>279</v>
      </c>
      <c r="K48" s="18" t="s">
        <v>354</v>
      </c>
      <c r="L48" s="18" t="s">
        <v>328</v>
      </c>
      <c r="M48" s="20" t="s">
        <v>365</v>
      </c>
      <c r="N48" s="18" t="s">
        <v>401</v>
      </c>
      <c r="O48" s="18" t="s">
        <v>402</v>
      </c>
      <c r="P48" s="18" t="s">
        <v>328</v>
      </c>
      <c r="Q48" s="20" t="s">
        <v>329</v>
      </c>
      <c r="R48" s="18" t="s">
        <v>273</v>
      </c>
      <c r="S48" s="18" t="s">
        <v>273</v>
      </c>
      <c r="T48" s="18" t="s">
        <v>277</v>
      </c>
      <c r="U48" s="18" t="s">
        <v>277</v>
      </c>
      <c r="V48" s="18" t="s">
        <v>330</v>
      </c>
      <c r="W48" s="18" t="s">
        <v>330</v>
      </c>
      <c r="X48" s="20" t="s">
        <v>332</v>
      </c>
      <c r="Y48" s="18" t="s">
        <v>403</v>
      </c>
      <c r="Z48" s="18" t="s">
        <v>404</v>
      </c>
      <c r="AA48" s="18" t="s">
        <v>405</v>
      </c>
      <c r="AB48" s="18" t="s">
        <v>333</v>
      </c>
    </row>
    <row r="49" spans="1:28" x14ac:dyDescent="0.35">
      <c r="A49" s="18">
        <v>1</v>
      </c>
      <c r="B49" s="18" t="s">
        <v>406</v>
      </c>
      <c r="C49" s="18" t="s">
        <v>407</v>
      </c>
      <c r="D49" s="18" t="s">
        <v>408</v>
      </c>
      <c r="E49" s="18" t="s">
        <v>409</v>
      </c>
      <c r="F49" s="18" t="s">
        <v>410</v>
      </c>
      <c r="G49" s="18" t="s">
        <v>411</v>
      </c>
      <c r="H49" s="18" t="s">
        <v>321</v>
      </c>
      <c r="I49" s="20" t="s">
        <v>365</v>
      </c>
      <c r="J49" s="18" t="s">
        <v>412</v>
      </c>
      <c r="K49" s="18" t="s">
        <v>413</v>
      </c>
      <c r="L49" s="18" t="s">
        <v>321</v>
      </c>
      <c r="M49" s="20" t="s">
        <v>340</v>
      </c>
      <c r="N49" s="18" t="s">
        <v>414</v>
      </c>
      <c r="O49" s="18" t="s">
        <v>415</v>
      </c>
      <c r="P49" s="18" t="s">
        <v>328</v>
      </c>
      <c r="Q49" s="19" t="s">
        <v>416</v>
      </c>
      <c r="R49" s="18" t="s">
        <v>273</v>
      </c>
      <c r="S49" s="18" t="s">
        <v>273</v>
      </c>
      <c r="T49" s="18" t="s">
        <v>277</v>
      </c>
      <c r="U49" s="18" t="s">
        <v>277</v>
      </c>
      <c r="V49" s="18" t="s">
        <v>330</v>
      </c>
      <c r="W49" s="18" t="s">
        <v>331</v>
      </c>
      <c r="X49" s="20" t="s">
        <v>370</v>
      </c>
      <c r="Y49" s="18" t="s">
        <v>417</v>
      </c>
      <c r="Z49" s="18" t="s">
        <v>418</v>
      </c>
      <c r="AA49" s="18" t="s">
        <v>419</v>
      </c>
      <c r="AB49" s="18" t="s">
        <v>333</v>
      </c>
    </row>
    <row r="50" spans="1:28" x14ac:dyDescent="0.35">
      <c r="A50" s="18">
        <v>1</v>
      </c>
      <c r="B50" s="18" t="s">
        <v>14</v>
      </c>
      <c r="C50" s="18" t="s">
        <v>420</v>
      </c>
      <c r="D50" s="18" t="s">
        <v>392</v>
      </c>
      <c r="E50" s="18" t="s">
        <v>421</v>
      </c>
      <c r="F50" s="18" t="s">
        <v>422</v>
      </c>
      <c r="G50" s="18" t="s">
        <v>423</v>
      </c>
      <c r="H50" s="18" t="s">
        <v>328</v>
      </c>
      <c r="I50" s="20" t="s">
        <v>340</v>
      </c>
      <c r="J50" s="18" t="s">
        <v>362</v>
      </c>
      <c r="K50" s="18" t="s">
        <v>424</v>
      </c>
      <c r="L50" s="18" t="s">
        <v>328</v>
      </c>
      <c r="M50" s="20" t="s">
        <v>340</v>
      </c>
      <c r="N50" s="18" t="s">
        <v>425</v>
      </c>
      <c r="O50" s="18" t="s">
        <v>287</v>
      </c>
      <c r="P50" s="18" t="s">
        <v>328</v>
      </c>
      <c r="Q50" s="20" t="s">
        <v>329</v>
      </c>
      <c r="R50" s="18" t="s">
        <v>273</v>
      </c>
      <c r="S50" s="18" t="s">
        <v>273</v>
      </c>
      <c r="T50" s="18" t="s">
        <v>277</v>
      </c>
      <c r="U50" s="18" t="s">
        <v>277</v>
      </c>
      <c r="V50" s="18" t="s">
        <v>330</v>
      </c>
      <c r="W50" s="18" t="s">
        <v>330</v>
      </c>
      <c r="X50" s="20" t="s">
        <v>332</v>
      </c>
      <c r="Y50" s="18" t="s">
        <v>426</v>
      </c>
      <c r="Z50" s="18" t="s">
        <v>427</v>
      </c>
      <c r="AA50" s="18" t="s">
        <v>428</v>
      </c>
      <c r="AB50" s="18" t="s">
        <v>333</v>
      </c>
    </row>
    <row r="51" spans="1:28" x14ac:dyDescent="0.35">
      <c r="A51" s="18">
        <v>1</v>
      </c>
      <c r="B51" s="18" t="s">
        <v>57</v>
      </c>
      <c r="C51" s="18" t="s">
        <v>429</v>
      </c>
      <c r="D51" s="18" t="s">
        <v>430</v>
      </c>
      <c r="E51" s="18" t="s">
        <v>431</v>
      </c>
      <c r="F51" s="18" t="s">
        <v>432</v>
      </c>
      <c r="G51" s="18" t="s">
        <v>433</v>
      </c>
      <c r="H51" s="18" t="s">
        <v>321</v>
      </c>
      <c r="I51" s="19" t="s">
        <v>322</v>
      </c>
      <c r="J51" s="18" t="s">
        <v>434</v>
      </c>
      <c r="K51" s="18" t="s">
        <v>435</v>
      </c>
      <c r="L51" s="18" t="s">
        <v>321</v>
      </c>
      <c r="M51" s="19" t="s">
        <v>322</v>
      </c>
      <c r="N51" s="18" t="s">
        <v>436</v>
      </c>
      <c r="O51" s="18" t="s">
        <v>437</v>
      </c>
      <c r="P51" s="18" t="s">
        <v>328</v>
      </c>
      <c r="Q51" s="20" t="s">
        <v>329</v>
      </c>
      <c r="R51" s="18" t="s">
        <v>273</v>
      </c>
      <c r="S51" s="18" t="s">
        <v>273</v>
      </c>
      <c r="T51" s="18" t="s">
        <v>277</v>
      </c>
      <c r="U51" s="18" t="s">
        <v>277</v>
      </c>
      <c r="V51" s="18" t="s">
        <v>330</v>
      </c>
      <c r="W51" s="18" t="s">
        <v>331</v>
      </c>
      <c r="X51" s="20" t="s">
        <v>355</v>
      </c>
      <c r="Y51" s="18" t="s">
        <v>438</v>
      </c>
      <c r="Z51" s="18" t="s">
        <v>439</v>
      </c>
      <c r="AA51" s="18" t="s">
        <v>440</v>
      </c>
      <c r="AB51" s="18" t="s">
        <v>333</v>
      </c>
    </row>
    <row r="52" spans="1:28" x14ac:dyDescent="0.35">
      <c r="A52" s="18">
        <v>1</v>
      </c>
      <c r="B52" s="18" t="s">
        <v>441</v>
      </c>
      <c r="C52" s="18" t="s">
        <v>442</v>
      </c>
      <c r="D52" s="18" t="s">
        <v>443</v>
      </c>
      <c r="E52" s="18" t="s">
        <v>444</v>
      </c>
      <c r="F52" s="18" t="s">
        <v>348</v>
      </c>
      <c r="G52" s="18" t="s">
        <v>445</v>
      </c>
      <c r="H52" s="18" t="s">
        <v>321</v>
      </c>
      <c r="I52" s="19" t="s">
        <v>322</v>
      </c>
      <c r="J52" s="18" t="s">
        <v>446</v>
      </c>
      <c r="K52" s="18" t="s">
        <v>343</v>
      </c>
      <c r="L52" s="18" t="s">
        <v>321</v>
      </c>
      <c r="M52" s="19" t="s">
        <v>322</v>
      </c>
      <c r="N52" s="18" t="s">
        <v>398</v>
      </c>
      <c r="O52" s="18" t="s">
        <v>356</v>
      </c>
      <c r="P52" s="18" t="s">
        <v>328</v>
      </c>
      <c r="Q52" s="20" t="s">
        <v>329</v>
      </c>
      <c r="R52" s="18" t="s">
        <v>273</v>
      </c>
      <c r="S52" s="18" t="s">
        <v>273</v>
      </c>
      <c r="T52" s="18" t="s">
        <v>277</v>
      </c>
      <c r="U52" s="18" t="s">
        <v>277</v>
      </c>
      <c r="V52" s="18" t="s">
        <v>330</v>
      </c>
      <c r="W52" s="18" t="s">
        <v>331</v>
      </c>
      <c r="X52" s="20" t="s">
        <v>370</v>
      </c>
      <c r="Y52" s="18" t="s">
        <v>447</v>
      </c>
      <c r="Z52" s="18" t="s">
        <v>448</v>
      </c>
      <c r="AA52" s="18" t="s">
        <v>449</v>
      </c>
      <c r="AB52" s="18" t="s">
        <v>333</v>
      </c>
    </row>
    <row r="53" spans="1:28" x14ac:dyDescent="0.35">
      <c r="A53" s="18">
        <v>1</v>
      </c>
      <c r="B53" s="18" t="s">
        <v>19</v>
      </c>
      <c r="C53" s="18" t="s">
        <v>347</v>
      </c>
      <c r="D53" s="18" t="s">
        <v>443</v>
      </c>
      <c r="E53" s="18" t="s">
        <v>349</v>
      </c>
      <c r="F53" s="18" t="s">
        <v>450</v>
      </c>
      <c r="G53" s="18" t="s">
        <v>371</v>
      </c>
      <c r="H53" s="18" t="s">
        <v>328</v>
      </c>
      <c r="I53" s="19" t="s">
        <v>322</v>
      </c>
      <c r="J53" s="18" t="s">
        <v>451</v>
      </c>
      <c r="K53" s="18" t="s">
        <v>452</v>
      </c>
      <c r="L53" s="18" t="s">
        <v>328</v>
      </c>
      <c r="M53" s="19" t="s">
        <v>325</v>
      </c>
      <c r="N53" s="18" t="s">
        <v>453</v>
      </c>
      <c r="O53" s="18" t="s">
        <v>451</v>
      </c>
      <c r="P53" s="18" t="s">
        <v>321</v>
      </c>
      <c r="Q53" s="20" t="s">
        <v>329</v>
      </c>
      <c r="R53" s="18" t="s">
        <v>273</v>
      </c>
      <c r="S53" s="18" t="s">
        <v>273</v>
      </c>
      <c r="T53" s="18" t="s">
        <v>277</v>
      </c>
      <c r="U53" s="18" t="s">
        <v>277</v>
      </c>
      <c r="V53" s="18" t="s">
        <v>330</v>
      </c>
      <c r="W53" s="18" t="s">
        <v>331</v>
      </c>
      <c r="X53" s="20" t="s">
        <v>332</v>
      </c>
      <c r="Y53" s="18" t="s">
        <v>454</v>
      </c>
      <c r="Z53" s="18" t="s">
        <v>401</v>
      </c>
      <c r="AA53" s="18" t="s">
        <v>455</v>
      </c>
      <c r="AB53" s="18" t="s">
        <v>333</v>
      </c>
    </row>
    <row r="54" spans="1:28" x14ac:dyDescent="0.35">
      <c r="A54" s="18">
        <v>1</v>
      </c>
      <c r="B54" s="18" t="s">
        <v>456</v>
      </c>
      <c r="C54" s="18" t="s">
        <v>457</v>
      </c>
      <c r="D54" s="18" t="s">
        <v>458</v>
      </c>
      <c r="E54" s="18" t="s">
        <v>459</v>
      </c>
      <c r="F54" s="18" t="s">
        <v>460</v>
      </c>
      <c r="G54" s="18" t="s">
        <v>461</v>
      </c>
      <c r="H54" s="18" t="s">
        <v>321</v>
      </c>
      <c r="I54" s="20" t="s">
        <v>340</v>
      </c>
      <c r="J54" s="18" t="s">
        <v>462</v>
      </c>
      <c r="K54" s="18" t="s">
        <v>463</v>
      </c>
      <c r="L54" s="18" t="s">
        <v>321</v>
      </c>
      <c r="M54" s="20" t="s">
        <v>365</v>
      </c>
      <c r="N54" s="18" t="s">
        <v>464</v>
      </c>
      <c r="O54" s="18" t="s">
        <v>465</v>
      </c>
      <c r="P54" s="18" t="s">
        <v>321</v>
      </c>
      <c r="Q54" s="20" t="s">
        <v>329</v>
      </c>
      <c r="R54" s="18" t="s">
        <v>273</v>
      </c>
      <c r="S54" s="18" t="s">
        <v>273</v>
      </c>
      <c r="T54" s="18" t="s">
        <v>277</v>
      </c>
      <c r="U54" s="18" t="s">
        <v>277</v>
      </c>
      <c r="V54" s="18" t="s">
        <v>330</v>
      </c>
      <c r="W54" s="18" t="s">
        <v>330</v>
      </c>
      <c r="X54" s="20" t="s">
        <v>332</v>
      </c>
      <c r="Y54" s="18" t="s">
        <v>466</v>
      </c>
      <c r="Z54" s="18" t="s">
        <v>467</v>
      </c>
      <c r="AA54" s="18" t="s">
        <v>468</v>
      </c>
      <c r="AB54" s="18" t="s">
        <v>333</v>
      </c>
    </row>
    <row r="55" spans="1:28" x14ac:dyDescent="0.35">
      <c r="A55" s="18">
        <v>2</v>
      </c>
      <c r="B55" s="18" t="s">
        <v>469</v>
      </c>
      <c r="C55" s="18" t="s">
        <v>470</v>
      </c>
      <c r="D55" s="18" t="s">
        <v>471</v>
      </c>
      <c r="E55" s="18" t="s">
        <v>349</v>
      </c>
      <c r="F55" s="18" t="s">
        <v>415</v>
      </c>
      <c r="G55" s="18" t="s">
        <v>472</v>
      </c>
      <c r="H55" s="18" t="s">
        <v>321</v>
      </c>
      <c r="I55" s="20" t="s">
        <v>340</v>
      </c>
      <c r="J55" s="18" t="s">
        <v>473</v>
      </c>
      <c r="K55" s="18" t="s">
        <v>474</v>
      </c>
      <c r="L55" s="18" t="s">
        <v>321</v>
      </c>
      <c r="M55" s="20" t="s">
        <v>340</v>
      </c>
      <c r="N55" s="18" t="s">
        <v>475</v>
      </c>
      <c r="O55" s="18" t="s">
        <v>476</v>
      </c>
      <c r="P55" s="18" t="s">
        <v>321</v>
      </c>
      <c r="Q55" s="20" t="s">
        <v>340</v>
      </c>
      <c r="R55" s="18" t="s">
        <v>477</v>
      </c>
      <c r="S55" s="18" t="s">
        <v>478</v>
      </c>
      <c r="T55" s="18" t="s">
        <v>321</v>
      </c>
      <c r="U55" s="20" t="s">
        <v>365</v>
      </c>
      <c r="V55" s="18" t="s">
        <v>330</v>
      </c>
      <c r="W55" s="18" t="s">
        <v>330</v>
      </c>
      <c r="X55" s="20" t="s">
        <v>479</v>
      </c>
      <c r="Y55" s="18" t="s">
        <v>480</v>
      </c>
      <c r="Z55" s="18" t="s">
        <v>481</v>
      </c>
      <c r="AA55" s="18" t="s">
        <v>482</v>
      </c>
      <c r="AB55" s="18" t="s">
        <v>478</v>
      </c>
    </row>
    <row r="56" spans="1:28" x14ac:dyDescent="0.35">
      <c r="A56" s="18">
        <v>2</v>
      </c>
      <c r="B56" s="18" t="s">
        <v>483</v>
      </c>
      <c r="C56" s="18" t="s">
        <v>484</v>
      </c>
      <c r="D56" s="18" t="s">
        <v>485</v>
      </c>
      <c r="E56" s="18" t="s">
        <v>444</v>
      </c>
      <c r="F56" s="18" t="s">
        <v>249</v>
      </c>
      <c r="G56" s="18" t="s">
        <v>486</v>
      </c>
      <c r="H56" s="18" t="s">
        <v>328</v>
      </c>
      <c r="I56" s="20" t="s">
        <v>340</v>
      </c>
      <c r="J56" s="18" t="s">
        <v>487</v>
      </c>
      <c r="K56" s="18" t="s">
        <v>488</v>
      </c>
      <c r="L56" s="18" t="s">
        <v>328</v>
      </c>
      <c r="M56" s="20" t="s">
        <v>340</v>
      </c>
      <c r="N56" s="18" t="s">
        <v>489</v>
      </c>
      <c r="O56" s="18" t="s">
        <v>490</v>
      </c>
      <c r="P56" s="18" t="s">
        <v>328</v>
      </c>
      <c r="Q56" s="20" t="s">
        <v>365</v>
      </c>
      <c r="R56" s="18" t="s">
        <v>491</v>
      </c>
      <c r="S56" s="18" t="s">
        <v>492</v>
      </c>
      <c r="T56" s="18" t="s">
        <v>321</v>
      </c>
      <c r="U56" s="19" t="s">
        <v>322</v>
      </c>
      <c r="V56" s="18" t="s">
        <v>330</v>
      </c>
      <c r="W56" s="18" t="s">
        <v>330</v>
      </c>
      <c r="X56" s="20" t="s">
        <v>355</v>
      </c>
      <c r="Y56" s="18" t="s">
        <v>493</v>
      </c>
      <c r="Z56" s="18" t="s">
        <v>379</v>
      </c>
      <c r="AA56" s="18" t="s">
        <v>494</v>
      </c>
      <c r="AB56" s="18" t="s">
        <v>495</v>
      </c>
    </row>
    <row r="57" spans="1:28" x14ac:dyDescent="0.35">
      <c r="A57" s="18">
        <v>2</v>
      </c>
      <c r="B57" s="18" t="s">
        <v>496</v>
      </c>
      <c r="C57" s="18" t="s">
        <v>497</v>
      </c>
      <c r="D57" s="18" t="s">
        <v>498</v>
      </c>
      <c r="E57" s="18" t="s">
        <v>320</v>
      </c>
      <c r="F57" s="18" t="s">
        <v>448</v>
      </c>
      <c r="G57" s="18" t="s">
        <v>499</v>
      </c>
      <c r="H57" s="18" t="s">
        <v>328</v>
      </c>
      <c r="I57" s="19" t="s">
        <v>322</v>
      </c>
      <c r="J57" s="18" t="s">
        <v>500</v>
      </c>
      <c r="K57" s="18" t="s">
        <v>501</v>
      </c>
      <c r="L57" s="18" t="s">
        <v>328</v>
      </c>
      <c r="M57" s="19" t="s">
        <v>322</v>
      </c>
      <c r="N57" s="18" t="s">
        <v>502</v>
      </c>
      <c r="O57" s="18" t="s">
        <v>503</v>
      </c>
      <c r="P57" s="18" t="s">
        <v>328</v>
      </c>
      <c r="Q57" s="19" t="s">
        <v>322</v>
      </c>
      <c r="R57" s="18" t="s">
        <v>504</v>
      </c>
      <c r="S57" s="18" t="s">
        <v>505</v>
      </c>
      <c r="T57" s="18" t="s">
        <v>328</v>
      </c>
      <c r="U57" s="19" t="s">
        <v>322</v>
      </c>
      <c r="V57" s="18" t="s">
        <v>330</v>
      </c>
      <c r="W57" s="18" t="s">
        <v>330</v>
      </c>
      <c r="X57" s="20" t="s">
        <v>332</v>
      </c>
      <c r="Y57" s="18" t="s">
        <v>506</v>
      </c>
      <c r="Z57" s="18" t="s">
        <v>507</v>
      </c>
      <c r="AA57" s="18" t="s">
        <v>508</v>
      </c>
      <c r="AB57" s="18" t="s">
        <v>471</v>
      </c>
    </row>
    <row r="58" spans="1:28" x14ac:dyDescent="0.35">
      <c r="A58" s="18">
        <v>2</v>
      </c>
      <c r="B58" s="18" t="s">
        <v>509</v>
      </c>
      <c r="C58" s="18" t="s">
        <v>510</v>
      </c>
      <c r="D58" s="18" t="s">
        <v>511</v>
      </c>
      <c r="E58" s="18" t="s">
        <v>512</v>
      </c>
      <c r="F58" s="18" t="s">
        <v>319</v>
      </c>
      <c r="G58" s="18" t="s">
        <v>513</v>
      </c>
      <c r="H58" s="18" t="s">
        <v>321</v>
      </c>
      <c r="I58" s="19" t="s">
        <v>322</v>
      </c>
      <c r="J58" s="18" t="s">
        <v>514</v>
      </c>
      <c r="K58" s="18" t="s">
        <v>492</v>
      </c>
      <c r="L58" s="18" t="s">
        <v>321</v>
      </c>
      <c r="M58" s="19" t="s">
        <v>322</v>
      </c>
      <c r="N58" s="18" t="s">
        <v>515</v>
      </c>
      <c r="O58" s="18" t="s">
        <v>389</v>
      </c>
      <c r="P58" s="18" t="s">
        <v>328</v>
      </c>
      <c r="Q58" s="20" t="s">
        <v>340</v>
      </c>
      <c r="R58" s="18" t="s">
        <v>516</v>
      </c>
      <c r="S58" s="18" t="s">
        <v>517</v>
      </c>
      <c r="T58" s="18" t="s">
        <v>321</v>
      </c>
      <c r="U58" s="19" t="s">
        <v>322</v>
      </c>
      <c r="V58" s="18" t="s">
        <v>330</v>
      </c>
      <c r="W58" s="18" t="s">
        <v>331</v>
      </c>
      <c r="X58" s="20" t="s">
        <v>355</v>
      </c>
      <c r="Y58" s="18" t="s">
        <v>294</v>
      </c>
      <c r="Z58" s="18" t="s">
        <v>518</v>
      </c>
      <c r="AA58" s="18" t="s">
        <v>519</v>
      </c>
      <c r="AB58" s="18" t="s">
        <v>520</v>
      </c>
    </row>
    <row r="59" spans="1:28" x14ac:dyDescent="0.35">
      <c r="A59" s="18">
        <v>2</v>
      </c>
      <c r="B59" s="18" t="s">
        <v>62</v>
      </c>
      <c r="C59" s="18" t="s">
        <v>521</v>
      </c>
      <c r="D59" s="18" t="s">
        <v>361</v>
      </c>
      <c r="E59" s="18" t="s">
        <v>409</v>
      </c>
      <c r="F59" s="18" t="s">
        <v>522</v>
      </c>
      <c r="G59" s="18" t="s">
        <v>523</v>
      </c>
      <c r="H59" s="18" t="s">
        <v>328</v>
      </c>
      <c r="I59" s="20" t="s">
        <v>340</v>
      </c>
      <c r="J59" s="18" t="s">
        <v>453</v>
      </c>
      <c r="K59" s="18" t="s">
        <v>290</v>
      </c>
      <c r="L59" s="18" t="s">
        <v>328</v>
      </c>
      <c r="M59" s="20" t="s">
        <v>365</v>
      </c>
      <c r="N59" s="18" t="s">
        <v>524</v>
      </c>
      <c r="O59" s="18" t="s">
        <v>353</v>
      </c>
      <c r="P59" s="18" t="s">
        <v>328</v>
      </c>
      <c r="Q59" s="20" t="s">
        <v>340</v>
      </c>
      <c r="R59" s="18" t="s">
        <v>525</v>
      </c>
      <c r="S59" s="18" t="s">
        <v>390</v>
      </c>
      <c r="T59" s="18" t="s">
        <v>321</v>
      </c>
      <c r="U59" s="19" t="s">
        <v>322</v>
      </c>
      <c r="V59" s="18" t="s">
        <v>330</v>
      </c>
      <c r="W59" s="18" t="s">
        <v>330</v>
      </c>
      <c r="X59" s="20" t="s">
        <v>332</v>
      </c>
      <c r="Y59" s="18" t="s">
        <v>403</v>
      </c>
      <c r="Z59" s="18" t="s">
        <v>526</v>
      </c>
      <c r="AA59" s="18" t="s">
        <v>527</v>
      </c>
      <c r="AB59" s="18" t="s">
        <v>528</v>
      </c>
    </row>
    <row r="60" spans="1:28" x14ac:dyDescent="0.35">
      <c r="A60" s="18">
        <v>2</v>
      </c>
      <c r="B60" s="18" t="s">
        <v>529</v>
      </c>
      <c r="C60" s="18" t="s">
        <v>530</v>
      </c>
      <c r="D60" s="18" t="s">
        <v>493</v>
      </c>
      <c r="E60" s="18" t="s">
        <v>404</v>
      </c>
      <c r="F60" s="18" t="s">
        <v>362</v>
      </c>
      <c r="G60" s="18" t="s">
        <v>531</v>
      </c>
      <c r="H60" s="18" t="s">
        <v>328</v>
      </c>
      <c r="I60" s="19" t="s">
        <v>322</v>
      </c>
      <c r="J60" s="18" t="s">
        <v>532</v>
      </c>
      <c r="K60" s="18" t="s">
        <v>533</v>
      </c>
      <c r="L60" s="18" t="s">
        <v>328</v>
      </c>
      <c r="M60" s="19" t="s">
        <v>322</v>
      </c>
      <c r="N60" s="18" t="s">
        <v>534</v>
      </c>
      <c r="O60" s="18" t="s">
        <v>535</v>
      </c>
      <c r="P60" s="18" t="s">
        <v>328</v>
      </c>
      <c r="Q60" s="19" t="s">
        <v>322</v>
      </c>
      <c r="R60" s="18" t="s">
        <v>498</v>
      </c>
      <c r="S60" s="18" t="s">
        <v>393</v>
      </c>
      <c r="T60" s="18" t="s">
        <v>321</v>
      </c>
      <c r="U60" s="20" t="s">
        <v>340</v>
      </c>
      <c r="V60" s="18" t="s">
        <v>330</v>
      </c>
      <c r="W60" s="18" t="s">
        <v>330</v>
      </c>
      <c r="X60" s="20" t="s">
        <v>479</v>
      </c>
      <c r="Y60" s="18" t="s">
        <v>536</v>
      </c>
      <c r="Z60" s="18" t="s">
        <v>537</v>
      </c>
      <c r="AA60" s="18" t="s">
        <v>538</v>
      </c>
      <c r="AB60" s="18" t="s">
        <v>513</v>
      </c>
    </row>
    <row r="61" spans="1:28" x14ac:dyDescent="0.35">
      <c r="A61" s="18">
        <v>2</v>
      </c>
      <c r="B61" s="18" t="s">
        <v>539</v>
      </c>
      <c r="C61" s="18" t="s">
        <v>540</v>
      </c>
      <c r="D61" s="18" t="s">
        <v>541</v>
      </c>
      <c r="E61" s="18" t="s">
        <v>444</v>
      </c>
      <c r="F61" s="18" t="s">
        <v>542</v>
      </c>
      <c r="G61" s="18" t="s">
        <v>324</v>
      </c>
      <c r="H61" s="18" t="s">
        <v>321</v>
      </c>
      <c r="I61" s="20" t="s">
        <v>365</v>
      </c>
      <c r="J61" s="18" t="s">
        <v>543</v>
      </c>
      <c r="K61" s="18" t="s">
        <v>356</v>
      </c>
      <c r="L61" s="18" t="s">
        <v>328</v>
      </c>
      <c r="M61" s="19" t="s">
        <v>322</v>
      </c>
      <c r="N61" s="18" t="s">
        <v>544</v>
      </c>
      <c r="O61" s="18" t="s">
        <v>382</v>
      </c>
      <c r="P61" s="18" t="s">
        <v>328</v>
      </c>
      <c r="Q61" s="19" t="s">
        <v>322</v>
      </c>
      <c r="R61" s="18" t="s">
        <v>545</v>
      </c>
      <c r="S61" s="18" t="s">
        <v>362</v>
      </c>
      <c r="T61" s="18" t="s">
        <v>321</v>
      </c>
      <c r="U61" s="20" t="s">
        <v>340</v>
      </c>
      <c r="V61" s="18" t="s">
        <v>331</v>
      </c>
      <c r="W61" s="18" t="s">
        <v>331</v>
      </c>
      <c r="X61" s="20" t="s">
        <v>370</v>
      </c>
      <c r="Y61" s="18" t="s">
        <v>546</v>
      </c>
      <c r="Z61" s="18" t="s">
        <v>547</v>
      </c>
      <c r="AA61" s="18" t="s">
        <v>548</v>
      </c>
      <c r="AB61" s="18" t="s">
        <v>549</v>
      </c>
    </row>
    <row r="62" spans="1:28" x14ac:dyDescent="0.35">
      <c r="A62" s="18">
        <v>2</v>
      </c>
      <c r="B62" s="18" t="s">
        <v>550</v>
      </c>
      <c r="C62" s="18" t="s">
        <v>551</v>
      </c>
      <c r="D62" s="18" t="s">
        <v>552</v>
      </c>
      <c r="E62" s="18" t="s">
        <v>553</v>
      </c>
      <c r="F62" s="18" t="s">
        <v>554</v>
      </c>
      <c r="G62" s="18" t="s">
        <v>555</v>
      </c>
      <c r="H62" s="18" t="s">
        <v>321</v>
      </c>
      <c r="I62" s="19" t="s">
        <v>322</v>
      </c>
      <c r="J62" s="18" t="s">
        <v>556</v>
      </c>
      <c r="K62" s="18" t="s">
        <v>392</v>
      </c>
      <c r="L62" s="18" t="s">
        <v>321</v>
      </c>
      <c r="M62" s="19" t="s">
        <v>322</v>
      </c>
      <c r="N62" s="18" t="s">
        <v>520</v>
      </c>
      <c r="O62" s="18" t="s">
        <v>485</v>
      </c>
      <c r="P62" s="18" t="s">
        <v>321</v>
      </c>
      <c r="Q62" s="19" t="s">
        <v>322</v>
      </c>
      <c r="R62" s="18" t="s">
        <v>557</v>
      </c>
      <c r="S62" s="18" t="s">
        <v>558</v>
      </c>
      <c r="T62" s="18" t="s">
        <v>321</v>
      </c>
      <c r="U62" s="19" t="s">
        <v>322</v>
      </c>
      <c r="V62" s="18" t="s">
        <v>330</v>
      </c>
      <c r="W62" s="18" t="s">
        <v>330</v>
      </c>
      <c r="X62" s="20" t="s">
        <v>332</v>
      </c>
      <c r="Y62" s="18" t="s">
        <v>382</v>
      </c>
      <c r="Z62" s="18" t="s">
        <v>289</v>
      </c>
      <c r="AA62" s="18" t="s">
        <v>559</v>
      </c>
      <c r="AB62" s="18" t="s">
        <v>560</v>
      </c>
    </row>
    <row r="63" spans="1:28" x14ac:dyDescent="0.35">
      <c r="A63" s="18">
        <v>2</v>
      </c>
      <c r="B63" s="18" t="s">
        <v>561</v>
      </c>
      <c r="C63" s="18" t="s">
        <v>562</v>
      </c>
      <c r="D63" s="18" t="s">
        <v>563</v>
      </c>
      <c r="E63" s="18" t="s">
        <v>353</v>
      </c>
      <c r="F63" s="18" t="s">
        <v>564</v>
      </c>
      <c r="G63" s="18" t="s">
        <v>565</v>
      </c>
      <c r="H63" s="18" t="s">
        <v>321</v>
      </c>
      <c r="I63" s="20" t="s">
        <v>340</v>
      </c>
      <c r="J63" s="18" t="s">
        <v>566</v>
      </c>
      <c r="K63" s="18" t="s">
        <v>567</v>
      </c>
      <c r="L63" s="18" t="s">
        <v>321</v>
      </c>
      <c r="M63" s="20" t="s">
        <v>365</v>
      </c>
      <c r="N63" s="18" t="s">
        <v>568</v>
      </c>
      <c r="O63" s="18" t="s">
        <v>367</v>
      </c>
      <c r="P63" s="18" t="s">
        <v>328</v>
      </c>
      <c r="Q63" s="19" t="s">
        <v>322</v>
      </c>
      <c r="R63" s="18" t="s">
        <v>354</v>
      </c>
      <c r="S63" s="18" t="s">
        <v>569</v>
      </c>
      <c r="T63" s="18" t="s">
        <v>321</v>
      </c>
      <c r="U63" s="20" t="s">
        <v>340</v>
      </c>
      <c r="V63" s="18" t="s">
        <v>330</v>
      </c>
      <c r="W63" s="18" t="s">
        <v>331</v>
      </c>
      <c r="X63" s="20" t="s">
        <v>332</v>
      </c>
      <c r="Y63" s="18" t="s">
        <v>570</v>
      </c>
      <c r="Z63" s="18" t="s">
        <v>571</v>
      </c>
      <c r="AA63" s="18" t="s">
        <v>572</v>
      </c>
      <c r="AB63" s="18" t="s">
        <v>573</v>
      </c>
    </row>
    <row r="64" spans="1:28" x14ac:dyDescent="0.35">
      <c r="A64" s="18">
        <v>3</v>
      </c>
      <c r="B64" s="18" t="s">
        <v>574</v>
      </c>
      <c r="C64" s="18" t="s">
        <v>575</v>
      </c>
      <c r="D64" s="18" t="s">
        <v>576</v>
      </c>
      <c r="E64" s="18" t="s">
        <v>577</v>
      </c>
      <c r="F64" s="18" t="s">
        <v>578</v>
      </c>
      <c r="G64" s="18" t="s">
        <v>579</v>
      </c>
      <c r="H64" s="18" t="s">
        <v>321</v>
      </c>
      <c r="I64" s="20" t="s">
        <v>340</v>
      </c>
      <c r="J64" s="18" t="s">
        <v>580</v>
      </c>
      <c r="K64" s="18" t="s">
        <v>581</v>
      </c>
      <c r="L64" s="18" t="s">
        <v>321</v>
      </c>
      <c r="M64" s="20" t="s">
        <v>340</v>
      </c>
      <c r="N64" s="18" t="s">
        <v>582</v>
      </c>
      <c r="O64" s="18" t="s">
        <v>522</v>
      </c>
      <c r="P64" s="18" t="s">
        <v>321</v>
      </c>
      <c r="Q64" s="20" t="s">
        <v>340</v>
      </c>
      <c r="R64" s="18" t="s">
        <v>583</v>
      </c>
      <c r="S64" s="18" t="s">
        <v>584</v>
      </c>
      <c r="T64" s="18" t="s">
        <v>321</v>
      </c>
      <c r="U64" s="20" t="s">
        <v>340</v>
      </c>
      <c r="V64" s="18" t="s">
        <v>330</v>
      </c>
      <c r="W64" s="18" t="s">
        <v>330</v>
      </c>
      <c r="X64" s="20" t="s">
        <v>355</v>
      </c>
      <c r="Y64" s="18" t="s">
        <v>413</v>
      </c>
      <c r="Z64" s="18" t="s">
        <v>583</v>
      </c>
      <c r="AA64" s="18" t="s">
        <v>585</v>
      </c>
      <c r="AB64" s="18" t="s">
        <v>586</v>
      </c>
    </row>
    <row r="65" spans="1:28" x14ac:dyDescent="0.35">
      <c r="A65" s="18">
        <v>3</v>
      </c>
      <c r="B65" s="18" t="s">
        <v>73</v>
      </c>
      <c r="C65" s="18" t="s">
        <v>587</v>
      </c>
      <c r="D65" s="18" t="s">
        <v>471</v>
      </c>
      <c r="E65" s="18" t="s">
        <v>588</v>
      </c>
      <c r="F65" s="18" t="s">
        <v>352</v>
      </c>
      <c r="G65" s="18" t="s">
        <v>589</v>
      </c>
      <c r="H65" s="18" t="s">
        <v>328</v>
      </c>
      <c r="I65" s="20" t="s">
        <v>340</v>
      </c>
      <c r="J65" s="18" t="s">
        <v>590</v>
      </c>
      <c r="K65" s="18" t="s">
        <v>591</v>
      </c>
      <c r="L65" s="18" t="s">
        <v>328</v>
      </c>
      <c r="M65" s="20" t="s">
        <v>340</v>
      </c>
      <c r="N65" s="18" t="s">
        <v>592</v>
      </c>
      <c r="O65" s="18" t="s">
        <v>438</v>
      </c>
      <c r="P65" s="18" t="s">
        <v>328</v>
      </c>
      <c r="Q65" s="20" t="s">
        <v>340</v>
      </c>
      <c r="R65" s="18" t="s">
        <v>593</v>
      </c>
      <c r="S65" s="18" t="s">
        <v>594</v>
      </c>
      <c r="T65" s="18" t="s">
        <v>328</v>
      </c>
      <c r="U65" s="20" t="s">
        <v>340</v>
      </c>
      <c r="V65" s="18" t="s">
        <v>330</v>
      </c>
      <c r="W65" s="18" t="s">
        <v>330</v>
      </c>
      <c r="X65" s="20" t="s">
        <v>479</v>
      </c>
      <c r="Y65" s="18" t="s">
        <v>339</v>
      </c>
      <c r="Z65" s="18" t="s">
        <v>595</v>
      </c>
      <c r="AA65" s="18" t="s">
        <v>596</v>
      </c>
      <c r="AB65" s="18" t="s">
        <v>597</v>
      </c>
    </row>
    <row r="66" spans="1:28" x14ac:dyDescent="0.35">
      <c r="A66" s="18">
        <v>3</v>
      </c>
      <c r="B66" s="18" t="s">
        <v>598</v>
      </c>
      <c r="C66" s="18" t="s">
        <v>599</v>
      </c>
      <c r="D66" s="18" t="s">
        <v>576</v>
      </c>
      <c r="E66" s="18" t="s">
        <v>388</v>
      </c>
      <c r="F66" s="18" t="s">
        <v>558</v>
      </c>
      <c r="G66" s="18" t="s">
        <v>354</v>
      </c>
      <c r="H66" s="18" t="s">
        <v>328</v>
      </c>
      <c r="I66" s="20" t="s">
        <v>365</v>
      </c>
      <c r="J66" s="18" t="s">
        <v>600</v>
      </c>
      <c r="K66" s="18" t="s">
        <v>601</v>
      </c>
      <c r="L66" s="18" t="s">
        <v>321</v>
      </c>
      <c r="M66" s="19" t="s">
        <v>322</v>
      </c>
      <c r="N66" s="18" t="s">
        <v>602</v>
      </c>
      <c r="O66" s="18" t="s">
        <v>443</v>
      </c>
      <c r="P66" s="18" t="s">
        <v>321</v>
      </c>
      <c r="Q66" s="19" t="s">
        <v>322</v>
      </c>
      <c r="R66" s="18" t="s">
        <v>504</v>
      </c>
      <c r="S66" s="18" t="s">
        <v>528</v>
      </c>
      <c r="T66" s="18" t="s">
        <v>321</v>
      </c>
      <c r="U66" s="19" t="s">
        <v>322</v>
      </c>
      <c r="V66" s="18" t="s">
        <v>331</v>
      </c>
      <c r="W66" s="18" t="s">
        <v>331</v>
      </c>
      <c r="X66" s="20" t="s">
        <v>370</v>
      </c>
      <c r="Y66" s="18" t="s">
        <v>357</v>
      </c>
      <c r="Z66" s="18" t="s">
        <v>603</v>
      </c>
      <c r="AA66" s="18" t="s">
        <v>604</v>
      </c>
      <c r="AB66" s="18" t="s">
        <v>605</v>
      </c>
    </row>
    <row r="67" spans="1:28" x14ac:dyDescent="0.35">
      <c r="A67" s="18">
        <v>3</v>
      </c>
      <c r="B67" s="18" t="s">
        <v>606</v>
      </c>
      <c r="C67" s="18" t="s">
        <v>607</v>
      </c>
      <c r="D67" s="18" t="s">
        <v>608</v>
      </c>
      <c r="E67" s="18" t="s">
        <v>391</v>
      </c>
      <c r="F67" s="18" t="s">
        <v>522</v>
      </c>
      <c r="G67" s="18" t="s">
        <v>609</v>
      </c>
      <c r="H67" s="18" t="s">
        <v>328</v>
      </c>
      <c r="I67" s="20" t="s">
        <v>340</v>
      </c>
      <c r="J67" s="18" t="s">
        <v>610</v>
      </c>
      <c r="K67" s="18" t="s">
        <v>493</v>
      </c>
      <c r="L67" s="18" t="s">
        <v>328</v>
      </c>
      <c r="M67" s="20" t="s">
        <v>340</v>
      </c>
      <c r="N67" s="18" t="s">
        <v>363</v>
      </c>
      <c r="O67" s="18" t="s">
        <v>611</v>
      </c>
      <c r="P67" s="18" t="s">
        <v>328</v>
      </c>
      <c r="Q67" s="20" t="s">
        <v>365</v>
      </c>
      <c r="R67" s="18" t="s">
        <v>612</v>
      </c>
      <c r="S67" s="18" t="s">
        <v>613</v>
      </c>
      <c r="T67" s="18" t="s">
        <v>328</v>
      </c>
      <c r="U67" s="20" t="s">
        <v>340</v>
      </c>
      <c r="V67" s="18" t="s">
        <v>330</v>
      </c>
      <c r="W67" s="18" t="s">
        <v>330</v>
      </c>
      <c r="X67" s="20" t="s">
        <v>355</v>
      </c>
      <c r="Y67" s="18" t="s">
        <v>614</v>
      </c>
      <c r="Z67" s="18" t="s">
        <v>615</v>
      </c>
      <c r="AA67" s="18" t="s">
        <v>616</v>
      </c>
      <c r="AB67" s="18" t="s">
        <v>617</v>
      </c>
    </row>
    <row r="68" spans="1:28" x14ac:dyDescent="0.35">
      <c r="A68" s="18">
        <v>3</v>
      </c>
      <c r="B68" s="18" t="s">
        <v>618</v>
      </c>
      <c r="C68" s="18" t="s">
        <v>619</v>
      </c>
      <c r="D68" s="18" t="s">
        <v>620</v>
      </c>
      <c r="E68" s="18" t="s">
        <v>353</v>
      </c>
      <c r="F68" s="18" t="s">
        <v>249</v>
      </c>
      <c r="G68" s="18" t="s">
        <v>565</v>
      </c>
      <c r="H68" s="18" t="s">
        <v>321</v>
      </c>
      <c r="I68" s="20" t="s">
        <v>340</v>
      </c>
      <c r="J68" s="18" t="s">
        <v>495</v>
      </c>
      <c r="K68" s="18" t="s">
        <v>451</v>
      </c>
      <c r="L68" s="18" t="s">
        <v>321</v>
      </c>
      <c r="M68" s="20" t="s">
        <v>340</v>
      </c>
      <c r="N68" s="18" t="s">
        <v>603</v>
      </c>
      <c r="O68" s="18" t="s">
        <v>621</v>
      </c>
      <c r="P68" s="18" t="s">
        <v>321</v>
      </c>
      <c r="Q68" s="20" t="s">
        <v>340</v>
      </c>
      <c r="R68" s="18" t="s">
        <v>622</v>
      </c>
      <c r="S68" s="18" t="s">
        <v>517</v>
      </c>
      <c r="T68" s="18" t="s">
        <v>321</v>
      </c>
      <c r="U68" s="20" t="s">
        <v>340</v>
      </c>
      <c r="V68" s="18" t="s">
        <v>330</v>
      </c>
      <c r="W68" s="18" t="s">
        <v>330</v>
      </c>
      <c r="X68" s="20" t="s">
        <v>332</v>
      </c>
      <c r="Y68" s="18" t="s">
        <v>525</v>
      </c>
      <c r="Z68" s="18" t="s">
        <v>554</v>
      </c>
      <c r="AA68" s="18" t="s">
        <v>623</v>
      </c>
      <c r="AB68" s="18" t="s">
        <v>624</v>
      </c>
    </row>
    <row r="69" spans="1:28" x14ac:dyDescent="0.35">
      <c r="A69" s="18">
        <v>3</v>
      </c>
      <c r="B69" s="18" t="s">
        <v>625</v>
      </c>
      <c r="C69" s="18" t="s">
        <v>626</v>
      </c>
      <c r="D69" s="18" t="s">
        <v>627</v>
      </c>
      <c r="E69" s="18" t="s">
        <v>628</v>
      </c>
      <c r="F69" s="18" t="s">
        <v>629</v>
      </c>
      <c r="G69" s="18" t="s">
        <v>630</v>
      </c>
      <c r="H69" s="18" t="s">
        <v>328</v>
      </c>
      <c r="I69" s="20" t="s">
        <v>340</v>
      </c>
      <c r="J69" s="18" t="s">
        <v>631</v>
      </c>
      <c r="K69" s="18" t="s">
        <v>557</v>
      </c>
      <c r="L69" s="18" t="s">
        <v>328</v>
      </c>
      <c r="M69" s="20" t="s">
        <v>340</v>
      </c>
      <c r="N69" s="18" t="s">
        <v>632</v>
      </c>
      <c r="O69" s="18" t="s">
        <v>621</v>
      </c>
      <c r="P69" s="18" t="s">
        <v>321</v>
      </c>
      <c r="Q69" s="19" t="s">
        <v>322</v>
      </c>
      <c r="R69" s="18" t="s">
        <v>633</v>
      </c>
      <c r="S69" s="18" t="s">
        <v>634</v>
      </c>
      <c r="T69" s="18" t="s">
        <v>328</v>
      </c>
      <c r="U69" s="20" t="s">
        <v>340</v>
      </c>
      <c r="V69" s="18" t="s">
        <v>330</v>
      </c>
      <c r="W69" s="18" t="s">
        <v>331</v>
      </c>
      <c r="X69" s="20" t="s">
        <v>332</v>
      </c>
      <c r="Y69" s="18" t="s">
        <v>533</v>
      </c>
      <c r="Z69" s="18" t="s">
        <v>392</v>
      </c>
      <c r="AA69" s="18" t="s">
        <v>635</v>
      </c>
      <c r="AB69" s="18" t="s">
        <v>636</v>
      </c>
    </row>
    <row r="70" spans="1:28" x14ac:dyDescent="0.35">
      <c r="A70" s="18">
        <v>3</v>
      </c>
      <c r="B70" s="18" t="s">
        <v>637</v>
      </c>
      <c r="C70" s="18" t="s">
        <v>638</v>
      </c>
      <c r="D70" s="18" t="s">
        <v>594</v>
      </c>
      <c r="E70" s="18" t="s">
        <v>639</v>
      </c>
      <c r="F70" s="18" t="s">
        <v>640</v>
      </c>
      <c r="G70" s="18" t="s">
        <v>611</v>
      </c>
      <c r="H70" s="18" t="s">
        <v>328</v>
      </c>
      <c r="I70" s="19" t="s">
        <v>325</v>
      </c>
      <c r="J70" s="18" t="s">
        <v>641</v>
      </c>
      <c r="K70" s="18" t="s">
        <v>642</v>
      </c>
      <c r="L70" s="18" t="s">
        <v>321</v>
      </c>
      <c r="M70" s="20" t="s">
        <v>340</v>
      </c>
      <c r="N70" s="18" t="s">
        <v>610</v>
      </c>
      <c r="O70" s="18" t="s">
        <v>361</v>
      </c>
      <c r="P70" s="18" t="s">
        <v>328</v>
      </c>
      <c r="Q70" s="19" t="s">
        <v>322</v>
      </c>
      <c r="R70" s="18" t="s">
        <v>593</v>
      </c>
      <c r="S70" s="18" t="s">
        <v>371</v>
      </c>
      <c r="T70" s="18" t="s">
        <v>328</v>
      </c>
      <c r="U70" s="19" t="s">
        <v>322</v>
      </c>
      <c r="V70" s="18" t="s">
        <v>331</v>
      </c>
      <c r="W70" s="18" t="s">
        <v>330</v>
      </c>
      <c r="X70" s="20" t="s">
        <v>370</v>
      </c>
      <c r="Y70" s="18" t="s">
        <v>239</v>
      </c>
      <c r="Z70" s="18" t="s">
        <v>249</v>
      </c>
      <c r="AA70" s="18" t="s">
        <v>197</v>
      </c>
      <c r="AB70" s="18" t="s">
        <v>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2026-09-26T19:55:17Z</dcterms:modified>
  <dc:language>en-US</dc:language>
</cp:coreProperties>
</file>