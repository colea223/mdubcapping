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3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Model Comparison" sheetId="6" state="visible" r:id="rId6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20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b val="1"/>
      <sz val="14"/>
    </font>
    <font>
      <name val="Arial"/>
      <family val="2"/>
      <i val="1"/>
      <color rgb="FF666666"/>
      <sz val="9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Calibri"/>
      <charset val="1"/>
      <family val="2"/>
      <sz val="8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C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0" borderId="0" pivotButton="0" quotePrefix="0" xfId="0"/>
    <xf numFmtId="0" fontId="13" fillId="5" borderId="0" pivotButton="0" quotePrefix="0" xfId="0"/>
    <xf numFmtId="0" fontId="13" fillId="6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7" borderId="4" applyAlignment="1" pivotButton="0" quotePrefix="0" xfId="0">
      <alignment horizontal="center" vertical="center" wrapText="1"/>
    </xf>
    <xf numFmtId="0" fontId="19" fillId="0" borderId="0" pivotButton="0" quotePrefix="0" xfId="0"/>
    <xf numFmtId="0" fontId="19" fillId="8" borderId="0" pivotButton="0" quotePrefix="0" xfId="0"/>
    <xf numFmtId="0" fontId="19" fillId="9" borderId="0" pivotButton="0" quotePrefix="0" xfId="0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109375" defaultRowHeight="1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2"/>
  <sheetViews>
    <sheetView showGridLines="0" zoomScaleNormal="100" workbookViewId="0">
      <pane ySplit="1" topLeftCell="A2" activePane="bottomLeft" state="frozen"/>
      <selection activeCell="K1" sqref="K1"/>
      <selection pane="bottomLeft" activeCell="B8" sqref="B8"/>
    </sheetView>
  </sheetViews>
  <sheetFormatPr baseColWidth="8" defaultColWidth="8.7109375" defaultRowHeight="15"/>
  <cols>
    <col width="6" customWidth="1" min="1" max="1"/>
    <col width="11" customWidth="1" min="2" max="2"/>
    <col width="20.5703125" customWidth="1" min="3" max="3"/>
    <col width="18" customWidth="1" min="4" max="4"/>
    <col width="16" customWidth="1" min="5" max="6"/>
    <col width="12.7109375" customWidth="1" min="7" max="7"/>
    <col width="7.5703125" customWidth="1" min="8" max="8"/>
    <col width="11" customWidth="1" min="9" max="10"/>
    <col width="12" customWidth="1" min="11" max="11"/>
    <col width="5.5703125" customWidth="1" min="12" max="12"/>
    <col width="14.285156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3</v>
      </c>
      <c r="B2" t="inlineStr">
        <is>
          <t>2026-09-19</t>
        </is>
      </c>
      <c r="C2" t="inlineStr">
        <is>
          <t>Wyoming</t>
        </is>
      </c>
      <c r="D2" t="inlineStr">
        <is>
          <t>Central Michigan</t>
        </is>
      </c>
      <c r="E2" t="n">
        <v>-9.300000000000001</v>
      </c>
      <c r="F2" t="n">
        <v>-1.5</v>
      </c>
      <c r="G2" s="6">
        <f>F2-E2</f>
        <v/>
      </c>
      <c r="H2" s="6">
        <f>IF(G2=0,"Pick'em",IF(G2&gt;0,"Home","Away"))</f>
        <v/>
      </c>
      <c r="I2" t="n">
        <v>43.2</v>
      </c>
      <c r="J2" t="n">
        <v>39.5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3</v>
      </c>
      <c r="B3" t="inlineStr">
        <is>
          <t>2026-09-19</t>
        </is>
      </c>
      <c r="C3" t="inlineStr">
        <is>
          <t>UTEP</t>
        </is>
      </c>
      <c r="D3" t="inlineStr">
        <is>
          <t>Michigan</t>
        </is>
      </c>
      <c r="E3" t="n">
        <v>-29.7</v>
      </c>
      <c r="F3" t="n">
        <v>-35.2</v>
      </c>
      <c r="G3" s="6">
        <f>F3-E3</f>
        <v/>
      </c>
      <c r="H3" s="6">
        <f>IF(G3=0,"Pick'em",IF(G3&gt;0,"Home","Away"))</f>
        <v/>
      </c>
      <c r="I3" t="n">
        <v>47.5</v>
      </c>
      <c r="J3" t="n">
        <v>48.5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3</v>
      </c>
      <c r="B4" t="inlineStr">
        <is>
          <t>2026-09-19</t>
        </is>
      </c>
      <c r="C4" t="inlineStr">
        <is>
          <t>Nevada</t>
        </is>
      </c>
      <c r="D4" t="inlineStr">
        <is>
          <t>Middle Tennessee</t>
        </is>
      </c>
      <c r="E4" t="n">
        <v>2.9</v>
      </c>
      <c r="F4" t="n">
        <v>3.5</v>
      </c>
      <c r="G4" s="6">
        <f>F4-E4</f>
        <v/>
      </c>
      <c r="H4" s="6">
        <f>IF(G4=0,"Pick'em",IF(G4&gt;0,"Home","Away"))</f>
        <v/>
      </c>
      <c r="I4" t="n">
        <v>53.6</v>
      </c>
      <c r="J4" t="n">
        <v>50.5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3</v>
      </c>
      <c r="B5" t="inlineStr">
        <is>
          <t>2026-09-19</t>
        </is>
      </c>
      <c r="C5" t="inlineStr">
        <is>
          <t>New Mexico</t>
        </is>
      </c>
      <c r="D5" t="inlineStr">
        <is>
          <t>Oklahoma</t>
        </is>
      </c>
      <c r="E5" t="n">
        <v>-10.8</v>
      </c>
      <c r="F5" t="n">
        <v>-23</v>
      </c>
      <c r="G5" s="6">
        <f>F5-E5</f>
        <v/>
      </c>
      <c r="H5" s="6">
        <f>IF(G5=0,"Pick'em",IF(G5&gt;0,"Home","Away"))</f>
        <v/>
      </c>
      <c r="I5" t="n">
        <v>43.8</v>
      </c>
      <c r="J5" t="n">
        <v>47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3</v>
      </c>
      <c r="B6" t="inlineStr">
        <is>
          <t>2026-09-20</t>
        </is>
      </c>
      <c r="C6" t="inlineStr">
        <is>
          <t>North Dakota State</t>
        </is>
      </c>
      <c r="D6" t="inlineStr">
        <is>
          <t>Sacramento State</t>
        </is>
      </c>
      <c r="E6" t="n">
        <v>35.9</v>
      </c>
      <c r="F6" t="n">
        <v>27.8</v>
      </c>
      <c r="G6" s="6">
        <f>F6-E6</f>
        <v/>
      </c>
      <c r="H6" s="6">
        <f>IF(G6=0,"Pick'em",IF(G6&gt;0,"Home","Away"))</f>
        <v/>
      </c>
      <c r="I6" t="n">
        <v>47.9</v>
      </c>
      <c r="J6" t="n">
        <v>52.8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>
        <v>3</v>
      </c>
      <c r="B7" s="10" t="inlineStr">
        <is>
          <t>2026-09-20</t>
        </is>
      </c>
      <c r="C7" s="10" t="inlineStr">
        <is>
          <t>Northern Illinois</t>
        </is>
      </c>
      <c r="D7" s="10" t="inlineStr">
        <is>
          <t>Arizona</t>
        </is>
      </c>
      <c r="E7" s="10" t="n">
        <v>-30.9</v>
      </c>
      <c r="F7" s="10" t="n">
        <v>-34.5</v>
      </c>
      <c r="G7" s="10">
        <f>F7-E7</f>
        <v/>
      </c>
      <c r="H7" s="10">
        <f>IF(G7=0,"Pick'em",IF(G7&gt;0,"Home","Away"))</f>
        <v/>
      </c>
      <c r="I7" s="10" t="n">
        <v>41</v>
      </c>
      <c r="J7" s="10" t="n">
        <v>49.8</v>
      </c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A8" t="n">
        <v>3</v>
      </c>
      <c r="B8" t="inlineStr">
        <is>
          <t>2026-09-20</t>
        </is>
      </c>
      <c r="C8" t="inlineStr">
        <is>
          <t>Fresno State</t>
        </is>
      </c>
      <c r="D8" t="inlineStr">
        <is>
          <t>San José State</t>
        </is>
      </c>
      <c r="E8" t="n">
        <v>1.2</v>
      </c>
      <c r="F8" t="n">
        <v>6.5</v>
      </c>
      <c r="G8" s="6">
        <f>F8-E8</f>
        <v/>
      </c>
      <c r="H8" s="6">
        <f>IF(G8=0,"Pick'em",IF(G8&gt;0,"Home","Away"))</f>
        <v/>
      </c>
      <c r="I8" t="n">
        <v>50.8</v>
      </c>
      <c r="J8" t="n">
        <v>50.5</v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G9" s="6">
        <f>F9-E9</f>
        <v/>
      </c>
      <c r="H9" s="6">
        <f>IF(G9=0,"Pick'em",IF(G9&gt;0,"Home","Away"))</f>
        <v/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G10" s="6">
        <f>F10-E10</f>
        <v/>
      </c>
      <c r="H10" s="6">
        <f>IF(G10=0,"Pick'em",IF(G10&gt;0,"Home","Away"))</f>
        <v/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G11" s="6">
        <f>F11-E11</f>
        <v/>
      </c>
      <c r="H11" s="6">
        <f>IF(G11=0,"Pick'em",IF(G11&gt;0,"Home","Away"))</f>
        <v/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G12" s="6">
        <f>F12-E12</f>
        <v/>
      </c>
      <c r="H12" s="6">
        <f>IF(G12=0,"Pick'em",IF(G12&gt;0,"Home","Away"))</f>
        <v/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G13" s="6">
        <f>F13-E13</f>
        <v/>
      </c>
      <c r="H13" s="6">
        <f>IF(G13=0,"Pick'em",IF(G13&gt;0,"Home","Away"))</f>
        <v/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G14" s="6">
        <f>F14-E14</f>
        <v/>
      </c>
      <c r="H14" s="6">
        <f>IF(G14=0,"Pick'em",IF(G14&gt;0,"Home","Away"))</f>
        <v/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G15" s="6" t="n"/>
      <c r="H15" s="6" t="n"/>
      <c r="K15" s="6" t="n"/>
      <c r="L15" s="6" t="n"/>
      <c r="M15" s="6" t="n"/>
      <c r="N15" s="6" t="n"/>
    </row>
    <row r="16" ht="14.25" customHeight="1">
      <c r="G16" s="6" t="n"/>
      <c r="H16" s="6" t="n"/>
      <c r="K16" s="6" t="n"/>
      <c r="L16" s="6" t="n"/>
      <c r="M16" s="6" t="n"/>
      <c r="N16" s="6" t="n"/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3"/>
  <sheetViews>
    <sheetView showGridLines="0" tabSelected="1" zoomScaleNormal="100" workbookViewId="0">
      <pane ySplit="1" topLeftCell="A11" activePane="bottomLeft" state="frozen"/>
      <selection pane="bottomLeft" activeCell="C43" sqref="C43"/>
    </sheetView>
  </sheetViews>
  <sheetFormatPr baseColWidth="8" defaultColWidth="8.7109375" defaultRowHeight="15"/>
  <cols>
    <col width="11" customWidth="1" min="1" max="1"/>
    <col width="6" customWidth="1" min="2" max="2"/>
    <col width="37.42578125" customWidth="1" min="3" max="3"/>
    <col width="10" customWidth="1" min="4" max="4"/>
    <col width="22.285156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J35" s="6">
        <f>IF(I35="","",I35-F35)</f>
        <v/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J37" s="6">
        <f>IF(I37="","",I37-F37)</f>
        <v/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J38" s="6">
        <f>IF(I38="","",I38-F38)</f>
        <v/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J39" s="6">
        <f>IF(I39="","",I39-F39)</f>
        <v/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J40" s="6">
        <f>IF(I40="","",I40-F40)</f>
        <v/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J41" s="6">
        <f>IF(I41="","",I41-F41)</f>
        <v/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J42" s="6">
        <f>IF(I42="","",I42-F42)</f>
        <v/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J43" s="6">
        <f>IF(I43="","",I43-F43)</f>
        <v/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J44" s="6">
        <f>IF(I44="","",I44-F44)</f>
        <v/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L45" s="11">
        <f>IF(K45="W",IF(G45&lt;0,H45*100/ABS(G45),H45*G45/100),IF(K45="L",-H45,0))</f>
        <v/>
      </c>
      <c r="M45" s="11">
        <f>Settings!$B$4+SUM(L$2:L45)</f>
        <v/>
      </c>
    </row>
    <row r="46">
      <c r="L46" s="11">
        <f>IF(K46="W",IF(G46&lt;0,H46*100/ABS(G46),H46*G46/100),IF(K46="L",-H46,0))</f>
        <v/>
      </c>
      <c r="M46" s="11">
        <f>Settings!$B$4+SUM(L$2:L46)</f>
        <v/>
      </c>
    </row>
    <row r="47">
      <c r="L47" s="11">
        <f>IF(K47="W",IF(G47&lt;0,H47*100/ABS(G47),H47*G47/100),IF(K47="L",-H47,0))</f>
        <v/>
      </c>
      <c r="M47" s="11">
        <f>Settings!$B$4+SUM(L$2:L47)</f>
        <v/>
      </c>
    </row>
    <row r="48">
      <c r="L48" s="11">
        <f>IF(K48="W",IF(G48&lt;0,H48*100/ABS(G48),H48*G48/100),IF(K48="L",-H48,0))</f>
        <v/>
      </c>
      <c r="M48" s="11">
        <f>Settings!$B$4+SUM(L$2:L48)</f>
        <v/>
      </c>
    </row>
    <row r="49">
      <c r="L49" s="11">
        <f>IF(K49="W",IF(G49&lt;0,H49*100/ABS(G49),H49*G49/100),IF(K49="L",-H49,0))</f>
        <v/>
      </c>
      <c r="M49" s="11">
        <f>Settings!$B$4+SUM(L$2:L49)</f>
        <v/>
      </c>
    </row>
    <row r="50">
      <c r="L50" s="11">
        <f>IF(K50="W",IF(G50&lt;0,H50*100/ABS(G50),H50*G50/100),IF(K50="L",-H50,0))</f>
        <v/>
      </c>
      <c r="M50" s="11">
        <f>Settings!$B$4+SUM(L$2:L50)</f>
        <v/>
      </c>
    </row>
    <row r="51">
      <c r="L51" s="11">
        <f>IF(K51="W",IF(G51&lt;0,H51*100/ABS(G51),H51*G51/100),IF(K51="L",-H51,0))</f>
        <v/>
      </c>
      <c r="M51" s="11">
        <f>Settings!$B$4+SUM(L$2:L51)</f>
        <v/>
      </c>
    </row>
    <row r="52">
      <c r="L52" s="11">
        <f>IF(K52="W",IF(G52&lt;0,H52*100/ABS(G52),H52*G52/100),IF(K52="L",-H52,0))</f>
        <v/>
      </c>
      <c r="M52" s="11">
        <f>Settings!$B$4+SUM(L$2:L52)</f>
        <v/>
      </c>
    </row>
    <row r="53">
      <c r="L53" s="11">
        <f>IF(K53="W",IF(G53&lt;0,H53*100/ABS(G53),H53*G53/100),IF(K53="L",-H53,0))</f>
        <v/>
      </c>
      <c r="M53" s="11">
        <f>Settings!$B$4+SUM(L$2:L53)</f>
        <v/>
      </c>
    </row>
    <row r="54">
      <c r="L54" s="11">
        <f>IF(K54="W",IF(G54&lt;0,H54*100/ABS(G54),H54*G54/100),IF(K54="L",-H54,0))</f>
        <v/>
      </c>
      <c r="M54" s="11">
        <f>Settings!$B$4+SUM(L$2:L54)</f>
        <v/>
      </c>
    </row>
    <row r="55">
      <c r="L55" s="11">
        <f>IF(K55="W",IF(G55&lt;0,H55*100/ABS(G55),H55*G55/100),IF(K55="L",-H55,0))</f>
        <v/>
      </c>
      <c r="M55" s="11">
        <f>Settings!$B$4+SUM(L$2:L55)</f>
        <v/>
      </c>
    </row>
    <row r="56">
      <c r="L56" s="11">
        <f>IF(K56="W",IF(G56&lt;0,H56*100/ABS(G56),H56*G56/100),IF(K56="L",-H56,0))</f>
        <v/>
      </c>
      <c r="M56" s="11">
        <f>Settings!$B$4+SUM(L$2:L56)</f>
        <v/>
      </c>
    </row>
    <row r="57">
      <c r="L57" s="11">
        <f>IF(K57="W",IF(G57&lt;0,H57*100/ABS(G57),H57*G57/100),IF(K57="L",-H57,0))</f>
        <v/>
      </c>
      <c r="M57" s="11">
        <f>Settings!$B$4+SUM(L$2:L57)</f>
        <v/>
      </c>
    </row>
    <row r="58">
      <c r="L58" s="11">
        <f>IF(K58="W",IF(G58&lt;0,H58*100/ABS(G58),H58*G58/100),IF(K58="L",-H58,0))</f>
        <v/>
      </c>
      <c r="M58" s="11">
        <f>Settings!$B$4+SUM(L$2:L58)</f>
        <v/>
      </c>
    </row>
    <row r="59">
      <c r="L59" s="11">
        <f>IF(K59="W",IF(G59&lt;0,H59*100/ABS(G59),H59*G59/100),IF(K59="L",-H59,0))</f>
        <v/>
      </c>
      <c r="M59" s="11">
        <f>Settings!$B$4+SUM(L$2:L59)</f>
        <v/>
      </c>
    </row>
    <row r="60">
      <c r="L60" s="11">
        <f>IF(K60="W",IF(G60&lt;0,H60*100/ABS(G60),H60*G60/100),IF(K60="L",-H60,0))</f>
        <v/>
      </c>
      <c r="M60" s="11">
        <f>Settings!$B$4+SUM(L$2:L60)</f>
        <v/>
      </c>
    </row>
    <row r="61">
      <c r="L61" s="11">
        <f>IF(K61="W",IF(G61&lt;0,H61*100/ABS(G61),H61*G61/100),IF(K61="L",-H61,0))</f>
        <v/>
      </c>
      <c r="M61" s="11">
        <f>Settings!$B$4+SUM(L$2:L61)</f>
        <v/>
      </c>
    </row>
    <row r="62">
      <c r="A62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L63" s="11">
        <f>IF(K63="W",IF(G63&lt;0,H63*100/ABS(G63),H63*G63/100),IF(K63="L",-H63,0))</f>
        <v/>
      </c>
      <c r="M63" s="11">
        <f>Settings!$B$4+SUM(L$2:L63)</f>
        <v/>
      </c>
    </row>
    <row r="64">
      <c r="L64" s="11">
        <f>IF(K64="W",IF(G64&lt;0,H64*100/ABS(G64),H64*G64/100),IF(K64="L",-H64,0))</f>
        <v/>
      </c>
      <c r="M64" s="11">
        <f>Settings!$B$4+SUM(L$2:L64)</f>
        <v/>
      </c>
    </row>
    <row r="65">
      <c r="L65" s="11">
        <f>IF(K65="W",IF(G65&lt;0,H65*100/ABS(G65),H65*G65/100),IF(K65="L",-H65,0))</f>
        <v/>
      </c>
      <c r="M65" s="11">
        <f>Settings!$B$4+SUM(L$2:L65)</f>
        <v/>
      </c>
    </row>
    <row r="66">
      <c r="L66" s="11">
        <f>IF(K66="W",IF(G66&lt;0,H66*100/ABS(G66),H66*G66/100),IF(K66="L",-H66,0))</f>
        <v/>
      </c>
      <c r="M66" s="11">
        <f>Settings!$B$4+SUM(L$2:L66)</f>
        <v/>
      </c>
    </row>
    <row r="67">
      <c r="L67" s="11">
        <f>IF(K67="W",IF(G67&lt;0,H67*100/ABS(G67),H67*G67/100),IF(K67="L",-H67,0))</f>
        <v/>
      </c>
      <c r="M67" s="11">
        <f>Settings!$B$4+SUM(L$2:L67)</f>
        <v/>
      </c>
    </row>
    <row r="68">
      <c r="L68" s="11">
        <f>IF(K68="W",IF(G68&lt;0,H68*100/ABS(G68),H68*G68/100),IF(K68="L",-H68,0))</f>
        <v/>
      </c>
      <c r="M68" s="11">
        <f>Settings!$B$4+SUM(L$2:L68)</f>
        <v/>
      </c>
    </row>
    <row r="69">
      <c r="L69" s="11">
        <f>IF(K69="W",IF(G69&lt;0,H69*100/ABS(G69),H69*G69/100),IF(K69="L",-H69,0))</f>
        <v/>
      </c>
      <c r="M69" s="11">
        <f>Settings!$B$4+SUM(L$2:L69)</f>
        <v/>
      </c>
    </row>
    <row r="70">
      <c r="L70" s="11">
        <f>IF(K70="W",IF(G70&lt;0,H70*100/ABS(G70),H70*G70/100),IF(K70="L",-H70,0))</f>
        <v/>
      </c>
      <c r="M70" s="11">
        <f>Settings!$B$4+SUM(L$2:L70)</f>
        <v/>
      </c>
    </row>
    <row r="71">
      <c r="L71" s="11">
        <f>IF(K71="W",IF(G71&lt;0,H71*100/ABS(G71),H71*G71/100),IF(K71="L",-H71,0))</f>
        <v/>
      </c>
      <c r="M71" s="11">
        <f>Settings!$B$4+SUM(L$2:L71)</f>
        <v/>
      </c>
    </row>
    <row r="72">
      <c r="L72" s="11">
        <f>IF(K72="W",IF(G72&lt;0,H72*100/ABS(G72),H72*G72/100),IF(K72="L",-H72,0))</f>
        <v/>
      </c>
      <c r="M72" s="11">
        <f>Settings!$B$4+SUM(L$2:L72)</f>
        <v/>
      </c>
    </row>
    <row r="73">
      <c r="L73" s="11">
        <f>IF(K73="W",IF(G73&lt;0,H73*100/ABS(G73),H73*G73/100),IF(K73="L",-H73,0))</f>
        <v/>
      </c>
      <c r="M73" s="11">
        <f>Settings!$B$4+SUM(L$2:L73)</f>
        <v/>
      </c>
    </row>
    <row r="74">
      <c r="L74" s="11">
        <f>IF(K74="W",IF(G74&lt;0,H74*100/ABS(G74),H74*G74/100),IF(K74="L",-H74,0))</f>
        <v/>
      </c>
      <c r="M74" s="11">
        <f>Settings!$B$4+SUM(L$2:L74)</f>
        <v/>
      </c>
    </row>
    <row r="75">
      <c r="L75" s="11">
        <f>IF(K75="W",IF(G75&lt;0,H75*100/ABS(G75),H75*G75/100),IF(K75="L",-H75,0))</f>
        <v/>
      </c>
      <c r="M75" s="11">
        <f>Settings!$B$4+SUM(L$2:L75)</f>
        <v/>
      </c>
    </row>
    <row r="76">
      <c r="L76" s="11">
        <f>IF(K76="W",IF(G76&lt;0,H76*100/ABS(G76),H76*G76/100),IF(K76="L",-H76,0))</f>
        <v/>
      </c>
      <c r="M76" s="11">
        <f>Settings!$B$4+SUM(L$2:L76)</f>
        <v/>
      </c>
    </row>
    <row r="77">
      <c r="L77" s="11">
        <f>IF(K77="W",IF(G77&lt;0,H77*100/ABS(G77),H77*G77/100),IF(K77="L",-H77,0))</f>
        <v/>
      </c>
      <c r="M77" s="11">
        <f>Settings!$B$4+SUM(L$2:L77)</f>
        <v/>
      </c>
    </row>
    <row r="78">
      <c r="L78" s="11">
        <f>IF(K78="W",IF(G78&lt;0,H78*100/ABS(G78),H78*G78/100),IF(K78="L",-H78,0))</f>
        <v/>
      </c>
      <c r="M78" s="11">
        <f>Settings!$B$4+SUM(L$2:L78)</f>
        <v/>
      </c>
    </row>
    <row r="79">
      <c r="L79" s="11">
        <f>IF(K79="W",IF(G79&lt;0,H79*100/ABS(G79),H79*G79/100),IF(K79="L",-H79,0))</f>
        <v/>
      </c>
      <c r="M79" s="11">
        <f>Settings!$B$4+SUM(L$2:L79)</f>
        <v/>
      </c>
    </row>
    <row r="80">
      <c r="L80" s="11">
        <f>IF(K80="W",IF(G80&lt;0,H80*100/ABS(G80),H80*G80/100),IF(K80="L",-H80,0))</f>
        <v/>
      </c>
      <c r="M80" s="11">
        <f>Settings!$B$4+SUM(L$2:L80)</f>
        <v/>
      </c>
    </row>
    <row r="81">
      <c r="L81" s="11">
        <f>IF(K81="W",IF(G81&lt;0,H81*100/ABS(G81),H81*G81/100),IF(K81="L",-H81,0))</f>
        <v/>
      </c>
      <c r="M81" s="11">
        <f>Settings!$B$4+SUM(L$2:L81)</f>
        <v/>
      </c>
    </row>
    <row r="82">
      <c r="L82" s="11">
        <f>IF(K82="W",IF(G82&lt;0,H82*100/ABS(G82),H82*G82/100),IF(K82="L",-H82,0))</f>
        <v/>
      </c>
      <c r="M82" s="11">
        <f>Settings!$B$4+SUM(L$2:L82)</f>
        <v/>
      </c>
    </row>
    <row r="83">
      <c r="L83" s="11">
        <f>IF(K83="W",IF(G83&lt;0,H83*100/ABS(G83),H83*G83/100),IF(K83="L",-H83,0))</f>
        <v/>
      </c>
      <c r="M83" s="11">
        <f>Settings!$B$4+SUM(L$2:L83)</f>
        <v/>
      </c>
    </row>
    <row r="84">
      <c r="L84" s="11">
        <f>IF(K84="W",IF(G84&lt;0,H84*100/ABS(G84),H84*G84/100),IF(K84="L",-H84,0))</f>
        <v/>
      </c>
      <c r="M84" s="11">
        <f>Settings!$B$4+SUM(L$2:L84)</f>
        <v/>
      </c>
    </row>
    <row r="85">
      <c r="L85" s="11">
        <f>IF(K85="W",IF(G85&lt;0,H85*100/ABS(G85),H85*G85/100),IF(K85="L",-H85,0))</f>
        <v/>
      </c>
      <c r="M85" s="11">
        <f>Settings!$B$4+SUM(L$2:L85)</f>
        <v/>
      </c>
    </row>
    <row r="86">
      <c r="L86" s="11">
        <f>IF(K86="W",IF(G86&lt;0,H86*100/ABS(G86),H86*G86/100),IF(K86="L",-H86,0))</f>
        <v/>
      </c>
      <c r="M86" s="11">
        <f>Settings!$B$4+SUM(L$2:L86)</f>
        <v/>
      </c>
    </row>
    <row r="87">
      <c r="L87" s="11">
        <f>IF(K87="W",IF(G87&lt;0,H87*100/ABS(G87),H87*G87/100),IF(K87="L",-H87,0))</f>
        <v/>
      </c>
      <c r="M87" s="11">
        <f>Settings!$B$4+SUM(L$2:L87)</f>
        <v/>
      </c>
    </row>
    <row r="88">
      <c r="L88" s="11">
        <f>IF(K88="W",IF(G88&lt;0,H88*100/ABS(G88),H88*G88/100),IF(K88="L",-H88,0))</f>
        <v/>
      </c>
      <c r="M88" s="11">
        <f>Settings!$B$4+SUM(L$2:L88)</f>
        <v/>
      </c>
    </row>
    <row r="89">
      <c r="L89" s="11">
        <f>IF(K89="W",IF(G89&lt;0,H89*100/ABS(G89),H89*G89/100),IF(K89="L",-H89,0))</f>
        <v/>
      </c>
      <c r="M89" s="11">
        <f>Settings!$B$4+SUM(L$2:L89)</f>
        <v/>
      </c>
    </row>
    <row r="90">
      <c r="L90" s="11">
        <f>IF(K90="W",IF(G90&lt;0,H90*100/ABS(G90),H90*G90/100),IF(K90="L",-H90,0))</f>
        <v/>
      </c>
      <c r="M90" s="11">
        <f>Settings!$B$4+SUM(L$2:L90)</f>
        <v/>
      </c>
    </row>
    <row r="91">
      <c r="L91" s="11">
        <f>IF(K91="W",IF(G91&lt;0,H91*100/ABS(G91),H91*G91/100),IF(K91="L",-H91,0))</f>
        <v/>
      </c>
      <c r="M91" s="11">
        <f>Settings!$B$4+SUM(L$2:L91)</f>
        <v/>
      </c>
    </row>
    <row r="92">
      <c r="L92" s="11">
        <f>IF(K92="W",IF(G92&lt;0,H92*100/ABS(G92),H92*G92/100),IF(K92="L",-H92,0))</f>
        <v/>
      </c>
      <c r="M92" s="11">
        <f>Settings!$B$4+SUM(L$2:L92)</f>
        <v/>
      </c>
    </row>
    <row r="93">
      <c r="L93" s="11">
        <f>IF(K93="W",IF(G93&lt;0,H93*100/ABS(G93),H93*G93/100),IF(K93="L",-H93,0))</f>
        <v/>
      </c>
      <c r="M93" s="11">
        <f>Settings!$B$4+SUM(L$2:L93)</f>
        <v/>
      </c>
    </row>
    <row r="94">
      <c r="L94" s="11">
        <f>IF(K94="W",IF(G94&lt;0,H94*100/ABS(G94),H94*G94/100),IF(K94="L",-H94,0))</f>
        <v/>
      </c>
      <c r="M94" s="11">
        <f>Settings!$B$4+SUM(L$2:L94)</f>
        <v/>
      </c>
    </row>
    <row r="95">
      <c r="L95" s="11">
        <f>IF(K95="W",IF(G95&lt;0,H95*100/ABS(G95),H95*G95/100),IF(K95="L",-H95,0))</f>
        <v/>
      </c>
      <c r="M95" s="11">
        <f>Settings!$B$4+SUM(L$2:L95)</f>
        <v/>
      </c>
    </row>
    <row r="96">
      <c r="L96" s="11">
        <f>IF(K96="W",IF(G96&lt;0,H96*100/ABS(G96),H96*G96/100),IF(K96="L",-H96,0))</f>
        <v/>
      </c>
      <c r="M96" s="11">
        <f>Settings!$B$4+SUM(L$2:L96)</f>
        <v/>
      </c>
    </row>
    <row r="97">
      <c r="L97" s="11">
        <f>IF(K97="W",IF(G97&lt;0,H97*100/ABS(G97),H97*G97/100),IF(K97="L",-H97,0))</f>
        <v/>
      </c>
      <c r="M97" s="11">
        <f>Settings!$B$4+SUM(L$2:L97)</f>
        <v/>
      </c>
    </row>
    <row r="98">
      <c r="L98" s="11">
        <f>IF(K98="W",IF(G98&lt;0,H98*100/ABS(G98),H98*G98/100),IF(K98="L",-H98,0))</f>
        <v/>
      </c>
      <c r="M98" s="11">
        <f>Settings!$B$4+SUM(L$2:L98)</f>
        <v/>
      </c>
    </row>
    <row r="99">
      <c r="L99" s="11">
        <f>IF(K99="W",IF(G99&lt;0,H99*100/ABS(G99),H99*G99/100),IF(K99="L",-H99,0))</f>
        <v/>
      </c>
      <c r="M99" s="11">
        <f>Settings!$B$4+SUM(L$2:L99)</f>
        <v/>
      </c>
    </row>
    <row r="100"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L163" s="11">
        <f>IF(K163="W",IF(G163&lt;0,H163*100/ABS(G163),H163*G163/100),IF(K163="L",-H163,0))</f>
        <v/>
      </c>
      <c r="M163" s="11">
        <f>Settings!$B$4+SUM(L$2:L163)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pane ySplit="1" topLeftCell="A2" activePane="bottomLeft" state="frozen"/>
      <selection pane="bottomLeft" activeCell="D25" sqref="D25"/>
    </sheetView>
  </sheetViews>
  <sheetFormatPr baseColWidth="8" defaultColWidth="8.7109375" defaultRowHeight="15"/>
  <cols>
    <col width="16" customWidth="1" min="1" max="1"/>
    <col width="37" customWidth="1" min="2" max="2"/>
    <col width="7.14062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1748.4</v>
      </c>
      <c r="E2" s="9" t="n">
        <v>4.2</v>
      </c>
      <c r="F2" s="9" t="n">
        <v>0.2002609517831881</v>
      </c>
      <c r="G2" s="9" t="n">
        <v>-0.08468069682844867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1583.6</v>
      </c>
      <c r="E3" s="9" t="n">
        <v>-2.7</v>
      </c>
      <c r="F3" s="9" t="n">
        <v>0.03013079137574626</v>
      </c>
      <c r="G3" s="9" t="n">
        <v>0.1749736433847927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1589.7</v>
      </c>
      <c r="E4" s="9" t="n">
        <v>5</v>
      </c>
      <c r="F4" s="9" t="n">
        <v>0.2398792226531314</v>
      </c>
      <c r="G4" s="9" t="n">
        <v>-0.1015329642420215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1506.1</v>
      </c>
      <c r="E5" s="9" t="n">
        <v>-5.8</v>
      </c>
      <c r="F5" s="9" t="n">
        <v>0.03929231499690881</v>
      </c>
      <c r="G5" s="9" t="n">
        <v>0.2015151012249312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1489.8</v>
      </c>
      <c r="E6" s="9" t="n">
        <v>-0.1</v>
      </c>
      <c r="F6" s="9" t="n">
        <v>0.338359480548565</v>
      </c>
      <c r="G6" s="9" t="n">
        <v>-0.04039565395890091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1417.7</v>
      </c>
      <c r="E7" s="9" t="n">
        <v>-13.7</v>
      </c>
      <c r="F7" s="9" t="n">
        <v>0.08317358946764059</v>
      </c>
      <c r="G7" s="9" t="n">
        <v>0.1674629735086709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1394.7</v>
      </c>
      <c r="E8" s="9" t="n">
        <v>-16.9</v>
      </c>
      <c r="F8" s="9" t="n">
        <v>-0.1927453831838216</v>
      </c>
      <c r="G8" s="9" t="n">
        <v>0.02562052620265337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1451.7</v>
      </c>
      <c r="E9" s="9" t="n">
        <v>-12.5</v>
      </c>
      <c r="F9" s="9" t="n">
        <v>0.203967017726322</v>
      </c>
      <c r="G9" s="9" t="n">
        <v>0.1500243787948437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1411.8</v>
      </c>
      <c r="E10" s="9" t="n">
        <v>-7.6</v>
      </c>
      <c r="F10" s="9" t="n">
        <v>0.2050857447960789</v>
      </c>
      <c r="G10" s="9" t="n">
        <v>0.09970684340957239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1382.6</v>
      </c>
      <c r="E11" s="9" t="n">
        <v>-16.2</v>
      </c>
      <c r="F11" s="9" t="n">
        <v>0.02348707331145269</v>
      </c>
      <c r="G11" s="9" t="n">
        <v>0.2115799586162578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18" customWidth="1" min="4" max="4"/>
    <col width="18" customWidth="1" min="5" max="5"/>
    <col width="11" customWidth="1" min="6" max="6"/>
    <col width="11" customWidth="1" min="7" max="7"/>
    <col width="10" customWidth="1" min="8" max="8"/>
    <col width="15" customWidth="1" min="9" max="9"/>
    <col width="11" customWidth="1" min="10" max="10"/>
    <col width="11" customWidth="1" min="11" max="11"/>
    <col width="10" customWidth="1" min="12" max="12"/>
    <col width="15" customWidth="1" min="13" max="13"/>
    <col width="11" customWidth="1" min="14" max="14"/>
    <col width="11" customWidth="1" min="15" max="15"/>
    <col width="10" customWidth="1" min="16" max="16"/>
    <col width="15" customWidth="1" min="17" max="17"/>
    <col width="17" customWidth="1" min="18" max="18"/>
    <col width="20" customWidth="1" min="19" max="19"/>
    <col width="15" customWidth="1" min="20" max="20"/>
    <col width="15" customWidth="1" min="21" max="21"/>
    <col width="15" customWidth="1" min="22" max="22"/>
    <col width="15" customWidth="1" min="23" max="23"/>
  </cols>
  <sheetData>
    <row r="1">
      <c r="A1" s="19" t="inlineStr">
        <is>
          <t>Dub Gamma vs. Ridge vs. XGBoost -- Model Comparison</t>
        </is>
      </c>
    </row>
    <row r="2">
      <c r="A2" s="20" t="inlineStr">
        <is>
          <t>Informational only. The Dub Gamma Model (Sonny-Moore-seeded) is the live model everywhere else in this workbook and on the website -- Ridge and XGBoost are candidates being evaluated here, not replacements. Gamma has no rating (and so no prediction) for any season before it was seeded -- its columns read "n/a" for older games.</t>
        </is>
      </c>
    </row>
    <row r="4">
      <c r="A4" s="21" t="inlineStr">
        <is>
          <t>All-Time (every season in the backtest)</t>
        </is>
      </c>
    </row>
    <row r="5">
      <c r="A5" s="22" t="inlineStr">
        <is>
          <t>Model</t>
        </is>
      </c>
      <c r="B5" s="22" t="inlineStr">
        <is>
          <t>Games Graded</t>
        </is>
      </c>
      <c r="C5" s="22" t="inlineStr">
        <is>
          <t>Picks Graded</t>
        </is>
      </c>
      <c r="D5" s="22" t="inlineStr">
        <is>
          <t>Wins</t>
        </is>
      </c>
      <c r="E5" s="22" t="inlineStr">
        <is>
          <t>Losses</t>
        </is>
      </c>
      <c r="F5" s="22" t="inlineStr">
        <is>
          <t>Pushes</t>
        </is>
      </c>
      <c r="G5" s="22" t="inlineStr">
        <is>
          <t>ATS Win %</t>
        </is>
      </c>
      <c r="H5" s="22" t="inlineStr">
        <is>
          <t>ROI (flat stake)</t>
        </is>
      </c>
      <c r="I5" s="22" t="inlineStr">
        <is>
          <t>Real Edge Bets</t>
        </is>
      </c>
      <c r="J5" s="22" t="inlineStr">
        <is>
          <t>Real Edge Win %</t>
        </is>
      </c>
      <c r="K5" s="22" t="inlineStr">
        <is>
          <t>Tightest Of The Three (CLV)</t>
        </is>
      </c>
      <c r="L5" s="22" t="inlineStr">
        <is>
          <t>CLV Pts (cum.)</t>
        </is>
      </c>
    </row>
    <row r="6">
      <c r="A6" s="23" t="inlineStr">
        <is>
          <t>Dub Gamma Model (live model) -- all FBS</t>
        </is>
      </c>
      <c r="B6" s="23" t="n">
        <v>8618</v>
      </c>
      <c r="C6" s="23" t="n">
        <v>183</v>
      </c>
      <c r="D6" s="23" t="n">
        <v>107</v>
      </c>
      <c r="E6" s="23" t="n">
        <v>76</v>
      </c>
      <c r="F6" s="23" t="n">
        <v>2</v>
      </c>
      <c r="G6" s="23" t="inlineStr">
        <is>
          <t>58.5%</t>
        </is>
      </c>
      <c r="H6" s="23" t="inlineStr">
        <is>
          <t>+11.6%</t>
        </is>
      </c>
      <c r="I6" s="23" t="n">
        <v>155</v>
      </c>
      <c r="J6" s="23" t="inlineStr">
        <is>
          <t>57.8%</t>
        </is>
      </c>
      <c r="K6" s="23" t="inlineStr">
        <is>
          <t>75/185 (41%)</t>
        </is>
      </c>
      <c r="L6" s="23" t="inlineStr">
        <is>
          <t>+731.7</t>
        </is>
      </c>
    </row>
    <row r="7">
      <c r="A7" s="23" t="inlineStr">
        <is>
          <t>Dub Gamma Model (live model) -- MW-involved</t>
        </is>
      </c>
      <c r="B7" s="23" t="n">
        <v>978</v>
      </c>
      <c r="C7" s="23" t="n">
        <v>22</v>
      </c>
      <c r="D7" s="23" t="n">
        <v>16</v>
      </c>
      <c r="E7" s="23" t="n">
        <v>6</v>
      </c>
      <c r="F7" s="23" t="n">
        <v>0</v>
      </c>
      <c r="G7" s="23" t="inlineStr">
        <is>
          <t>72.7%</t>
        </is>
      </c>
      <c r="H7" s="23" t="inlineStr">
        <is>
          <t>+38.8%</t>
        </is>
      </c>
      <c r="I7" s="23" t="n">
        <v>20</v>
      </c>
      <c r="J7" s="23" t="inlineStr">
        <is>
          <t>70.0%</t>
        </is>
      </c>
      <c r="K7" s="23" t="inlineStr">
        <is>
          <t>5/22 (23%)</t>
        </is>
      </c>
      <c r="L7" s="23" t="inlineStr">
        <is>
          <t>+120.7</t>
        </is>
      </c>
    </row>
    <row r="8">
      <c r="A8" s="23" t="inlineStr">
        <is>
          <t>Ridge (candidate) -- all FBS</t>
        </is>
      </c>
      <c r="B8" s="23" t="n">
        <v>8618</v>
      </c>
      <c r="C8" s="23" t="n">
        <v>8548</v>
      </c>
      <c r="D8" s="23" t="n">
        <v>4273</v>
      </c>
      <c r="E8" s="23" t="n">
        <v>4275</v>
      </c>
      <c r="F8" s="23" t="n">
        <v>70</v>
      </c>
      <c r="G8" s="23" t="inlineStr">
        <is>
          <t>50.0%</t>
        </is>
      </c>
      <c r="H8" s="23" t="inlineStr">
        <is>
          <t>-4.6%</t>
        </is>
      </c>
      <c r="I8" s="23" t="n">
        <v>6762</v>
      </c>
      <c r="J8" s="23" t="inlineStr">
        <is>
          <t>49.7%</t>
        </is>
      </c>
      <c r="K8" s="23" t="inlineStr">
        <is>
          <t>4096/8618 (48%)</t>
        </is>
      </c>
      <c r="L8" s="23" t="inlineStr">
        <is>
          <t>+5565.3</t>
        </is>
      </c>
    </row>
    <row r="9">
      <c r="A9" s="23" t="inlineStr">
        <is>
          <t>Ridge (candidate) -- MW-involved</t>
        </is>
      </c>
      <c r="B9" s="23" t="n">
        <v>978</v>
      </c>
      <c r="C9" s="23" t="n">
        <v>966</v>
      </c>
      <c r="D9" s="23" t="n">
        <v>492</v>
      </c>
      <c r="E9" s="23" t="n">
        <v>474</v>
      </c>
      <c r="F9" s="23" t="n">
        <v>12</v>
      </c>
      <c r="G9" s="23" t="inlineStr">
        <is>
          <t>50.9%</t>
        </is>
      </c>
      <c r="H9" s="23" t="inlineStr">
        <is>
          <t>-2.8%</t>
        </is>
      </c>
      <c r="I9" s="23" t="n">
        <v>784</v>
      </c>
      <c r="J9" s="23" t="inlineStr">
        <is>
          <t>49.4%</t>
        </is>
      </c>
      <c r="K9" s="23" t="inlineStr">
        <is>
          <t>461/978 (47%)</t>
        </is>
      </c>
      <c r="L9" s="23" t="inlineStr">
        <is>
          <t>+591.7</t>
        </is>
      </c>
    </row>
    <row r="10">
      <c r="A10" s="23" t="inlineStr">
        <is>
          <t>XGBoost (candidate) -- all FBS</t>
        </is>
      </c>
      <c r="B10" s="23" t="n">
        <v>8618</v>
      </c>
      <c r="C10" s="23" t="n">
        <v>8548</v>
      </c>
      <c r="D10" s="23" t="n">
        <v>4306</v>
      </c>
      <c r="E10" s="23" t="n">
        <v>4242</v>
      </c>
      <c r="F10" s="23" t="n">
        <v>70</v>
      </c>
      <c r="G10" s="23" t="inlineStr">
        <is>
          <t>50.4%</t>
        </is>
      </c>
      <c r="H10" s="23" t="inlineStr">
        <is>
          <t>-3.8%</t>
        </is>
      </c>
      <c r="I10" s="23" t="n">
        <v>6719</v>
      </c>
      <c r="J10" s="23" t="inlineStr">
        <is>
          <t>50.1%</t>
        </is>
      </c>
      <c r="K10" s="23" t="inlineStr">
        <is>
          <t>4447/8618 (52%)</t>
        </is>
      </c>
      <c r="L10" s="23" t="inlineStr">
        <is>
          <t>+539.0</t>
        </is>
      </c>
    </row>
    <row r="11">
      <c r="A11" s="23" t="inlineStr">
        <is>
          <t>XGBoost (candidate) -- MW-involved</t>
        </is>
      </c>
      <c r="B11" s="23" t="n">
        <v>978</v>
      </c>
      <c r="C11" s="23" t="n">
        <v>966</v>
      </c>
      <c r="D11" s="23" t="n">
        <v>487</v>
      </c>
      <c r="E11" s="23" t="n">
        <v>479</v>
      </c>
      <c r="F11" s="23" t="n">
        <v>12</v>
      </c>
      <c r="G11" s="23" t="inlineStr">
        <is>
          <t>50.4%</t>
        </is>
      </c>
      <c r="H11" s="23" t="inlineStr">
        <is>
          <t>-3.8%</t>
        </is>
      </c>
      <c r="I11" s="23" t="n">
        <v>758</v>
      </c>
      <c r="J11" s="23" t="inlineStr">
        <is>
          <t>49.9%</t>
        </is>
      </c>
      <c r="K11" s="23" t="inlineStr">
        <is>
          <t>512/978 (52%)</t>
        </is>
      </c>
      <c r="L11" s="23" t="inlineStr">
        <is>
          <t>+909.2</t>
        </is>
      </c>
    </row>
    <row r="13">
      <c r="A13" s="21" t="inlineStr">
        <is>
          <t>2026 Season Only</t>
        </is>
      </c>
    </row>
    <row r="14">
      <c r="A14" s="22" t="inlineStr">
        <is>
          <t>Model</t>
        </is>
      </c>
      <c r="B14" s="22" t="inlineStr">
        <is>
          <t>Games Graded</t>
        </is>
      </c>
      <c r="C14" s="22" t="inlineStr">
        <is>
          <t>Picks Graded</t>
        </is>
      </c>
      <c r="D14" s="22" t="inlineStr">
        <is>
          <t>Wins</t>
        </is>
      </c>
      <c r="E14" s="22" t="inlineStr">
        <is>
          <t>Losses</t>
        </is>
      </c>
      <c r="F14" s="22" t="inlineStr">
        <is>
          <t>Pushes</t>
        </is>
      </c>
      <c r="G14" s="22" t="inlineStr">
        <is>
          <t>ATS Win %</t>
        </is>
      </c>
      <c r="H14" s="22" t="inlineStr">
        <is>
          <t>ROI (flat stake)</t>
        </is>
      </c>
      <c r="I14" s="22" t="inlineStr">
        <is>
          <t>Real Edge Bets</t>
        </is>
      </c>
      <c r="J14" s="22" t="inlineStr">
        <is>
          <t>Real Edge Win %</t>
        </is>
      </c>
      <c r="K14" s="22" t="inlineStr">
        <is>
          <t>Tightest Of The Three (CLV)</t>
        </is>
      </c>
      <c r="L14" s="22" t="inlineStr">
        <is>
          <t>CLV Pts (cum.)</t>
        </is>
      </c>
    </row>
    <row r="15">
      <c r="A15" s="23" t="inlineStr">
        <is>
          <t>Dub Gamma Model (live model) -- all FBS</t>
        </is>
      </c>
      <c r="B15" s="23" t="n">
        <v>185</v>
      </c>
      <c r="C15" s="23" t="n">
        <v>183</v>
      </c>
      <c r="D15" s="23" t="n">
        <v>107</v>
      </c>
      <c r="E15" s="23" t="n">
        <v>76</v>
      </c>
      <c r="F15" s="23" t="n">
        <v>2</v>
      </c>
      <c r="G15" s="23" t="inlineStr">
        <is>
          <t>58.5%</t>
        </is>
      </c>
      <c r="H15" s="23" t="inlineStr">
        <is>
          <t>+11.6%</t>
        </is>
      </c>
      <c r="I15" s="23" t="n">
        <v>155</v>
      </c>
      <c r="J15" s="23" t="inlineStr">
        <is>
          <t>57.8%</t>
        </is>
      </c>
      <c r="K15" s="23" t="inlineStr">
        <is>
          <t>75/185 (41%)</t>
        </is>
      </c>
      <c r="L15" s="23" t="inlineStr">
        <is>
          <t>+731.7</t>
        </is>
      </c>
    </row>
    <row r="16">
      <c r="A16" s="23" t="inlineStr">
        <is>
          <t>Dub Gamma Model (live model) -- MW-involved</t>
        </is>
      </c>
      <c r="B16" s="23" t="n">
        <v>22</v>
      </c>
      <c r="C16" s="23" t="n">
        <v>22</v>
      </c>
      <c r="D16" s="23" t="n">
        <v>16</v>
      </c>
      <c r="E16" s="23" t="n">
        <v>6</v>
      </c>
      <c r="F16" s="23" t="n">
        <v>0</v>
      </c>
      <c r="G16" s="23" t="inlineStr">
        <is>
          <t>72.7%</t>
        </is>
      </c>
      <c r="H16" s="23" t="inlineStr">
        <is>
          <t>+38.8%</t>
        </is>
      </c>
      <c r="I16" s="23" t="n">
        <v>20</v>
      </c>
      <c r="J16" s="23" t="inlineStr">
        <is>
          <t>70.0%</t>
        </is>
      </c>
      <c r="K16" s="23" t="inlineStr">
        <is>
          <t>5/22 (23%)</t>
        </is>
      </c>
      <c r="L16" s="23" t="inlineStr">
        <is>
          <t>+120.7</t>
        </is>
      </c>
    </row>
    <row r="17">
      <c r="A17" s="23" t="inlineStr">
        <is>
          <t>Ridge (candidate) -- all FBS</t>
        </is>
      </c>
      <c r="B17" s="23" t="n">
        <v>185</v>
      </c>
      <c r="C17" s="23" t="n">
        <v>183</v>
      </c>
      <c r="D17" s="23" t="n">
        <v>78</v>
      </c>
      <c r="E17" s="23" t="n">
        <v>105</v>
      </c>
      <c r="F17" s="23" t="n">
        <v>2</v>
      </c>
      <c r="G17" s="23" t="inlineStr">
        <is>
          <t>42.6%</t>
        </is>
      </c>
      <c r="H17" s="23" t="inlineStr">
        <is>
          <t>-18.6%</t>
        </is>
      </c>
      <c r="I17" s="23" t="n">
        <v>166</v>
      </c>
      <c r="J17" s="23" t="inlineStr">
        <is>
          <t>41.5%</t>
        </is>
      </c>
      <c r="K17" s="23" t="inlineStr">
        <is>
          <t>53/185 (29%)</t>
        </is>
      </c>
      <c r="L17" s="23" t="inlineStr">
        <is>
          <t>-529.7</t>
        </is>
      </c>
    </row>
    <row r="18">
      <c r="A18" s="23" t="inlineStr">
        <is>
          <t>Ridge (candidate) -- MW-involved</t>
        </is>
      </c>
      <c r="B18" s="23" t="n">
        <v>22</v>
      </c>
      <c r="C18" s="23" t="n">
        <v>22</v>
      </c>
      <c r="D18" s="23" t="n">
        <v>11</v>
      </c>
      <c r="E18" s="23" t="n">
        <v>11</v>
      </c>
      <c r="F18" s="23" t="n">
        <v>0</v>
      </c>
      <c r="G18" s="23" t="inlineStr">
        <is>
          <t>50.0%</t>
        </is>
      </c>
      <c r="H18" s="23" t="inlineStr">
        <is>
          <t>-4.5%</t>
        </is>
      </c>
      <c r="I18" s="23" t="n">
        <v>19</v>
      </c>
      <c r="J18" s="23" t="inlineStr">
        <is>
          <t>42.1%</t>
        </is>
      </c>
      <c r="K18" s="23" t="inlineStr">
        <is>
          <t>6/22 (27%)</t>
        </is>
      </c>
      <c r="L18" s="23" t="inlineStr">
        <is>
          <t>+2.0</t>
        </is>
      </c>
    </row>
    <row r="19">
      <c r="A19" s="23" t="inlineStr">
        <is>
          <t>XGBoost (candidate) -- all FBS</t>
        </is>
      </c>
      <c r="B19" s="23" t="n">
        <v>185</v>
      </c>
      <c r="C19" s="23" t="n">
        <v>183</v>
      </c>
      <c r="D19" s="23" t="n">
        <v>86</v>
      </c>
      <c r="E19" s="23" t="n">
        <v>97</v>
      </c>
      <c r="F19" s="23" t="n">
        <v>2</v>
      </c>
      <c r="G19" s="23" t="inlineStr">
        <is>
          <t>47.0%</t>
        </is>
      </c>
      <c r="H19" s="23" t="inlineStr">
        <is>
          <t>-10.3%</t>
        </is>
      </c>
      <c r="I19" s="23" t="n">
        <v>156</v>
      </c>
      <c r="J19" s="23" t="inlineStr">
        <is>
          <t>44.2%</t>
        </is>
      </c>
      <c r="K19" s="23" t="inlineStr">
        <is>
          <t>57/185 (31%)</t>
        </is>
      </c>
      <c r="L19" s="23" t="inlineStr">
        <is>
          <t>-373.3</t>
        </is>
      </c>
    </row>
    <row r="20">
      <c r="A20" s="23" t="inlineStr">
        <is>
          <t>XGBoost (candidate) -- MW-involved</t>
        </is>
      </c>
      <c r="B20" s="23" t="n">
        <v>22</v>
      </c>
      <c r="C20" s="23" t="n">
        <v>22</v>
      </c>
      <c r="D20" s="23" t="n">
        <v>9</v>
      </c>
      <c r="E20" s="23" t="n">
        <v>13</v>
      </c>
      <c r="F20" s="23" t="n">
        <v>0</v>
      </c>
      <c r="G20" s="23" t="inlineStr">
        <is>
          <t>40.9%</t>
        </is>
      </c>
      <c r="H20" s="23" t="inlineStr">
        <is>
          <t>-21.9%</t>
        </is>
      </c>
      <c r="I20" s="23" t="n">
        <v>16</v>
      </c>
      <c r="J20" s="23" t="inlineStr">
        <is>
          <t>25.0%</t>
        </is>
      </c>
      <c r="K20" s="23" t="inlineStr">
        <is>
          <t>11/22 (50%)</t>
        </is>
      </c>
      <c r="L20" s="23" t="inlineStr">
        <is>
          <t>+0.4</t>
        </is>
      </c>
    </row>
    <row r="22">
      <c r="A22" s="20" t="inlineStr">
        <is>
          <t>Ridge and XGBoost (the two candidates) agree with each other in 77.2% of all graded games. Ridge agrees with the live model (Gamma) in 48.1% of games it has a rating for. XGBoost agrees with the live model (Gamma) in 61.6% of games it has a rating for.</t>
        </is>
      </c>
    </row>
    <row r="24">
      <c r="A24" s="21" t="inlineStr">
        <is>
          <t>Upcoming Games -- Ridge vs. XGBoost vs. Dub Gamma (Not Yet Graded)</t>
        </is>
      </c>
    </row>
    <row r="25">
      <c r="A25" s="22" t="inlineStr">
        <is>
          <t>Week</t>
        </is>
      </c>
      <c r="B25" s="22" t="inlineStr">
        <is>
          <t>Matchup</t>
        </is>
      </c>
      <c r="C25" s="22" t="inlineStr">
        <is>
          <t>Market Line (Home)</t>
        </is>
      </c>
      <c r="D25" s="22" t="inlineStr">
        <is>
          <t>Ridge Line</t>
        </is>
      </c>
      <c r="E25" s="22" t="inlineStr">
        <is>
          <t>XGBoost Line</t>
        </is>
      </c>
      <c r="F25" s="22" t="inlineStr">
        <is>
          <t>Gamma Line</t>
        </is>
      </c>
      <c r="G25" s="22" t="inlineStr">
        <is>
          <t>Ridge Lean</t>
        </is>
      </c>
      <c r="H25" s="22" t="inlineStr">
        <is>
          <t>XGBoost Lean</t>
        </is>
      </c>
      <c r="I25" s="22" t="inlineStr">
        <is>
          <t>Gamma Lean</t>
        </is>
      </c>
      <c r="J25" s="22" t="inlineStr">
        <is>
          <t>Ridge/XGBoost Agree?</t>
        </is>
      </c>
      <c r="K25" s="22" t="inlineStr">
        <is>
          <t>Tightest (Live)*</t>
        </is>
      </c>
    </row>
    <row r="26">
      <c r="A26" s="23" t="n">
        <v>3</v>
      </c>
      <c r="B26" s="23" t="inlineStr">
        <is>
          <t>Wyoming @ Central Michigan</t>
        </is>
      </c>
      <c r="C26" s="23" t="inlineStr">
        <is>
          <t>-1.5</t>
        </is>
      </c>
      <c r="D26" s="23" t="inlineStr">
        <is>
          <t>-9.6</t>
        </is>
      </c>
      <c r="E26" s="23" t="inlineStr">
        <is>
          <t>-9.7</t>
        </is>
      </c>
      <c r="F26" s="23" t="inlineStr">
        <is>
          <t>-9.3</t>
        </is>
      </c>
      <c r="G26" s="23" t="inlineStr">
        <is>
          <t>Home</t>
        </is>
      </c>
      <c r="H26" s="23" t="inlineStr">
        <is>
          <t>Home</t>
        </is>
      </c>
      <c r="I26" s="23" t="inlineStr">
        <is>
          <t>Home</t>
        </is>
      </c>
      <c r="J26" s="23" t="inlineStr">
        <is>
          <t>Yes</t>
        </is>
      </c>
      <c r="K26" s="24" t="inlineStr">
        <is>
          <t>Gamma</t>
        </is>
      </c>
    </row>
    <row r="27">
      <c r="A27" s="23" t="n">
        <v>3</v>
      </c>
      <c r="B27" s="23" t="inlineStr">
        <is>
          <t>UTEP @ Michigan</t>
        </is>
      </c>
      <c r="C27" s="23" t="inlineStr">
        <is>
          <t>-35.2</t>
        </is>
      </c>
      <c r="D27" s="23" t="inlineStr">
        <is>
          <t>-35.0</t>
        </is>
      </c>
      <c r="E27" s="23" t="inlineStr">
        <is>
          <t>-32.8</t>
        </is>
      </c>
      <c r="F27" s="23" t="inlineStr">
        <is>
          <t>-29.7</t>
        </is>
      </c>
      <c r="G27" s="23" t="inlineStr">
        <is>
          <t>Away (auto)</t>
        </is>
      </c>
      <c r="H27" s="23" t="inlineStr">
        <is>
          <t>Away</t>
        </is>
      </c>
      <c r="I27" s="23" t="inlineStr">
        <is>
          <t>Away</t>
        </is>
      </c>
      <c r="J27" s="23" t="inlineStr">
        <is>
          <t>Yes</t>
        </is>
      </c>
      <c r="K27" s="24" t="inlineStr">
        <is>
          <t>Ridge</t>
        </is>
      </c>
    </row>
    <row r="28">
      <c r="A28" s="23" t="n">
        <v>3</v>
      </c>
      <c r="B28" s="23" t="inlineStr">
        <is>
          <t>Nevada @ Middle Tennessee</t>
        </is>
      </c>
      <c r="C28" s="23" t="inlineStr">
        <is>
          <t>+3.5</t>
        </is>
      </c>
      <c r="D28" s="23" t="inlineStr">
        <is>
          <t>-3.7</t>
        </is>
      </c>
      <c r="E28" s="23" t="inlineStr">
        <is>
          <t>+2.1</t>
        </is>
      </c>
      <c r="F28" s="23" t="inlineStr">
        <is>
          <t>+2.9</t>
        </is>
      </c>
      <c r="G28" s="23" t="inlineStr">
        <is>
          <t>Home</t>
        </is>
      </c>
      <c r="H28" s="23" t="inlineStr">
        <is>
          <t>Home (auto)</t>
        </is>
      </c>
      <c r="I28" s="23" t="inlineStr">
        <is>
          <t>Home (auto)</t>
        </is>
      </c>
      <c r="J28" s="23" t="inlineStr">
        <is>
          <t>Yes</t>
        </is>
      </c>
      <c r="K28" s="24" t="inlineStr">
        <is>
          <t>Gamma</t>
        </is>
      </c>
    </row>
    <row r="29">
      <c r="A29" s="23" t="n">
        <v>3</v>
      </c>
      <c r="B29" s="23" t="inlineStr">
        <is>
          <t>New Mexico @ Oklahoma</t>
        </is>
      </c>
      <c r="C29" s="23" t="inlineStr">
        <is>
          <t>-23.0</t>
        </is>
      </c>
      <c r="D29" s="23" t="inlineStr">
        <is>
          <t>-14.2</t>
        </is>
      </c>
      <c r="E29" s="23" t="inlineStr">
        <is>
          <t>-15.4</t>
        </is>
      </c>
      <c r="F29" s="23" t="inlineStr">
        <is>
          <t>-10.8</t>
        </is>
      </c>
      <c r="G29" s="23" t="inlineStr">
        <is>
          <t>Away</t>
        </is>
      </c>
      <c r="H29" s="23" t="inlineStr">
        <is>
          <t>Away</t>
        </is>
      </c>
      <c r="I29" s="23" t="inlineStr">
        <is>
          <t>Away</t>
        </is>
      </c>
      <c r="J29" s="23" t="inlineStr">
        <is>
          <t>Yes</t>
        </is>
      </c>
      <c r="K29" s="24" t="inlineStr">
        <is>
          <t>XGBoost</t>
        </is>
      </c>
    </row>
    <row r="30">
      <c r="A30" s="23" t="n">
        <v>3</v>
      </c>
      <c r="B30" s="23" t="inlineStr">
        <is>
          <t>Northern Illinois @ Arizona</t>
        </is>
      </c>
      <c r="C30" s="23" t="inlineStr">
        <is>
          <t>-34.5</t>
        </is>
      </c>
      <c r="D30" s="23" t="inlineStr">
        <is>
          <t>-26.4</t>
        </is>
      </c>
      <c r="E30" s="23" t="inlineStr">
        <is>
          <t>-21.7</t>
        </is>
      </c>
      <c r="F30" s="23" t="inlineStr">
        <is>
          <t>-30.9</t>
        </is>
      </c>
      <c r="G30" s="23" t="inlineStr">
        <is>
          <t>Away</t>
        </is>
      </c>
      <c r="H30" s="23" t="inlineStr">
        <is>
          <t>Away</t>
        </is>
      </c>
      <c r="I30" s="23" t="inlineStr">
        <is>
          <t>Away</t>
        </is>
      </c>
      <c r="J30" s="23" t="inlineStr">
        <is>
          <t>Yes</t>
        </is>
      </c>
      <c r="K30" s="24" t="inlineStr">
        <is>
          <t>Gamma</t>
        </is>
      </c>
    </row>
    <row r="31">
      <c r="A31" s="23" t="n">
        <v>3</v>
      </c>
      <c r="B31" s="23" t="inlineStr">
        <is>
          <t>North Dakota State @ Sacramento State</t>
        </is>
      </c>
      <c r="C31" s="23" t="inlineStr">
        <is>
          <t>+27.8</t>
        </is>
      </c>
      <c r="D31" s="23" t="inlineStr">
        <is>
          <t>+12.6</t>
        </is>
      </c>
      <c r="E31" s="23" t="inlineStr">
        <is>
          <t>+18.0</t>
        </is>
      </c>
      <c r="F31" s="23" t="inlineStr">
        <is>
          <t>+35.9</t>
        </is>
      </c>
      <c r="G31" s="23" t="inlineStr">
        <is>
          <t>Home</t>
        </is>
      </c>
      <c r="H31" s="23" t="inlineStr">
        <is>
          <t>Home</t>
        </is>
      </c>
      <c r="I31" s="23" t="inlineStr">
        <is>
          <t>Away</t>
        </is>
      </c>
      <c r="J31" s="23" t="inlineStr">
        <is>
          <t>Yes</t>
        </is>
      </c>
      <c r="K31" s="24" t="inlineStr">
        <is>
          <t>Gamma</t>
        </is>
      </c>
    </row>
    <row r="32">
      <c r="A32" s="23" t="n">
        <v>3</v>
      </c>
      <c r="B32" s="23" t="inlineStr">
        <is>
          <t>Fresno State @ San José State</t>
        </is>
      </c>
      <c r="C32" s="23" t="inlineStr">
        <is>
          <t>+6.5</t>
        </is>
      </c>
      <c r="D32" s="23" t="inlineStr">
        <is>
          <t>+3.0</t>
        </is>
      </c>
      <c r="E32" s="23" t="inlineStr">
        <is>
          <t>+11.5</t>
        </is>
      </c>
      <c r="F32" s="23" t="inlineStr">
        <is>
          <t>+1.2</t>
        </is>
      </c>
      <c r="G32" s="23" t="inlineStr">
        <is>
          <t>Home</t>
        </is>
      </c>
      <c r="H32" s="23" t="inlineStr">
        <is>
          <t>Away</t>
        </is>
      </c>
      <c r="I32" s="23" t="inlineStr">
        <is>
          <t>Home</t>
        </is>
      </c>
      <c r="J32" s="23" t="inlineStr">
        <is>
          <t>No</t>
        </is>
      </c>
      <c r="K32" s="24" t="inlineStr">
        <is>
          <t>Ridge</t>
        </is>
      </c>
    </row>
    <row r="33">
      <c r="A33" s="20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36">
      <c r="A36" s="21" t="inlineStr">
        <is>
          <t>2026 Mountain West Games -- Game by Game</t>
        </is>
      </c>
    </row>
    <row r="37">
      <c r="A37" s="22" t="inlineStr">
        <is>
          <t>Week</t>
        </is>
      </c>
      <c r="B37" s="22" t="inlineStr">
        <is>
          <t>Matchup</t>
        </is>
      </c>
      <c r="C37" s="22" t="inlineStr">
        <is>
          <t>Final Score</t>
        </is>
      </c>
      <c r="D37" s="22" t="inlineStr">
        <is>
          <t>Vegas Spread (Home)</t>
        </is>
      </c>
      <c r="E37" s="22" t="inlineStr">
        <is>
          <t>Actual Margin (Home)</t>
        </is>
      </c>
      <c r="F37" s="22" t="inlineStr">
        <is>
          <t>Ridge Line</t>
        </is>
      </c>
      <c r="G37" s="22" t="inlineStr">
        <is>
          <t>Ridge Edge</t>
        </is>
      </c>
      <c r="H37" s="22" t="inlineStr">
        <is>
          <t>Ridge Lean</t>
        </is>
      </c>
      <c r="I37" s="22" t="inlineStr">
        <is>
          <t>Ridge Result</t>
        </is>
      </c>
      <c r="J37" s="22" t="inlineStr">
        <is>
          <t>XGBoost Line</t>
        </is>
      </c>
      <c r="K37" s="22" t="inlineStr">
        <is>
          <t>XGBoost Edge</t>
        </is>
      </c>
      <c r="L37" s="22" t="inlineStr">
        <is>
          <t>XGBoost Lean</t>
        </is>
      </c>
      <c r="M37" s="22" t="inlineStr">
        <is>
          <t>XGBoost Result</t>
        </is>
      </c>
      <c r="N37" s="22" t="inlineStr">
        <is>
          <t>Gamma Line</t>
        </is>
      </c>
      <c r="O37" s="22" t="inlineStr">
        <is>
          <t>Gamma Edge</t>
        </is>
      </c>
      <c r="P37" s="22" t="inlineStr">
        <is>
          <t>Gamma Lean</t>
        </is>
      </c>
      <c r="Q37" s="22" t="inlineStr">
        <is>
          <t>Gamma Result</t>
        </is>
      </c>
      <c r="R37" s="22" t="inlineStr">
        <is>
          <t>Ridge/XGBoost Agree?</t>
        </is>
      </c>
      <c r="S37" s="22" t="inlineStr">
        <is>
          <t>Ridge Agrees (w/ Live Model)?</t>
        </is>
      </c>
      <c r="T37" s="22" t="inlineStr">
        <is>
          <t>Tightest CLV Line</t>
        </is>
      </c>
      <c r="U37" s="22" t="inlineStr">
        <is>
          <t>Ridge CLV Pts (Cum.)</t>
        </is>
      </c>
      <c r="V37" s="22" t="inlineStr">
        <is>
          <t>XGBoost CLV Pts (Cum.)</t>
        </is>
      </c>
      <c r="W37" s="22" t="inlineStr">
        <is>
          <t>Gamma CLV Pts (Cum.)</t>
        </is>
      </c>
    </row>
    <row r="38">
      <c r="A38" s="23" t="n">
        <v>1</v>
      </c>
      <c r="B38" s="23" t="inlineStr">
        <is>
          <t>Duquesne @ Air Force</t>
        </is>
      </c>
      <c r="C38" s="23" t="inlineStr">
        <is>
          <t>0-34</t>
        </is>
      </c>
      <c r="D38" s="23" t="inlineStr">
        <is>
          <t>-30.0</t>
        </is>
      </c>
      <c r="E38" s="23" t="inlineStr">
        <is>
          <t>+34.0</t>
        </is>
      </c>
      <c r="F38" s="23" t="inlineStr">
        <is>
          <t>-17.0</t>
        </is>
      </c>
      <c r="G38" s="23" t="inlineStr">
        <is>
          <t>-13.0</t>
        </is>
      </c>
      <c r="H38" s="23" t="inlineStr">
        <is>
          <t>Away</t>
        </is>
      </c>
      <c r="I38" s="25" t="inlineStr">
        <is>
          <t>Loss</t>
        </is>
      </c>
      <c r="J38" s="23" t="inlineStr">
        <is>
          <t>-28.2</t>
        </is>
      </c>
      <c r="K38" s="23" t="inlineStr">
        <is>
          <t>-1.8</t>
        </is>
      </c>
      <c r="L38" s="23" t="inlineStr">
        <is>
          <t>Away</t>
        </is>
      </c>
      <c r="M38" s="25" t="inlineStr">
        <is>
          <t>Loss (no real edge)</t>
        </is>
      </c>
      <c r="N38" s="23" t="inlineStr">
        <is>
          <t>-36.5</t>
        </is>
      </c>
      <c r="O38" s="23" t="inlineStr">
        <is>
          <t>+6.5</t>
        </is>
      </c>
      <c r="P38" s="23" t="inlineStr">
        <is>
          <t>Home</t>
        </is>
      </c>
      <c r="Q38" s="24" t="inlineStr">
        <is>
          <t>Win (seed week)</t>
        </is>
      </c>
      <c r="R38" s="23" t="inlineStr">
        <is>
          <t>Yes</t>
        </is>
      </c>
      <c r="S38" s="23" t="inlineStr">
        <is>
          <t>No</t>
        </is>
      </c>
      <c r="T38" s="24" t="inlineStr">
        <is>
          <t>XGBoost</t>
        </is>
      </c>
      <c r="U38" s="23" t="inlineStr">
        <is>
          <t>-13.0</t>
        </is>
      </c>
      <c r="V38" s="23" t="inlineStr">
        <is>
          <t>-1.8</t>
        </is>
      </c>
      <c r="W38" s="23" t="inlineStr">
        <is>
          <t>+6.5</t>
        </is>
      </c>
    </row>
    <row r="39">
      <c r="A39" s="23" t="n">
        <v>1</v>
      </c>
      <c r="B39" s="23" t="inlineStr">
        <is>
          <t>Wyoming @ Colorado State</t>
        </is>
      </c>
      <c r="C39" s="23" t="inlineStr">
        <is>
          <t>13-35</t>
        </is>
      </c>
      <c r="D39" s="23" t="inlineStr">
        <is>
          <t>-2.8</t>
        </is>
      </c>
      <c r="E39" s="23" t="inlineStr">
        <is>
          <t>+22.0</t>
        </is>
      </c>
      <c r="F39" s="23" t="inlineStr">
        <is>
          <t>-7.8</t>
        </is>
      </c>
      <c r="G39" s="23" t="inlineStr">
        <is>
          <t>+5.1</t>
        </is>
      </c>
      <c r="H39" s="23" t="inlineStr">
        <is>
          <t>Home</t>
        </is>
      </c>
      <c r="I39" s="24" t="inlineStr">
        <is>
          <t>Win</t>
        </is>
      </c>
      <c r="J39" s="23" t="inlineStr">
        <is>
          <t>-3.0</t>
        </is>
      </c>
      <c r="K39" s="23" t="inlineStr">
        <is>
          <t>+0.3</t>
        </is>
      </c>
      <c r="L39" s="23" t="inlineStr">
        <is>
          <t>Home</t>
        </is>
      </c>
      <c r="M39" s="24" t="inlineStr">
        <is>
          <t>Win (no real edge)</t>
        </is>
      </c>
      <c r="N39" s="23" t="inlineStr">
        <is>
          <t>-6.4</t>
        </is>
      </c>
      <c r="O39" s="23" t="inlineStr">
        <is>
          <t>+3.7</t>
        </is>
      </c>
      <c r="P39" s="23" t="inlineStr">
        <is>
          <t>Home</t>
        </is>
      </c>
      <c r="Q39" s="24" t="inlineStr">
        <is>
          <t>Win (seed week)</t>
        </is>
      </c>
      <c r="R39" s="23" t="inlineStr">
        <is>
          <t>Yes</t>
        </is>
      </c>
      <c r="S39" s="23" t="inlineStr">
        <is>
          <t>Yes</t>
        </is>
      </c>
      <c r="T39" s="24" t="inlineStr">
        <is>
          <t>XGBoost</t>
        </is>
      </c>
      <c r="U39" s="23" t="inlineStr">
        <is>
          <t>-7.9</t>
        </is>
      </c>
      <c r="V39" s="23" t="inlineStr">
        <is>
          <t>-1.6</t>
        </is>
      </c>
      <c r="W39" s="23" t="inlineStr">
        <is>
          <t>+10.2</t>
        </is>
      </c>
    </row>
    <row r="40">
      <c r="A40" s="23" t="n">
        <v>1</v>
      </c>
      <c r="B40" s="23" t="inlineStr">
        <is>
          <t>San José State @ Eastern Michigan</t>
        </is>
      </c>
      <c r="C40" s="23" t="inlineStr">
        <is>
          <t>27-21</t>
        </is>
      </c>
      <c r="D40" s="23" t="inlineStr">
        <is>
          <t>-1.5</t>
        </is>
      </c>
      <c r="E40" s="23" t="inlineStr">
        <is>
          <t>-6.0</t>
        </is>
      </c>
      <c r="F40" s="23" t="inlineStr">
        <is>
          <t>-15.8</t>
        </is>
      </c>
      <c r="G40" s="23" t="inlineStr">
        <is>
          <t>+14.3</t>
        </is>
      </c>
      <c r="H40" s="23" t="inlineStr">
        <is>
          <t>Home</t>
        </is>
      </c>
      <c r="I40" s="25" t="inlineStr">
        <is>
          <t>Loss</t>
        </is>
      </c>
      <c r="J40" s="23" t="inlineStr">
        <is>
          <t>-10.6</t>
        </is>
      </c>
      <c r="K40" s="23" t="inlineStr">
        <is>
          <t>+9.1</t>
        </is>
      </c>
      <c r="L40" s="23" t="inlineStr">
        <is>
          <t>Home</t>
        </is>
      </c>
      <c r="M40" s="25" t="inlineStr">
        <is>
          <t>Loss</t>
        </is>
      </c>
      <c r="N40" s="23" t="inlineStr">
        <is>
          <t>+0.5</t>
        </is>
      </c>
      <c r="O40" s="23" t="inlineStr">
        <is>
          <t>-2.0</t>
        </is>
      </c>
      <c r="P40" s="23" t="inlineStr">
        <is>
          <t>Away</t>
        </is>
      </c>
      <c r="Q40" s="24" t="inlineStr">
        <is>
          <t>Win (seed week)</t>
        </is>
      </c>
      <c r="R40" s="23" t="inlineStr">
        <is>
          <t>Yes</t>
        </is>
      </c>
      <c r="S40" s="23" t="inlineStr">
        <is>
          <t>No</t>
        </is>
      </c>
      <c r="T40" s="24" t="inlineStr">
        <is>
          <t>Gamma</t>
        </is>
      </c>
      <c r="U40" s="23" t="inlineStr">
        <is>
          <t>+6.4</t>
        </is>
      </c>
      <c r="V40" s="23" t="inlineStr">
        <is>
          <t>+7.5</t>
        </is>
      </c>
      <c r="W40" s="23" t="inlineStr">
        <is>
          <t>+8.2</t>
        </is>
      </c>
    </row>
    <row r="41">
      <c r="A41" s="23" t="n">
        <v>1</v>
      </c>
      <c r="B41" s="23" t="inlineStr">
        <is>
          <t>UNLV @ Hawai'i</t>
        </is>
      </c>
      <c r="C41" s="23" t="inlineStr">
        <is>
          <t>21-6</t>
        </is>
      </c>
      <c r="D41" s="23" t="inlineStr">
        <is>
          <t>+2.8</t>
        </is>
      </c>
      <c r="E41" s="23" t="inlineStr">
        <is>
          <t>-15.0</t>
        </is>
      </c>
      <c r="F41" s="23" t="inlineStr">
        <is>
          <t>+2.9</t>
        </is>
      </c>
      <c r="G41" s="23" t="inlineStr">
        <is>
          <t>-0.1</t>
        </is>
      </c>
      <c r="H41" s="23" t="inlineStr">
        <is>
          <t>Away</t>
        </is>
      </c>
      <c r="I41" s="24" t="inlineStr">
        <is>
          <t>Win (no real edge)</t>
        </is>
      </c>
      <c r="J41" s="23" t="inlineStr">
        <is>
          <t>-2.2</t>
        </is>
      </c>
      <c r="K41" s="23" t="inlineStr">
        <is>
          <t>+5.0</t>
        </is>
      </c>
      <c r="L41" s="23" t="inlineStr">
        <is>
          <t>Home</t>
        </is>
      </c>
      <c r="M41" s="25" t="inlineStr">
        <is>
          <t>Loss</t>
        </is>
      </c>
      <c r="N41" s="23" t="inlineStr">
        <is>
          <t>+4.4</t>
        </is>
      </c>
      <c r="O41" s="23" t="inlineStr">
        <is>
          <t>-1.6</t>
        </is>
      </c>
      <c r="P41" s="23" t="inlineStr">
        <is>
          <t>Away</t>
        </is>
      </c>
      <c r="Q41" s="24" t="inlineStr">
        <is>
          <t>Win (no real edge) (seed week)</t>
        </is>
      </c>
      <c r="R41" s="23" t="inlineStr">
        <is>
          <t>No</t>
        </is>
      </c>
      <c r="S41" s="23" t="inlineStr">
        <is>
          <t>Yes</t>
        </is>
      </c>
      <c r="T41" s="24" t="inlineStr">
        <is>
          <t>Ridge</t>
        </is>
      </c>
      <c r="U41" s="23" t="inlineStr">
        <is>
          <t>+6.2</t>
        </is>
      </c>
      <c r="V41" s="23" t="inlineStr">
        <is>
          <t>+12.5</t>
        </is>
      </c>
      <c r="W41" s="23" t="inlineStr">
        <is>
          <t>+6.5</t>
        </is>
      </c>
    </row>
    <row r="42">
      <c r="A42" s="23" t="n">
        <v>1</v>
      </c>
      <c r="B42" s="23" t="inlineStr">
        <is>
          <t>Northern Illinois @ Iowa</t>
        </is>
      </c>
      <c r="C42" s="23" t="inlineStr">
        <is>
          <t>0-40</t>
        </is>
      </c>
      <c r="D42" s="23" t="inlineStr">
        <is>
          <t>-31.8</t>
        </is>
      </c>
      <c r="E42" s="23" t="inlineStr">
        <is>
          <t>+40.0</t>
        </is>
      </c>
      <c r="F42" s="23" t="inlineStr">
        <is>
          <t>-28.3</t>
        </is>
      </c>
      <c r="G42" s="23" t="inlineStr">
        <is>
          <t>-3.5</t>
        </is>
      </c>
      <c r="H42" s="23" t="inlineStr">
        <is>
          <t>Away</t>
        </is>
      </c>
      <c r="I42" s="25" t="inlineStr">
        <is>
          <t>Loss</t>
        </is>
      </c>
      <c r="J42" s="23" t="inlineStr">
        <is>
          <t>-25.0</t>
        </is>
      </c>
      <c r="K42" s="23" t="inlineStr">
        <is>
          <t>-6.7</t>
        </is>
      </c>
      <c r="L42" s="23" t="inlineStr">
        <is>
          <t>Away</t>
        </is>
      </c>
      <c r="M42" s="25" t="inlineStr">
        <is>
          <t>Loss</t>
        </is>
      </c>
      <c r="N42" s="23" t="inlineStr">
        <is>
          <t>-41.0</t>
        </is>
      </c>
      <c r="O42" s="23" t="inlineStr">
        <is>
          <t>+9.2</t>
        </is>
      </c>
      <c r="P42" s="23" t="inlineStr">
        <is>
          <t>Home</t>
        </is>
      </c>
      <c r="Q42" s="24" t="inlineStr">
        <is>
          <t>Win (seed week)</t>
        </is>
      </c>
      <c r="R42" s="23" t="inlineStr">
        <is>
          <t>Yes</t>
        </is>
      </c>
      <c r="S42" s="23" t="inlineStr">
        <is>
          <t>No</t>
        </is>
      </c>
      <c r="T42" s="24" t="inlineStr">
        <is>
          <t>Ridge</t>
        </is>
      </c>
      <c r="U42" s="23" t="inlineStr">
        <is>
          <t>+2.8</t>
        </is>
      </c>
      <c r="V42" s="23" t="inlineStr">
        <is>
          <t>+5.8</t>
        </is>
      </c>
      <c r="W42" s="23" t="inlineStr">
        <is>
          <t>+15.8</t>
        </is>
      </c>
    </row>
    <row r="43">
      <c r="A43" s="23" t="n">
        <v>1</v>
      </c>
      <c r="B43" s="23" t="inlineStr">
        <is>
          <t>Western Kentucky @ Nevada</t>
        </is>
      </c>
      <c r="C43" s="23" t="inlineStr">
        <is>
          <t>14-49</t>
        </is>
      </c>
      <c r="D43" s="23" t="inlineStr">
        <is>
          <t>+0.2</t>
        </is>
      </c>
      <c r="E43" s="23" t="inlineStr">
        <is>
          <t>+35.0</t>
        </is>
      </c>
      <c r="F43" s="23" t="inlineStr">
        <is>
          <t>+3.3</t>
        </is>
      </c>
      <c r="G43" s="23" t="inlineStr">
        <is>
          <t>-3.0</t>
        </is>
      </c>
      <c r="H43" s="23" t="inlineStr">
        <is>
          <t>Away</t>
        </is>
      </c>
      <c r="I43" s="25" t="inlineStr">
        <is>
          <t>Loss</t>
        </is>
      </c>
      <c r="J43" s="23" t="inlineStr">
        <is>
          <t>+6.6</t>
        </is>
      </c>
      <c r="K43" s="23" t="inlineStr">
        <is>
          <t>-6.4</t>
        </is>
      </c>
      <c r="L43" s="23" t="inlineStr">
        <is>
          <t>Away</t>
        </is>
      </c>
      <c r="M43" s="25" t="inlineStr">
        <is>
          <t>Loss</t>
        </is>
      </c>
      <c r="N43" s="23" t="inlineStr">
        <is>
          <t>-2.5</t>
        </is>
      </c>
      <c r="O43" s="23" t="inlineStr">
        <is>
          <t>+2.7</t>
        </is>
      </c>
      <c r="P43" s="23" t="inlineStr">
        <is>
          <t>Home</t>
        </is>
      </c>
      <c r="Q43" s="24" t="inlineStr">
        <is>
          <t>Win (seed week)</t>
        </is>
      </c>
      <c r="R43" s="23" t="inlineStr">
        <is>
          <t>Yes</t>
        </is>
      </c>
      <c r="S43" s="23" t="inlineStr">
        <is>
          <t>No</t>
        </is>
      </c>
      <c r="T43" s="24" t="inlineStr">
        <is>
          <t>Gamma</t>
        </is>
      </c>
      <c r="U43" s="23" t="inlineStr">
        <is>
          <t>-0.3</t>
        </is>
      </c>
      <c r="V43" s="23" t="inlineStr">
        <is>
          <t>-0.6</t>
        </is>
      </c>
      <c r="W43" s="23" t="inlineStr">
        <is>
          <t>+18.5</t>
        </is>
      </c>
    </row>
    <row r="44">
      <c r="A44" s="23" t="n">
        <v>1</v>
      </c>
      <c r="B44" s="23" t="inlineStr">
        <is>
          <t>Central Michigan @ New Mexico</t>
        </is>
      </c>
      <c r="C44" s="23" t="inlineStr">
        <is>
          <t>7-38</t>
        </is>
      </c>
      <c r="D44" s="23" t="inlineStr">
        <is>
          <t>-11.2</t>
        </is>
      </c>
      <c r="E44" s="23" t="inlineStr">
        <is>
          <t>+31.0</t>
        </is>
      </c>
      <c r="F44" s="23" t="inlineStr">
        <is>
          <t>-17.5</t>
        </is>
      </c>
      <c r="G44" s="23" t="inlineStr">
        <is>
          <t>+6.2</t>
        </is>
      </c>
      <c r="H44" s="23" t="inlineStr">
        <is>
          <t>Home</t>
        </is>
      </c>
      <c r="I44" s="24" t="inlineStr">
        <is>
          <t>Win</t>
        </is>
      </c>
      <c r="J44" s="23" t="inlineStr">
        <is>
          <t>-11.5</t>
        </is>
      </c>
      <c r="K44" s="23" t="inlineStr">
        <is>
          <t>+0.3</t>
        </is>
      </c>
      <c r="L44" s="23" t="inlineStr">
        <is>
          <t>Home</t>
        </is>
      </c>
      <c r="M44" s="24" t="inlineStr">
        <is>
          <t>Win (no real edge)</t>
        </is>
      </c>
      <c r="N44" s="23" t="inlineStr">
        <is>
          <t>-15.6</t>
        </is>
      </c>
      <c r="O44" s="23" t="inlineStr">
        <is>
          <t>+4.3</t>
        </is>
      </c>
      <c r="P44" s="23" t="inlineStr">
        <is>
          <t>Home</t>
        </is>
      </c>
      <c r="Q44" s="24" t="inlineStr">
        <is>
          <t>Win (seed week)</t>
        </is>
      </c>
      <c r="R44" s="23" t="inlineStr">
        <is>
          <t>Yes</t>
        </is>
      </c>
      <c r="S44" s="23" t="inlineStr">
        <is>
          <t>Yes</t>
        </is>
      </c>
      <c r="T44" s="24" t="inlineStr">
        <is>
          <t>XGBoost</t>
        </is>
      </c>
      <c r="U44" s="23" t="inlineStr">
        <is>
          <t>+5.9</t>
        </is>
      </c>
      <c r="V44" s="23" t="inlineStr">
        <is>
          <t>-0.3</t>
        </is>
      </c>
      <c r="W44" s="23" t="inlineStr">
        <is>
          <t>+22.9</t>
        </is>
      </c>
    </row>
    <row r="45">
      <c r="A45" s="23" t="n">
        <v>1</v>
      </c>
      <c r="B45" s="23" t="inlineStr">
        <is>
          <t>Fordham @ North Dakota State</t>
        </is>
      </c>
      <c r="C45" s="23" t="inlineStr">
        <is>
          <t>0-38</t>
        </is>
      </c>
      <c r="D45" s="23" t="inlineStr">
        <is>
          <t>-41.5</t>
        </is>
      </c>
      <c r="E45" s="23" t="inlineStr">
        <is>
          <t>+38.0</t>
        </is>
      </c>
      <c r="F45" s="23" t="inlineStr">
        <is>
          <t>-40.9</t>
        </is>
      </c>
      <c r="G45" s="23" t="inlineStr">
        <is>
          <t>-0.6</t>
        </is>
      </c>
      <c r="H45" s="23" t="inlineStr">
        <is>
          <t>Away</t>
        </is>
      </c>
      <c r="I45" s="24" t="inlineStr">
        <is>
          <t>Win (no real edge)</t>
        </is>
      </c>
      <c r="J45" s="23" t="inlineStr">
        <is>
          <t>-34.9</t>
        </is>
      </c>
      <c r="K45" s="23" t="inlineStr">
        <is>
          <t>-6.6</t>
        </is>
      </c>
      <c r="L45" s="23" t="inlineStr">
        <is>
          <t>Away</t>
        </is>
      </c>
      <c r="M45" s="24" t="inlineStr">
        <is>
          <t>Win</t>
        </is>
      </c>
      <c r="N45" s="23" t="inlineStr">
        <is>
          <t>-58.5</t>
        </is>
      </c>
      <c r="O45" s="23" t="inlineStr">
        <is>
          <t>+17.0</t>
        </is>
      </c>
      <c r="P45" s="23" t="inlineStr">
        <is>
          <t>Home</t>
        </is>
      </c>
      <c r="Q45" s="25" t="inlineStr">
        <is>
          <t>Loss (seed week)</t>
        </is>
      </c>
      <c r="R45" s="23" t="inlineStr">
        <is>
          <t>Yes</t>
        </is>
      </c>
      <c r="S45" s="23" t="inlineStr">
        <is>
          <t>No</t>
        </is>
      </c>
      <c r="T45" s="24" t="inlineStr">
        <is>
          <t>Ridge</t>
        </is>
      </c>
      <c r="U45" s="23" t="inlineStr">
        <is>
          <t>+5.3</t>
        </is>
      </c>
      <c r="V45" s="23" t="inlineStr">
        <is>
          <t>-6.9</t>
        </is>
      </c>
      <c r="W45" s="23" t="inlineStr">
        <is>
          <t>+39.8</t>
        </is>
      </c>
    </row>
    <row r="46">
      <c r="A46" s="23" t="n">
        <v>1</v>
      </c>
      <c r="B46" s="23" t="inlineStr">
        <is>
          <t>Jacksonville State @ North Dakota State</t>
        </is>
      </c>
      <c r="C46" s="23" t="inlineStr">
        <is>
          <t>7-33</t>
        </is>
      </c>
      <c r="D46" s="23" t="inlineStr">
        <is>
          <t>-6.8</t>
        </is>
      </c>
      <c r="E46" s="23" t="inlineStr">
        <is>
          <t>+26.0</t>
        </is>
      </c>
      <c r="F46" s="23" t="inlineStr">
        <is>
          <t>-18.4</t>
        </is>
      </c>
      <c r="G46" s="23" t="inlineStr">
        <is>
          <t>+11.6</t>
        </is>
      </c>
      <c r="H46" s="23" t="inlineStr">
        <is>
          <t>Home</t>
        </is>
      </c>
      <c r="I46" s="24" t="inlineStr">
        <is>
          <t>Win</t>
        </is>
      </c>
      <c r="J46" s="23" t="inlineStr">
        <is>
          <t>-14.8</t>
        </is>
      </c>
      <c r="K46" s="23" t="inlineStr">
        <is>
          <t>+8.0</t>
        </is>
      </c>
      <c r="L46" s="23" t="inlineStr">
        <is>
          <t>Home</t>
        </is>
      </c>
      <c r="M46" s="24" t="inlineStr">
        <is>
          <t>Win</t>
        </is>
      </c>
      <c r="N46" s="23" t="inlineStr">
        <is>
          <t>-25.5</t>
        </is>
      </c>
      <c r="O46" s="23" t="inlineStr">
        <is>
          <t>+18.7</t>
        </is>
      </c>
      <c r="P46" s="23" t="inlineStr">
        <is>
          <t>Home</t>
        </is>
      </c>
      <c r="Q46" s="24" t="inlineStr">
        <is>
          <t>Win (seed week)</t>
        </is>
      </c>
      <c r="R46" s="23" t="inlineStr">
        <is>
          <t>Yes</t>
        </is>
      </c>
      <c r="S46" s="23" t="inlineStr">
        <is>
          <t>Yes</t>
        </is>
      </c>
      <c r="T46" s="24" t="inlineStr">
        <is>
          <t>XGBoost</t>
        </is>
      </c>
      <c r="U46" s="23" t="inlineStr">
        <is>
          <t>+16.9</t>
        </is>
      </c>
      <c r="V46" s="23" t="inlineStr">
        <is>
          <t>+1.2</t>
        </is>
      </c>
      <c r="W46" s="23" t="inlineStr">
        <is>
          <t>+58.5</t>
        </is>
      </c>
    </row>
    <row r="47">
      <c r="A47" s="23" t="n">
        <v>1</v>
      </c>
      <c r="B47" s="23" t="inlineStr">
        <is>
          <t>UTEP @ Oklahoma</t>
        </is>
      </c>
      <c r="C47" s="23" t="inlineStr">
        <is>
          <t>0-51</t>
        </is>
      </c>
      <c r="D47" s="23" t="inlineStr">
        <is>
          <t>-40.8</t>
        </is>
      </c>
      <c r="E47" s="23" t="inlineStr">
        <is>
          <t>+51.0</t>
        </is>
      </c>
      <c r="F47" s="23" t="inlineStr">
        <is>
          <t>-34.8</t>
        </is>
      </c>
      <c r="G47" s="23" t="inlineStr">
        <is>
          <t>-5.9</t>
        </is>
      </c>
      <c r="H47" s="23" t="inlineStr">
        <is>
          <t>Away</t>
        </is>
      </c>
      <c r="I47" s="25" t="inlineStr">
        <is>
          <t>Loss</t>
        </is>
      </c>
      <c r="J47" s="23" t="inlineStr">
        <is>
          <t>-31.7</t>
        </is>
      </c>
      <c r="K47" s="23" t="inlineStr">
        <is>
          <t>-9.0</t>
        </is>
      </c>
      <c r="L47" s="23" t="inlineStr">
        <is>
          <t>Away</t>
        </is>
      </c>
      <c r="M47" s="25" t="inlineStr">
        <is>
          <t>Loss</t>
        </is>
      </c>
      <c r="N47" s="23" t="inlineStr">
        <is>
          <t>-44.4</t>
        </is>
      </c>
      <c r="O47" s="23" t="inlineStr">
        <is>
          <t>+3.6</t>
        </is>
      </c>
      <c r="P47" s="23" t="inlineStr">
        <is>
          <t>Home</t>
        </is>
      </c>
      <c r="Q47" s="24" t="inlineStr">
        <is>
          <t>Win (seed week)</t>
        </is>
      </c>
      <c r="R47" s="23" t="inlineStr">
        <is>
          <t>Yes</t>
        </is>
      </c>
      <c r="S47" s="23" t="inlineStr">
        <is>
          <t>No</t>
        </is>
      </c>
      <c r="T47" s="24" t="inlineStr">
        <is>
          <t>Gamma</t>
        </is>
      </c>
      <c r="U47" s="23" t="inlineStr">
        <is>
          <t>+11.0</t>
        </is>
      </c>
      <c r="V47" s="23" t="inlineStr">
        <is>
          <t>-7.8</t>
        </is>
      </c>
      <c r="W47" s="23" t="inlineStr">
        <is>
          <t>+62.1</t>
        </is>
      </c>
    </row>
    <row r="48">
      <c r="A48" s="23" t="n">
        <v>1</v>
      </c>
      <c r="B48" s="23" t="inlineStr">
        <is>
          <t>Hawai'i @ Stanford</t>
        </is>
      </c>
      <c r="C48" s="23" t="inlineStr">
        <is>
          <t>27-37</t>
        </is>
      </c>
      <c r="D48" s="23" t="inlineStr">
        <is>
          <t>-4.8</t>
        </is>
      </c>
      <c r="E48" s="23" t="inlineStr">
        <is>
          <t>+10.0</t>
        </is>
      </c>
      <c r="F48" s="23" t="inlineStr">
        <is>
          <t>-1.5</t>
        </is>
      </c>
      <c r="G48" s="23" t="inlineStr">
        <is>
          <t>-3.3</t>
        </is>
      </c>
      <c r="H48" s="23" t="inlineStr">
        <is>
          <t>Away</t>
        </is>
      </c>
      <c r="I48" s="25" t="inlineStr">
        <is>
          <t>Loss</t>
        </is>
      </c>
      <c r="J48" s="23" t="inlineStr">
        <is>
          <t>-0.1</t>
        </is>
      </c>
      <c r="K48" s="23" t="inlineStr">
        <is>
          <t>-4.7</t>
        </is>
      </c>
      <c r="L48" s="23" t="inlineStr">
        <is>
          <t>Away</t>
        </is>
      </c>
      <c r="M48" s="25" t="inlineStr">
        <is>
          <t>Loss</t>
        </is>
      </c>
      <c r="N48" s="23" t="inlineStr">
        <is>
          <t>-11.2</t>
        </is>
      </c>
      <c r="O48" s="23" t="inlineStr">
        <is>
          <t>+6.4</t>
        </is>
      </c>
      <c r="P48" s="23" t="inlineStr">
        <is>
          <t>Home</t>
        </is>
      </c>
      <c r="Q48" s="24" t="inlineStr">
        <is>
          <t>Win (seed week)</t>
        </is>
      </c>
      <c r="R48" s="23" t="inlineStr">
        <is>
          <t>Yes</t>
        </is>
      </c>
      <c r="S48" s="23" t="inlineStr">
        <is>
          <t>No</t>
        </is>
      </c>
      <c r="T48" s="24" t="inlineStr">
        <is>
          <t>Ridge</t>
        </is>
      </c>
      <c r="U48" s="23" t="inlineStr">
        <is>
          <t>+7.7</t>
        </is>
      </c>
      <c r="V48" s="23" t="inlineStr">
        <is>
          <t>-12.5</t>
        </is>
      </c>
      <c r="W48" s="23" t="inlineStr">
        <is>
          <t>+68.5</t>
        </is>
      </c>
    </row>
    <row r="49">
      <c r="A49" s="23" t="n">
        <v>1</v>
      </c>
      <c r="B49" s="23" t="inlineStr">
        <is>
          <t>Memphis @ UNLV</t>
        </is>
      </c>
      <c r="C49" s="23" t="inlineStr">
        <is>
          <t>27-21</t>
        </is>
      </c>
      <c r="D49" s="23" t="inlineStr">
        <is>
          <t>-4.8</t>
        </is>
      </c>
      <c r="E49" s="23" t="inlineStr">
        <is>
          <t>-6.0</t>
        </is>
      </c>
      <c r="F49" s="23" t="inlineStr">
        <is>
          <t>-10.9</t>
        </is>
      </c>
      <c r="G49" s="23" t="inlineStr">
        <is>
          <t>+6.2</t>
        </is>
      </c>
      <c r="H49" s="23" t="inlineStr">
        <is>
          <t>Home</t>
        </is>
      </c>
      <c r="I49" s="25" t="inlineStr">
        <is>
          <t>Loss</t>
        </is>
      </c>
      <c r="J49" s="23" t="inlineStr">
        <is>
          <t>-7.3</t>
        </is>
      </c>
      <c r="K49" s="23" t="inlineStr">
        <is>
          <t>+2.6</t>
        </is>
      </c>
      <c r="L49" s="23" t="inlineStr">
        <is>
          <t>Home</t>
        </is>
      </c>
      <c r="M49" s="25" t="inlineStr">
        <is>
          <t>Loss</t>
        </is>
      </c>
      <c r="N49" s="23" t="inlineStr">
        <is>
          <t>+1.6</t>
        </is>
      </c>
      <c r="O49" s="23" t="inlineStr">
        <is>
          <t>-6.3</t>
        </is>
      </c>
      <c r="P49" s="23" t="inlineStr">
        <is>
          <t>Away</t>
        </is>
      </c>
      <c r="Q49" s="24" t="inlineStr">
        <is>
          <t>Win (seed week)</t>
        </is>
      </c>
      <c r="R49" s="23" t="inlineStr">
        <is>
          <t>Yes</t>
        </is>
      </c>
      <c r="S49" s="23" t="inlineStr">
        <is>
          <t>No</t>
        </is>
      </c>
      <c r="T49" s="24" t="inlineStr">
        <is>
          <t>XGBoost</t>
        </is>
      </c>
      <c r="U49" s="23" t="inlineStr">
        <is>
          <t>+13.9</t>
        </is>
      </c>
      <c r="V49" s="23" t="inlineStr">
        <is>
          <t>-9.9</t>
        </is>
      </c>
      <c r="W49" s="23" t="inlineStr">
        <is>
          <t>+62.2</t>
        </is>
      </c>
    </row>
    <row r="50">
      <c r="A50" s="23" t="n">
        <v>1</v>
      </c>
      <c r="B50" s="23" t="inlineStr">
        <is>
          <t>San José State @ USC</t>
        </is>
      </c>
      <c r="C50" s="23" t="inlineStr">
        <is>
          <t>26-42</t>
        </is>
      </c>
      <c r="D50" s="23" t="inlineStr">
        <is>
          <t>-37.2</t>
        </is>
      </c>
      <c r="E50" s="23" t="inlineStr">
        <is>
          <t>+16.0</t>
        </is>
      </c>
      <c r="F50" s="23" t="inlineStr">
        <is>
          <t>-34.6</t>
        </is>
      </c>
      <c r="G50" s="23" t="inlineStr">
        <is>
          <t>-2.7</t>
        </is>
      </c>
      <c r="H50" s="23" t="inlineStr">
        <is>
          <t>Away</t>
        </is>
      </c>
      <c r="I50" s="24" t="inlineStr">
        <is>
          <t>Win</t>
        </is>
      </c>
      <c r="J50" s="23" t="inlineStr">
        <is>
          <t>-35.6</t>
        </is>
      </c>
      <c r="K50" s="23" t="inlineStr">
        <is>
          <t>-1.6</t>
        </is>
      </c>
      <c r="L50" s="23" t="inlineStr">
        <is>
          <t>Away</t>
        </is>
      </c>
      <c r="M50" s="24" t="inlineStr">
        <is>
          <t>Win (no real edge)</t>
        </is>
      </c>
      <c r="N50" s="23" t="inlineStr">
        <is>
          <t>-30.3</t>
        </is>
      </c>
      <c r="O50" s="23" t="inlineStr">
        <is>
          <t>-7.0</t>
        </is>
      </c>
      <c r="P50" s="23" t="inlineStr">
        <is>
          <t>Away</t>
        </is>
      </c>
      <c r="Q50" s="24" t="inlineStr">
        <is>
          <t>Win (seed week)</t>
        </is>
      </c>
      <c r="R50" s="23" t="inlineStr">
        <is>
          <t>Yes</t>
        </is>
      </c>
      <c r="S50" s="23" t="inlineStr">
        <is>
          <t>Yes</t>
        </is>
      </c>
      <c r="T50" s="24" t="inlineStr">
        <is>
          <t>XGBoost</t>
        </is>
      </c>
      <c r="U50" s="23" t="inlineStr">
        <is>
          <t>+11.2</t>
        </is>
      </c>
      <c r="V50" s="23" t="inlineStr">
        <is>
          <t>-11.6</t>
        </is>
      </c>
      <c r="W50" s="23" t="inlineStr">
        <is>
          <t>+55.2</t>
        </is>
      </c>
    </row>
    <row r="51">
      <c r="A51" s="23" t="n">
        <v>2</v>
      </c>
      <c r="B51" s="23" t="inlineStr">
        <is>
          <t>North Dakota State @ Air Force</t>
        </is>
      </c>
      <c r="C51" s="23" t="inlineStr">
        <is>
          <t>38-32</t>
        </is>
      </c>
      <c r="D51" s="23" t="inlineStr">
        <is>
          <t>+1.8</t>
        </is>
      </c>
      <c r="E51" s="23" t="inlineStr">
        <is>
          <t>-6.0</t>
        </is>
      </c>
      <c r="F51" s="23" t="inlineStr">
        <is>
          <t>+17.0</t>
        </is>
      </c>
      <c r="G51" s="23" t="inlineStr">
        <is>
          <t>-15.3</t>
        </is>
      </c>
      <c r="H51" s="23" t="inlineStr">
        <is>
          <t>Away</t>
        </is>
      </c>
      <c r="I51" s="24" t="inlineStr">
        <is>
          <t>Win</t>
        </is>
      </c>
      <c r="J51" s="23" t="inlineStr">
        <is>
          <t>+13.8</t>
        </is>
      </c>
      <c r="K51" s="23" t="inlineStr">
        <is>
          <t>-12.0</t>
        </is>
      </c>
      <c r="L51" s="23" t="inlineStr">
        <is>
          <t>Away</t>
        </is>
      </c>
      <c r="M51" s="24" t="inlineStr">
        <is>
          <t>Win</t>
        </is>
      </c>
      <c r="N51" s="23" t="inlineStr">
        <is>
          <t>+17.9</t>
        </is>
      </c>
      <c r="O51" s="23" t="inlineStr">
        <is>
          <t>-16.2</t>
        </is>
      </c>
      <c r="P51" s="23" t="inlineStr">
        <is>
          <t>Away</t>
        </is>
      </c>
      <c r="Q51" s="24" t="inlineStr">
        <is>
          <t>Win</t>
        </is>
      </c>
      <c r="R51" s="23" t="inlineStr">
        <is>
          <t>Yes</t>
        </is>
      </c>
      <c r="S51" s="23" t="inlineStr">
        <is>
          <t>Yes</t>
        </is>
      </c>
      <c r="T51" s="24" t="inlineStr">
        <is>
          <t>XGBoost</t>
        </is>
      </c>
      <c r="U51" s="23" t="inlineStr">
        <is>
          <t>-4.1</t>
        </is>
      </c>
      <c r="V51" s="23" t="inlineStr">
        <is>
          <t>-23.6</t>
        </is>
      </c>
      <c r="W51" s="23" t="inlineStr">
        <is>
          <t>+39.0</t>
        </is>
      </c>
    </row>
    <row r="52">
      <c r="A52" s="23" t="n">
        <v>2</v>
      </c>
      <c r="B52" s="23" t="inlineStr">
        <is>
          <t>New Mexico State @ Hawai'i</t>
        </is>
      </c>
      <c r="C52" s="23" t="inlineStr">
        <is>
          <t>19-29</t>
        </is>
      </c>
      <c r="D52" s="23" t="inlineStr">
        <is>
          <t>-7.5</t>
        </is>
      </c>
      <c r="E52" s="23" t="inlineStr">
        <is>
          <t>+10.0</t>
        </is>
      </c>
      <c r="F52" s="23" t="inlineStr">
        <is>
          <t>-14.1</t>
        </is>
      </c>
      <c r="G52" s="23" t="inlineStr">
        <is>
          <t>+6.6</t>
        </is>
      </c>
      <c r="H52" s="23" t="inlineStr">
        <is>
          <t>Home</t>
        </is>
      </c>
      <c r="I52" s="24" t="inlineStr">
        <is>
          <t>Win</t>
        </is>
      </c>
      <c r="J52" s="23" t="inlineStr">
        <is>
          <t>-12.8</t>
        </is>
      </c>
      <c r="K52" s="23" t="inlineStr">
        <is>
          <t>+5.3</t>
        </is>
      </c>
      <c r="L52" s="23" t="inlineStr">
        <is>
          <t>Home</t>
        </is>
      </c>
      <c r="M52" s="24" t="inlineStr">
        <is>
          <t>Win</t>
        </is>
      </c>
      <c r="N52" s="23" t="inlineStr">
        <is>
          <t>-7.6</t>
        </is>
      </c>
      <c r="O52" s="23" t="inlineStr">
        <is>
          <t>+0.1</t>
        </is>
      </c>
      <c r="P52" s="23" t="inlineStr">
        <is>
          <t>Home</t>
        </is>
      </c>
      <c r="Q52" s="24" t="inlineStr">
        <is>
          <t>Win (no real edge)</t>
        </is>
      </c>
      <c r="R52" s="23" t="inlineStr">
        <is>
          <t>Yes</t>
        </is>
      </c>
      <c r="S52" s="23" t="inlineStr">
        <is>
          <t>Yes</t>
        </is>
      </c>
      <c r="T52" s="24" t="inlineStr">
        <is>
          <t>Gamma</t>
        </is>
      </c>
      <c r="U52" s="23" t="inlineStr">
        <is>
          <t>+2.5</t>
        </is>
      </c>
      <c r="V52" s="23" t="inlineStr">
        <is>
          <t>-18.3</t>
        </is>
      </c>
      <c r="W52" s="23" t="inlineStr">
        <is>
          <t>+39.1</t>
        </is>
      </c>
    </row>
    <row r="53">
      <c r="A53" s="23" t="n">
        <v>2</v>
      </c>
      <c r="B53" s="23" t="inlineStr">
        <is>
          <t>Montana State @ Nevada</t>
        </is>
      </c>
      <c r="C53" s="23" t="inlineStr">
        <is>
          <t>20-7</t>
        </is>
      </c>
      <c r="D53" s="23" t="inlineStr">
        <is>
          <t>+5.0</t>
        </is>
      </c>
      <c r="E53" s="23" t="inlineStr">
        <is>
          <t>-13.0</t>
        </is>
      </c>
      <c r="F53" s="23" t="inlineStr">
        <is>
          <t>-17.2</t>
        </is>
      </c>
      <c r="G53" s="23" t="inlineStr">
        <is>
          <t>+22.2</t>
        </is>
      </c>
      <c r="H53" s="23" t="inlineStr">
        <is>
          <t>Home</t>
        </is>
      </c>
      <c r="I53" s="25" t="inlineStr">
        <is>
          <t>Loss</t>
        </is>
      </c>
      <c r="J53" s="23" t="inlineStr">
        <is>
          <t>-11.2</t>
        </is>
      </c>
      <c r="K53" s="23" t="inlineStr">
        <is>
          <t>+16.2</t>
        </is>
      </c>
      <c r="L53" s="23" t="inlineStr">
        <is>
          <t>Home</t>
        </is>
      </c>
      <c r="M53" s="25" t="inlineStr">
        <is>
          <t>Loss</t>
        </is>
      </c>
      <c r="N53" s="23" t="inlineStr">
        <is>
          <t>-33.6</t>
        </is>
      </c>
      <c r="O53" s="23" t="inlineStr">
        <is>
          <t>+38.6</t>
        </is>
      </c>
      <c r="P53" s="23" t="inlineStr">
        <is>
          <t>Home</t>
        </is>
      </c>
      <c r="Q53" s="25" t="inlineStr">
        <is>
          <t>Loss</t>
        </is>
      </c>
      <c r="R53" s="23" t="inlineStr">
        <is>
          <t>Yes</t>
        </is>
      </c>
      <c r="S53" s="23" t="inlineStr">
        <is>
          <t>Yes</t>
        </is>
      </c>
      <c r="T53" s="24" t="inlineStr">
        <is>
          <t>XGBoost</t>
        </is>
      </c>
      <c r="U53" s="23" t="inlineStr">
        <is>
          <t>+24.8</t>
        </is>
      </c>
      <c r="V53" s="23" t="inlineStr">
        <is>
          <t>-2.1</t>
        </is>
      </c>
      <c r="W53" s="23" t="inlineStr">
        <is>
          <t>+77.8</t>
        </is>
      </c>
    </row>
    <row r="54">
      <c r="A54" s="23" t="n">
        <v>2</v>
      </c>
      <c r="B54" s="23" t="inlineStr">
        <is>
          <t>Mercyhurst @ New Mexico</t>
        </is>
      </c>
      <c r="C54" s="23" t="inlineStr">
        <is>
          <t>7-70</t>
        </is>
      </c>
      <c r="D54" s="23" t="inlineStr">
        <is>
          <t>-42.2</t>
        </is>
      </c>
      <c r="E54" s="23" t="inlineStr">
        <is>
          <t>+63.0</t>
        </is>
      </c>
      <c r="F54" s="23" t="inlineStr">
        <is>
          <t>-17.0</t>
        </is>
      </c>
      <c r="G54" s="23" t="inlineStr">
        <is>
          <t>-25.2</t>
        </is>
      </c>
      <c r="H54" s="23" t="inlineStr">
        <is>
          <t>Away</t>
        </is>
      </c>
      <c r="I54" s="25" t="inlineStr">
        <is>
          <t>Loss</t>
        </is>
      </c>
      <c r="J54" s="23" t="inlineStr">
        <is>
          <t>-27.6</t>
        </is>
      </c>
      <c r="K54" s="23" t="inlineStr">
        <is>
          <t>-14.7</t>
        </is>
      </c>
      <c r="L54" s="23" t="inlineStr">
        <is>
          <t>Away</t>
        </is>
      </c>
      <c r="M54" s="25" t="inlineStr">
        <is>
          <t>Loss</t>
        </is>
      </c>
      <c r="N54" s="23" t="inlineStr">
        <is>
          <t>-45.6</t>
        </is>
      </c>
      <c r="O54" s="23" t="inlineStr">
        <is>
          <t>+3.3</t>
        </is>
      </c>
      <c r="P54" s="23" t="inlineStr">
        <is>
          <t>Home</t>
        </is>
      </c>
      <c r="Q54" s="24" t="inlineStr">
        <is>
          <t>Win</t>
        </is>
      </c>
      <c r="R54" s="23" t="inlineStr">
        <is>
          <t>Yes</t>
        </is>
      </c>
      <c r="S54" s="23" t="inlineStr">
        <is>
          <t>No</t>
        </is>
      </c>
      <c r="T54" s="24" t="inlineStr">
        <is>
          <t>Gamma</t>
        </is>
      </c>
      <c r="U54" s="23" t="inlineStr">
        <is>
          <t>-0.5</t>
        </is>
      </c>
      <c r="V54" s="23" t="inlineStr">
        <is>
          <t>-16.8</t>
        </is>
      </c>
      <c r="W54" s="23" t="inlineStr">
        <is>
          <t>+81.1</t>
        </is>
      </c>
    </row>
    <row r="55">
      <c r="A55" s="23" t="n">
        <v>2</v>
      </c>
      <c r="B55" s="23" t="inlineStr">
        <is>
          <t>UNLV @ North Texas</t>
        </is>
      </c>
      <c r="C55" s="23" t="inlineStr">
        <is>
          <t>6-44</t>
        </is>
      </c>
      <c r="D55" s="23" t="inlineStr">
        <is>
          <t>+2.8</t>
        </is>
      </c>
      <c r="E55" s="23" t="inlineStr">
        <is>
          <t>+38.0</t>
        </is>
      </c>
      <c r="F55" s="23" t="inlineStr">
        <is>
          <t>-3.6</t>
        </is>
      </c>
      <c r="G55" s="23" t="inlineStr">
        <is>
          <t>+6.3</t>
        </is>
      </c>
      <c r="H55" s="23" t="inlineStr">
        <is>
          <t>Home</t>
        </is>
      </c>
      <c r="I55" s="24" t="inlineStr">
        <is>
          <t>Win</t>
        </is>
      </c>
      <c r="J55" s="23" t="inlineStr">
        <is>
          <t>+1.4</t>
        </is>
      </c>
      <c r="K55" s="23" t="inlineStr">
        <is>
          <t>+1.3</t>
        </is>
      </c>
      <c r="L55" s="23" t="inlineStr">
        <is>
          <t>Home</t>
        </is>
      </c>
      <c r="M55" s="24" t="inlineStr">
        <is>
          <t>Win (no real edge)</t>
        </is>
      </c>
      <c r="N55" s="23" t="inlineStr">
        <is>
          <t>-5.3</t>
        </is>
      </c>
      <c r="O55" s="23" t="inlineStr">
        <is>
          <t>+8.0</t>
        </is>
      </c>
      <c r="P55" s="23" t="inlineStr">
        <is>
          <t>Home</t>
        </is>
      </c>
      <c r="Q55" s="24" t="inlineStr">
        <is>
          <t>Win</t>
        </is>
      </c>
      <c r="R55" s="23" t="inlineStr">
        <is>
          <t>Yes</t>
        </is>
      </c>
      <c r="S55" s="23" t="inlineStr">
        <is>
          <t>Yes</t>
        </is>
      </c>
      <c r="T55" s="24" t="inlineStr">
        <is>
          <t>XGBoost</t>
        </is>
      </c>
      <c r="U55" s="23" t="inlineStr">
        <is>
          <t>+5.9</t>
        </is>
      </c>
      <c r="V55" s="23" t="inlineStr">
        <is>
          <t>-15.4</t>
        </is>
      </c>
      <c r="W55" s="23" t="inlineStr">
        <is>
          <t>+89.1</t>
        </is>
      </c>
    </row>
    <row r="56">
      <c r="A56" s="23" t="n">
        <v>2</v>
      </c>
      <c r="B56" s="23" t="inlineStr">
        <is>
          <t>Illinois State @ Northern Illinois</t>
        </is>
      </c>
      <c r="C56" s="23" t="inlineStr">
        <is>
          <t>28-24</t>
        </is>
      </c>
      <c r="D56" s="23" t="inlineStr">
        <is>
          <t>+2.5</t>
        </is>
      </c>
      <c r="E56" s="23" t="inlineStr">
        <is>
          <t>-4.0</t>
        </is>
      </c>
      <c r="F56" s="23" t="inlineStr">
        <is>
          <t>-15.0</t>
        </is>
      </c>
      <c r="G56" s="23" t="inlineStr">
        <is>
          <t>+17.5</t>
        </is>
      </c>
      <c r="H56" s="23" t="inlineStr">
        <is>
          <t>Home</t>
        </is>
      </c>
      <c r="I56" s="25" t="inlineStr">
        <is>
          <t>Loss</t>
        </is>
      </c>
      <c r="J56" s="23" t="inlineStr">
        <is>
          <t>-16.3</t>
        </is>
      </c>
      <c r="K56" s="23" t="inlineStr">
        <is>
          <t>+18.8</t>
        </is>
      </c>
      <c r="L56" s="23" t="inlineStr">
        <is>
          <t>Home</t>
        </is>
      </c>
      <c r="M56" s="25" t="inlineStr">
        <is>
          <t>Loss</t>
        </is>
      </c>
      <c r="N56" s="23" t="inlineStr">
        <is>
          <t>-23.3</t>
        </is>
      </c>
      <c r="O56" s="23" t="inlineStr">
        <is>
          <t>+25.8</t>
        </is>
      </c>
      <c r="P56" s="23" t="inlineStr">
        <is>
          <t>Home</t>
        </is>
      </c>
      <c r="Q56" s="25" t="inlineStr">
        <is>
          <t>Loss</t>
        </is>
      </c>
      <c r="R56" s="23" t="inlineStr">
        <is>
          <t>Yes</t>
        </is>
      </c>
      <c r="S56" s="23" t="inlineStr">
        <is>
          <t>Yes</t>
        </is>
      </c>
      <c r="T56" s="24" t="inlineStr">
        <is>
          <t>Ridge</t>
        </is>
      </c>
      <c r="U56" s="23" t="inlineStr">
        <is>
          <t>+23.4</t>
        </is>
      </c>
      <c r="V56" s="23" t="inlineStr">
        <is>
          <t>+3.4</t>
        </is>
      </c>
      <c r="W56" s="23" t="inlineStr">
        <is>
          <t>+114.9</t>
        </is>
      </c>
    </row>
    <row r="57">
      <c r="A57" s="23" t="n">
        <v>2</v>
      </c>
      <c r="B57" s="23" t="inlineStr">
        <is>
          <t>Cal Poly @ San José State</t>
        </is>
      </c>
      <c r="C57" s="23" t="inlineStr">
        <is>
          <t>20-30</t>
        </is>
      </c>
      <c r="D57" s="23" t="inlineStr">
        <is>
          <t>-21.5</t>
        </is>
      </c>
      <c r="E57" s="23" t="inlineStr">
        <is>
          <t>+10.0</t>
        </is>
      </c>
      <c r="F57" s="23" t="inlineStr">
        <is>
          <t>-19.9</t>
        </is>
      </c>
      <c r="G57" s="23" t="inlineStr">
        <is>
          <t>-1.6</t>
        </is>
      </c>
      <c r="H57" s="23" t="inlineStr">
        <is>
          <t>Away</t>
        </is>
      </c>
      <c r="I57" s="24" t="inlineStr">
        <is>
          <t>Win (no real edge)</t>
        </is>
      </c>
      <c r="J57" s="23" t="inlineStr">
        <is>
          <t>-27.6</t>
        </is>
      </c>
      <c r="K57" s="23" t="inlineStr">
        <is>
          <t>+6.1</t>
        </is>
      </c>
      <c r="L57" s="23" t="inlineStr">
        <is>
          <t>Home</t>
        </is>
      </c>
      <c r="M57" s="25" t="inlineStr">
        <is>
          <t>Loss</t>
        </is>
      </c>
      <c r="N57" s="23" t="inlineStr">
        <is>
          <t>-30.7</t>
        </is>
      </c>
      <c r="O57" s="23" t="inlineStr">
        <is>
          <t>+9.2</t>
        </is>
      </c>
      <c r="P57" s="23" t="inlineStr">
        <is>
          <t>Home</t>
        </is>
      </c>
      <c r="Q57" s="25" t="inlineStr">
        <is>
          <t>Loss</t>
        </is>
      </c>
      <c r="R57" s="23" t="inlineStr">
        <is>
          <t>No</t>
        </is>
      </c>
      <c r="S57" s="23" t="inlineStr">
        <is>
          <t>No</t>
        </is>
      </c>
      <c r="T57" s="24" t="inlineStr">
        <is>
          <t>Ridge</t>
        </is>
      </c>
      <c r="U57" s="23" t="inlineStr">
        <is>
          <t>+21.8</t>
        </is>
      </c>
      <c r="V57" s="23" t="inlineStr">
        <is>
          <t>+9.5</t>
        </is>
      </c>
      <c r="W57" s="23" t="inlineStr">
        <is>
          <t>+124.1</t>
        </is>
      </c>
    </row>
    <row r="58">
      <c r="A58" s="23" t="n">
        <v>2</v>
      </c>
      <c r="B58" s="23" t="inlineStr">
        <is>
          <t>Texas Southern @ UTEP</t>
        </is>
      </c>
      <c r="C58" s="23" t="inlineStr">
        <is>
          <t>10-51</t>
        </is>
      </c>
      <c r="D58" s="23" t="inlineStr">
        <is>
          <t>-27.2</t>
        </is>
      </c>
      <c r="E58" s="23" t="inlineStr">
        <is>
          <t>+41.0</t>
        </is>
      </c>
      <c r="F58" s="23" t="inlineStr">
        <is>
          <t>-14.6</t>
        </is>
      </c>
      <c r="G58" s="23" t="inlineStr">
        <is>
          <t>-12.6</t>
        </is>
      </c>
      <c r="H58" s="23" t="inlineStr">
        <is>
          <t>Away</t>
        </is>
      </c>
      <c r="I58" s="25" t="inlineStr">
        <is>
          <t>Loss</t>
        </is>
      </c>
      <c r="J58" s="23" t="inlineStr">
        <is>
          <t>-20.0</t>
        </is>
      </c>
      <c r="K58" s="23" t="inlineStr">
        <is>
          <t>-7.3</t>
        </is>
      </c>
      <c r="L58" s="23" t="inlineStr">
        <is>
          <t>Away</t>
        </is>
      </c>
      <c r="M58" s="25" t="inlineStr">
        <is>
          <t>Loss</t>
        </is>
      </c>
      <c r="N58" s="23" t="inlineStr">
        <is>
          <t>-19.8</t>
        </is>
      </c>
      <c r="O58" s="23" t="inlineStr">
        <is>
          <t>-7.5</t>
        </is>
      </c>
      <c r="P58" s="23" t="inlineStr">
        <is>
          <t>Away</t>
        </is>
      </c>
      <c r="Q58" s="25" t="inlineStr">
        <is>
          <t>Loss</t>
        </is>
      </c>
      <c r="R58" s="23" t="inlineStr">
        <is>
          <t>Yes</t>
        </is>
      </c>
      <c r="S58" s="23" t="inlineStr">
        <is>
          <t>Yes</t>
        </is>
      </c>
      <c r="T58" s="24" t="inlineStr">
        <is>
          <t>XGBoost</t>
        </is>
      </c>
      <c r="U58" s="23" t="inlineStr">
        <is>
          <t>+9.2</t>
        </is>
      </c>
      <c r="V58" s="23" t="inlineStr">
        <is>
          <t>+2.2</t>
        </is>
      </c>
      <c r="W58" s="23" t="inlineStr">
        <is>
          <t>+116.6</t>
        </is>
      </c>
    </row>
    <row r="59">
      <c r="A59" s="23" t="n">
        <v>2</v>
      </c>
      <c r="B59" s="23" t="inlineStr">
        <is>
          <t>Northern Colorado @ Wyoming</t>
        </is>
      </c>
      <c r="C59" s="23" t="inlineStr">
        <is>
          <t>13-21</t>
        </is>
      </c>
      <c r="D59" s="23" t="inlineStr">
        <is>
          <t>-23.5</t>
        </is>
      </c>
      <c r="E59" s="23" t="inlineStr">
        <is>
          <t>+8.0</t>
        </is>
      </c>
      <c r="F59" s="23" t="inlineStr">
        <is>
          <t>-16.3</t>
        </is>
      </c>
      <c r="G59" s="23" t="inlineStr">
        <is>
          <t>-7.2</t>
        </is>
      </c>
      <c r="H59" s="23" t="inlineStr">
        <is>
          <t>Away</t>
        </is>
      </c>
      <c r="I59" s="24" t="inlineStr">
        <is>
          <t>Win</t>
        </is>
      </c>
      <c r="J59" s="23" t="inlineStr">
        <is>
          <t>-21.7</t>
        </is>
      </c>
      <c r="K59" s="23" t="inlineStr">
        <is>
          <t>-1.8</t>
        </is>
      </c>
      <c r="L59" s="23" t="inlineStr">
        <is>
          <t>Away</t>
        </is>
      </c>
      <c r="M59" s="24" t="inlineStr">
        <is>
          <t>Win (no real edge)</t>
        </is>
      </c>
      <c r="N59" s="23" t="inlineStr">
        <is>
          <t>-27.6</t>
        </is>
      </c>
      <c r="O59" s="23" t="inlineStr">
        <is>
          <t>+4.1</t>
        </is>
      </c>
      <c r="P59" s="23" t="inlineStr">
        <is>
          <t>Home</t>
        </is>
      </c>
      <c r="Q59" s="25" t="inlineStr">
        <is>
          <t>Loss</t>
        </is>
      </c>
      <c r="R59" s="23" t="inlineStr">
        <is>
          <t>Yes</t>
        </is>
      </c>
      <c r="S59" s="23" t="inlineStr">
        <is>
          <t>No</t>
        </is>
      </c>
      <c r="T59" s="24" t="inlineStr">
        <is>
          <t>XGBoost</t>
        </is>
      </c>
      <c r="U59" s="23" t="inlineStr">
        <is>
          <t>+2.0</t>
        </is>
      </c>
      <c r="V59" s="23" t="inlineStr">
        <is>
          <t>+0.4</t>
        </is>
      </c>
      <c r="W59" s="23" t="inlineStr">
        <is>
          <t>+120.7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2026-09-15T19:17:12Z</dcterms:modified>
  <cp:lastModifiedBy>Cole Andrewlevich</cp:lastModifiedBy>
  <cp:revision>0</cp:revision>
</cp:coreProperties>
</file>