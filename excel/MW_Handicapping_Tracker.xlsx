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4" sqref="B4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showGridLines="0" tabSelected="1" zoomScaleNormal="100" workbookViewId="0">
      <pane ySplit="1" topLeftCell="A2" activePane="bottomLeft" state="frozen"/>
      <selection pane="bottomLeft" activeCell="P1" sqref="P1:P1048576"/>
    </sheetView>
  </sheetViews>
  <sheetFormatPr baseColWidth="8" defaultColWidth="8.7109375" defaultRowHeight="15"/>
  <cols>
    <col width="6" customWidth="1" min="1" max="1"/>
    <col width="11" customWidth="1" min="2" max="2"/>
    <col width="15" customWidth="1" min="3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</row>
    <row r="2">
      <c r="A2" s="8" t="n">
        <v>1</v>
      </c>
      <c r="B2" s="8" t="inlineStr">
        <is>
          <t>2026-08-29</t>
        </is>
      </c>
      <c r="C2" s="8" t="inlineStr">
        <is>
          <t>San José State</t>
        </is>
      </c>
      <c r="D2" s="8" t="inlineStr">
        <is>
          <t>Air Force</t>
        </is>
      </c>
      <c r="E2" s="8" t="n">
        <v>-6.5</v>
      </c>
      <c r="F2" s="8" t="n">
        <v>-4.5</v>
      </c>
      <c r="G2" s="6">
        <f>F2-E2</f>
        <v/>
      </c>
      <c r="H2" s="6">
        <f>IF(G2=0,"Pick'em",IF(G2&gt;0,"Home","Away"))</f>
        <v/>
      </c>
      <c r="I2" s="8" t="n">
        <v>44.5</v>
      </c>
      <c r="J2" s="8" t="n">
        <v>41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inlineStr">
        <is>
          <t>Starting QB confirmed healthy per Thu injury report</t>
        </is>
      </c>
      <c r="P2" s="8" t="inlineStr">
        <is>
          <t>Home -4.5</t>
        </is>
      </c>
    </row>
    <row r="3">
      <c r="A3" t="n">
        <v>1</v>
      </c>
      <c r="B3" t="inlineStr">
        <is>
          <t>2026-08-29</t>
        </is>
      </c>
      <c r="C3" t="inlineStr">
        <is>
          <t>North Carolina</t>
        </is>
      </c>
      <c r="D3" t="inlineStr">
        <is>
          <t>TCU</t>
        </is>
      </c>
      <c r="E3" t="n">
        <v>-20.7</v>
      </c>
      <c r="G3" s="6">
        <f>F3-E3</f>
        <v/>
      </c>
      <c r="H3" s="6">
        <f>IF(G3=0,"Pick'em",IF(G3&gt;0,"Home","Away"))</f>
        <v/>
      </c>
      <c r="I3" t="n">
        <v>58.9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San José State</t>
        </is>
      </c>
      <c r="D4" t="inlineStr">
        <is>
          <t>USC</t>
        </is>
      </c>
      <c r="E4" t="n">
        <v>-34.6</v>
      </c>
      <c r="G4" s="6">
        <f>F4-E4</f>
        <v/>
      </c>
      <c r="H4" s="6">
        <f>IF(G4=0,"Pick'em",IF(G4&gt;0,"Home","Away"))</f>
        <v/>
      </c>
      <c r="I4" t="n">
        <v>58.3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2026-08-29</t>
        </is>
      </c>
      <c r="C5" t="inlineStr">
        <is>
          <t>NC State</t>
        </is>
      </c>
      <c r="D5" t="inlineStr">
        <is>
          <t>Virginia</t>
        </is>
      </c>
      <c r="E5" t="n">
        <v>-3.1</v>
      </c>
      <c r="G5" s="6">
        <f>F5-E5</f>
        <v/>
      </c>
      <c r="H5" s="6">
        <f>IF(G5=0,"Pick'em",IF(G5&gt;0,"Home","Away"))</f>
        <v/>
      </c>
      <c r="I5" t="n">
        <v>54.1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</row>
    <row r="6">
      <c r="A6" t="n">
        <v>1</v>
      </c>
      <c r="B6" t="inlineStr">
        <is>
          <t>2026-08-29</t>
        </is>
      </c>
      <c r="C6" t="inlineStr">
        <is>
          <t>Jacksonville State</t>
        </is>
      </c>
      <c r="D6" t="inlineStr">
        <is>
          <t>North Dakota State</t>
        </is>
      </c>
      <c r="E6" t="n">
        <v>-25.8</v>
      </c>
      <c r="G6" s="6">
        <f>F6-E6</f>
        <v/>
      </c>
      <c r="H6" s="6">
        <f>IF(G6=0,"Pick'em",IF(G6&gt;0,"Home","Away"))</f>
        <v/>
      </c>
      <c r="I6" t="n">
        <v>53.2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</row>
    <row r="7">
      <c r="A7" t="n">
        <v>1</v>
      </c>
      <c r="B7" t="inlineStr">
        <is>
          <t>2026-08-29</t>
        </is>
      </c>
      <c r="C7" t="inlineStr">
        <is>
          <t>Sacramento State</t>
        </is>
      </c>
      <c r="D7" t="inlineStr">
        <is>
          <t>Eastern Michigan</t>
        </is>
      </c>
      <c r="E7" t="n">
        <v>0</v>
      </c>
      <c r="G7" s="6">
        <f>F7-E7</f>
        <v/>
      </c>
      <c r="H7" s="6">
        <f>IF(G7=0,"Pick'em",IF(G7&gt;0,"Home","Away"))</f>
        <v/>
      </c>
      <c r="I7" t="n">
        <v>53</v>
      </c>
      <c r="K7" s="6">
        <f>I7-J7</f>
        <v/>
      </c>
      <c r="L7" s="6">
        <f>IF(K7=0,"Push",IF(K7&gt;0,"Over","Under"))</f>
        <v/>
      </c>
      <c r="M7" s="6">
        <f>IF(ABS(G7)&gt;=Settings!$B$5,H7,"Pass")</f>
        <v/>
      </c>
      <c r="N7" s="6">
        <f>IF(ABS(K7)&gt;=Settings!$B$6,L7,"Pass")</f>
        <v/>
      </c>
    </row>
    <row r="8">
      <c r="A8" t="n">
        <v>1</v>
      </c>
      <c r="B8" t="inlineStr">
        <is>
          <t>2026-08-29</t>
        </is>
      </c>
      <c r="C8" t="inlineStr">
        <is>
          <t>Hawai'i</t>
        </is>
      </c>
      <c r="D8" t="inlineStr">
        <is>
          <t>Stanford</t>
        </is>
      </c>
      <c r="E8" t="n">
        <v>1.1</v>
      </c>
      <c r="G8" s="6">
        <f>F8-E8</f>
        <v/>
      </c>
      <c r="H8" s="6">
        <f>IF(G8=0,"Pick'em",IF(G8&gt;0,"Home","Away"))</f>
        <v/>
      </c>
      <c r="I8" t="n">
        <v>55.5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</row>
    <row r="9">
      <c r="A9" t="n">
        <v>1</v>
      </c>
      <c r="B9" t="inlineStr">
        <is>
          <t>2026-08-29</t>
        </is>
      </c>
      <c r="C9" t="inlineStr">
        <is>
          <t>New Mexico State</t>
        </is>
      </c>
      <c r="D9" t="inlineStr">
        <is>
          <t>Florida State</t>
        </is>
      </c>
      <c r="E9" t="n">
        <v>-20</v>
      </c>
      <c r="G9" s="6">
        <f>F9-E9</f>
        <v/>
      </c>
      <c r="H9" s="6">
        <f>IF(G9=0,"Pick'em",IF(G9&gt;0,"Home","Away"))</f>
        <v/>
      </c>
      <c r="I9" t="n">
        <v>55.9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</row>
    <row r="10">
      <c r="A10" t="n">
        <v>1</v>
      </c>
      <c r="B10" t="inlineStr">
        <is>
          <t>2026-08-30</t>
        </is>
      </c>
      <c r="C10" t="inlineStr">
        <is>
          <t>Memphis</t>
        </is>
      </c>
      <c r="D10" t="inlineStr">
        <is>
          <t>UNLV</t>
        </is>
      </c>
      <c r="E10" t="n">
        <v>-13.6</v>
      </c>
      <c r="G10" s="6">
        <f>F10-E10</f>
        <v/>
      </c>
      <c r="H10" s="6">
        <f>IF(G10=0,"Pick'em",IF(G10&gt;0,"Home","Away"))</f>
        <v/>
      </c>
      <c r="I10" t="n">
        <v>62.9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</row>
    <row r="11">
      <c r="A11" t="n">
        <v>1</v>
      </c>
      <c r="B11" t="inlineStr">
        <is>
          <t>2026-09-03</t>
        </is>
      </c>
      <c r="C11" t="inlineStr">
        <is>
          <t>Massachusetts</t>
        </is>
      </c>
      <c r="D11" t="inlineStr">
        <is>
          <t>Rutgers</t>
        </is>
      </c>
      <c r="E11" t="n">
        <v>-37.8</v>
      </c>
      <c r="G11" s="6">
        <f>F11-E11</f>
        <v/>
      </c>
      <c r="H11" s="6">
        <f>IF(G11=0,"Pick'em",IF(G11&gt;0,"Home","Away"))</f>
        <v/>
      </c>
      <c r="I11" t="n">
        <v>54.7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</row>
    <row r="12">
      <c r="A12" t="n">
        <v>1</v>
      </c>
      <c r="B12" t="inlineStr">
        <is>
          <t>2026-09-03</t>
        </is>
      </c>
      <c r="C12" t="inlineStr">
        <is>
          <t>Akron</t>
        </is>
      </c>
      <c r="D12" t="inlineStr">
        <is>
          <t>Wake Forest</t>
        </is>
      </c>
      <c r="E12" t="n">
        <v>-25.9</v>
      </c>
      <c r="G12" s="6">
        <f>F12-E12</f>
        <v/>
      </c>
      <c r="H12" s="6">
        <f>IF(G12=0,"Pick'em",IF(G12&gt;0,"Home","Away"))</f>
        <v/>
      </c>
      <c r="I12" t="n">
        <v>55.6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</row>
    <row r="13">
      <c r="A13" t="n">
        <v>1</v>
      </c>
      <c r="B13" t="inlineStr">
        <is>
          <t>2026-09-03</t>
        </is>
      </c>
      <c r="C13" t="inlineStr">
        <is>
          <t>Merrimack</t>
        </is>
      </c>
      <c r="D13" t="inlineStr">
        <is>
          <t>Delaware</t>
        </is>
      </c>
      <c r="E13" t="n">
        <v>-20.1</v>
      </c>
      <c r="G13" s="6">
        <f>F13-E13</f>
        <v/>
      </c>
      <c r="H13" s="6">
        <f>IF(G13=0,"Pick'em",IF(G13&gt;0,"Home","Away"))</f>
        <v/>
      </c>
      <c r="I13" t="n">
        <v>52.9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2026-09-03</t>
        </is>
      </c>
      <c r="C14" t="inlineStr">
        <is>
          <t>UAlbany</t>
        </is>
      </c>
      <c r="D14" t="inlineStr">
        <is>
          <t>Buffalo</t>
        </is>
      </c>
      <c r="E14" t="n">
        <v>-15.5</v>
      </c>
      <c r="G14" s="6">
        <f>F14-E14</f>
        <v/>
      </c>
      <c r="H14" s="6">
        <f>IF(G14=0,"Pick'em",IF(G14&gt;0,"Home","Away"))</f>
        <v/>
      </c>
      <c r="I14" t="n">
        <v>53.9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A15" t="n">
        <v>1</v>
      </c>
      <c r="B15" t="inlineStr">
        <is>
          <t>2026-09-03</t>
        </is>
      </c>
      <c r="C15" t="inlineStr">
        <is>
          <t>Bethune-Cookman</t>
        </is>
      </c>
      <c r="D15" t="inlineStr">
        <is>
          <t>UCF</t>
        </is>
      </c>
      <c r="E15" t="n">
        <v>-21.6</v>
      </c>
      <c r="G15" s="6">
        <f>F15-E15</f>
        <v/>
      </c>
      <c r="H15" s="6">
        <f>IF(G15=0,"Pick'em",IF(G15&gt;0,"Home","Away"))</f>
        <v/>
      </c>
      <c r="I15" t="n">
        <v>62.4</v>
      </c>
      <c r="K15" s="6">
        <f>I15-J15</f>
        <v/>
      </c>
      <c r="L15" s="6">
        <f>IF(K15=0,"Push",IF(K15&gt;0,"Over","Under"))</f>
        <v/>
      </c>
      <c r="M15" s="6">
        <f>IF(ABS(G15)&gt;=Settings!$B$5,H15,"Pass")</f>
        <v/>
      </c>
      <c r="N15" s="6">
        <f>IF(ABS(K15)&gt;=Settings!$B$6,L15,"Pass")</f>
        <v/>
      </c>
    </row>
    <row r="16">
      <c r="A16" t="n">
        <v>1</v>
      </c>
      <c r="B16" t="inlineStr">
        <is>
          <t>2026-09-03</t>
        </is>
      </c>
      <c r="C16" t="inlineStr">
        <is>
          <t>West Georgia</t>
        </is>
      </c>
      <c r="D16" t="inlineStr">
        <is>
          <t>Kennesaw State</t>
        </is>
      </c>
      <c r="E16" t="n">
        <v>-12.2</v>
      </c>
      <c r="G16" s="6">
        <f>F16-E16</f>
        <v/>
      </c>
      <c r="H16" s="6">
        <f>IF(G16=0,"Pick'em",IF(G16&gt;0,"Home","Away"))</f>
        <v/>
      </c>
      <c r="I16" t="n">
        <v>53.2</v>
      </c>
      <c r="K16" s="6">
        <f>I16-J16</f>
        <v/>
      </c>
      <c r="L16" s="6">
        <f>IF(K16=0,"Push",IF(K16&gt;0,"Over","Under"))</f>
        <v/>
      </c>
      <c r="M16" s="6">
        <f>IF(ABS(G16)&gt;=Settings!$B$5,H16,"Pass")</f>
        <v/>
      </c>
      <c r="N16" s="6">
        <f>IF(ABS(K16)&gt;=Settings!$B$6,L16,"Pass")</f>
        <v/>
      </c>
    </row>
    <row r="17">
      <c r="A17" t="n">
        <v>1</v>
      </c>
      <c r="B17" t="inlineStr">
        <is>
          <t>2026-09-04</t>
        </is>
      </c>
      <c r="C17" t="inlineStr">
        <is>
          <t>Arkansas-Pine Bluff</t>
        </is>
      </c>
      <c r="D17" t="inlineStr">
        <is>
          <t>Missouri</t>
        </is>
      </c>
      <c r="E17" t="n">
        <v>-31.7</v>
      </c>
      <c r="G17" s="6">
        <f>F17-E17</f>
        <v/>
      </c>
      <c r="H17" s="6">
        <f>IF(G17=0,"Pick'em",IF(G17&gt;0,"Home","Away"))</f>
        <v/>
      </c>
      <c r="I17" t="n">
        <v>56.6</v>
      </c>
      <c r="K17" s="6">
        <f>I17-J17</f>
        <v/>
      </c>
      <c r="L17" s="6">
        <f>IF(K17=0,"Push",IF(K17&gt;0,"Over","Under"))</f>
        <v/>
      </c>
      <c r="M17" s="6">
        <f>IF(ABS(G17)&gt;=Settings!$B$5,H17,"Pass")</f>
        <v/>
      </c>
      <c r="N17" s="6">
        <f>IF(ABS(K17)&gt;=Settings!$B$6,L17,"Pass")</f>
        <v/>
      </c>
    </row>
    <row r="18">
      <c r="A18" t="n">
        <v>1</v>
      </c>
      <c r="B18" t="inlineStr">
        <is>
          <t>2026-09-04</t>
        </is>
      </c>
      <c r="C18" t="inlineStr">
        <is>
          <t>Eastern Illinois</t>
        </is>
      </c>
      <c r="D18" t="inlineStr">
        <is>
          <t>Minnesota</t>
        </is>
      </c>
      <c r="E18" t="n">
        <v>-27.3</v>
      </c>
      <c r="G18" s="6">
        <f>F18-E18</f>
        <v/>
      </c>
      <c r="H18" s="6">
        <f>IF(G18=0,"Pick'em",IF(G18&gt;0,"Home","Away"))</f>
        <v/>
      </c>
      <c r="I18" t="n">
        <v>49.5</v>
      </c>
      <c r="K18" s="6">
        <f>I18-J18</f>
        <v/>
      </c>
      <c r="L18" s="6">
        <f>IF(K18=0,"Push",IF(K18&gt;0,"Over","Under"))</f>
        <v/>
      </c>
      <c r="M18" s="6">
        <f>IF(ABS(G18)&gt;=Settings!$B$5,H18,"Pass")</f>
        <v/>
      </c>
      <c r="N18" s="6">
        <f>IF(ABS(K18)&gt;=Settings!$B$6,L18,"Pass")</f>
        <v/>
      </c>
    </row>
    <row r="19">
      <c r="A19" t="n">
        <v>1</v>
      </c>
      <c r="B19" t="inlineStr">
        <is>
          <t>2026-09-04</t>
        </is>
      </c>
      <c r="C19" t="inlineStr">
        <is>
          <t>Colorado</t>
        </is>
      </c>
      <c r="D19" t="inlineStr">
        <is>
          <t>Georgia Tech</t>
        </is>
      </c>
      <c r="E19" t="n">
        <v>-22.3</v>
      </c>
      <c r="G19" s="6">
        <f>F19-E19</f>
        <v/>
      </c>
      <c r="H19" s="6">
        <f>IF(G19=0,"Pick'em",IF(G19&gt;0,"Home","Away"))</f>
        <v/>
      </c>
      <c r="I19" t="n">
        <v>55.4</v>
      </c>
      <c r="K19" s="6">
        <f>I19-J19</f>
        <v/>
      </c>
      <c r="L19" s="6">
        <f>IF(K19=0,"Push",IF(K19&gt;0,"Over","Under"))</f>
        <v/>
      </c>
      <c r="M19" s="6">
        <f>IF(ABS(G19)&gt;=Settings!$B$5,H19,"Pass")</f>
        <v/>
      </c>
      <c r="N19" s="6">
        <f>IF(ABS(K19)&gt;=Settings!$B$6,L19,"Pass")</f>
        <v/>
      </c>
    </row>
    <row r="20">
      <c r="A20" t="n">
        <v>1</v>
      </c>
      <c r="B20" t="inlineStr">
        <is>
          <t>2026-09-04</t>
        </is>
      </c>
      <c r="C20" t="inlineStr">
        <is>
          <t>Idaho</t>
        </is>
      </c>
      <c r="D20" t="inlineStr">
        <is>
          <t>Utah</t>
        </is>
      </c>
      <c r="E20" t="n">
        <v>-36.1</v>
      </c>
      <c r="G20" s="6">
        <f>F20-E20</f>
        <v/>
      </c>
      <c r="H20" s="6">
        <f>IF(G20=0,"Pick'em",IF(G20&gt;0,"Home","Away"))</f>
        <v/>
      </c>
      <c r="I20" t="n">
        <v>52.9</v>
      </c>
      <c r="K20" s="6">
        <f>I20-J20</f>
        <v/>
      </c>
      <c r="L20" s="6">
        <f>IF(K20=0,"Push",IF(K20&gt;0,"Over","Under"))</f>
        <v/>
      </c>
      <c r="M20" s="6">
        <f>IF(ABS(G20)&gt;=Settings!$B$5,H20,"Pass")</f>
        <v/>
      </c>
      <c r="N20" s="6">
        <f>IF(ABS(K20)&gt;=Settings!$B$6,L20,"Pass")</f>
        <v/>
      </c>
    </row>
    <row r="21">
      <c r="A21" t="n">
        <v>1</v>
      </c>
      <c r="B21" t="inlineStr">
        <is>
          <t>2026-09-04</t>
        </is>
      </c>
      <c r="C21" t="inlineStr">
        <is>
          <t>UAB</t>
        </is>
      </c>
      <c r="D21" t="inlineStr">
        <is>
          <t>Illinois</t>
        </is>
      </c>
      <c r="E21" t="n">
        <v>-31.1</v>
      </c>
      <c r="G21" s="6">
        <f>F21-E21</f>
        <v/>
      </c>
      <c r="H21" s="6">
        <f>IF(G21=0,"Pick'em",IF(G21&gt;0,"Home","Away"))</f>
        <v/>
      </c>
      <c r="I21" t="n">
        <v>52.5</v>
      </c>
      <c r="K21" s="6">
        <f>I21-J21</f>
        <v/>
      </c>
      <c r="L21" s="6">
        <f>IF(K21=0,"Push",IF(K21&gt;0,"Over","Under"))</f>
        <v/>
      </c>
      <c r="M21" s="6">
        <f>IF(ABS(G21)&gt;=Settings!$B$5,H21,"Pass")</f>
        <v/>
      </c>
      <c r="N21" s="6">
        <f>IF(ABS(K21)&gt;=Settings!$B$6,L21,"Pass")</f>
        <v/>
      </c>
    </row>
    <row r="22">
      <c r="A22" t="n">
        <v>1</v>
      </c>
      <c r="B22" t="inlineStr">
        <is>
          <t>2026-09-04</t>
        </is>
      </c>
      <c r="C22" t="inlineStr">
        <is>
          <t>San José State</t>
        </is>
      </c>
      <c r="D22" t="inlineStr">
        <is>
          <t>Eastern Michigan</t>
        </is>
      </c>
      <c r="E22" t="n">
        <v>-12</v>
      </c>
      <c r="G22" s="6">
        <f>F22-E22</f>
        <v/>
      </c>
      <c r="H22" s="6">
        <f>IF(G22=0,"Pick'em",IF(G22&gt;0,"Home","Away"))</f>
        <v/>
      </c>
      <c r="I22" t="n">
        <v>55.2</v>
      </c>
      <c r="K22" s="6">
        <f>I22-J22</f>
        <v/>
      </c>
      <c r="L22" s="6">
        <f>IF(K22=0,"Push",IF(K22&gt;0,"Over","Under"))</f>
        <v/>
      </c>
      <c r="M22" s="6">
        <f>IF(ABS(G22)&gt;=Settings!$B$5,H22,"Pass")</f>
        <v/>
      </c>
      <c r="N22" s="6">
        <f>IF(ABS(K22)&gt;=Settings!$B$6,L22,"Pass")</f>
        <v/>
      </c>
    </row>
    <row r="23">
      <c r="A23" t="n">
        <v>1</v>
      </c>
      <c r="B23" t="inlineStr">
        <is>
          <t>2026-09-04</t>
        </is>
      </c>
      <c r="C23" t="inlineStr">
        <is>
          <t>North Carolina A&amp;T</t>
        </is>
      </c>
      <c r="D23" t="inlineStr">
        <is>
          <t>Georgia State</t>
        </is>
      </c>
      <c r="E23" t="n">
        <v>-5.5</v>
      </c>
      <c r="G23" s="6">
        <f>F23-E23</f>
        <v/>
      </c>
      <c r="H23" s="6">
        <f>IF(G23=0,"Pick'em",IF(G23&gt;0,"Home","Away"))</f>
        <v/>
      </c>
      <c r="I23" t="n">
        <v>59</v>
      </c>
      <c r="K23" s="6">
        <f>I23-J23</f>
        <v/>
      </c>
      <c r="L23" s="6">
        <f>IF(K23=0,"Push",IF(K23&gt;0,"Over","Under"))</f>
        <v/>
      </c>
      <c r="M23" s="6">
        <f>IF(ABS(G23)&gt;=Settings!$B$5,H23,"Pass")</f>
        <v/>
      </c>
      <c r="N23" s="6">
        <f>IF(ABS(K23)&gt;=Settings!$B$6,L23,"Pass")</f>
        <v/>
      </c>
    </row>
    <row r="24">
      <c r="A24" t="n">
        <v>1</v>
      </c>
      <c r="B24" t="inlineStr">
        <is>
          <t>2026-09-04</t>
        </is>
      </c>
      <c r="C24" t="inlineStr">
        <is>
          <t>Indiana State</t>
        </is>
      </c>
      <c r="D24" t="inlineStr">
        <is>
          <t>Purdue</t>
        </is>
      </c>
      <c r="E24" t="n">
        <v>-10</v>
      </c>
      <c r="G24" s="6">
        <f>F24-E24</f>
        <v/>
      </c>
      <c r="H24" s="6">
        <f>IF(G24=0,"Pick'em",IF(G24&gt;0,"Home","Away"))</f>
        <v/>
      </c>
      <c r="I24" t="n">
        <v>53.6</v>
      </c>
      <c r="K24" s="6">
        <f>I24-J24</f>
        <v/>
      </c>
      <c r="L24" s="6">
        <f>IF(K24=0,"Push",IF(K24&gt;0,"Over","Under"))</f>
        <v/>
      </c>
      <c r="M24" s="6">
        <f>IF(ABS(G24)&gt;=Settings!$B$5,H24,"Pass")</f>
        <v/>
      </c>
      <c r="N24" s="6">
        <f>IF(ABS(K24)&gt;=Settings!$B$6,L24,"Pass")</f>
        <v/>
      </c>
    </row>
    <row r="25">
      <c r="A25" t="n">
        <v>1</v>
      </c>
      <c r="B25" t="inlineStr">
        <is>
          <t>2026-09-05</t>
        </is>
      </c>
      <c r="C25" t="inlineStr">
        <is>
          <t>Long Island University</t>
        </is>
      </c>
      <c r="D25" t="inlineStr">
        <is>
          <t>Kansas</t>
        </is>
      </c>
      <c r="E25" t="n">
        <v>-20.2</v>
      </c>
      <c r="G25" s="6">
        <f>F25-E25</f>
        <v/>
      </c>
      <c r="H25" s="6">
        <f>IF(G25=0,"Pick'em",IF(G25&gt;0,"Home","Away"))</f>
        <v/>
      </c>
      <c r="I25" t="n">
        <v>55.5</v>
      </c>
      <c r="K25" s="6">
        <f>I25-J25</f>
        <v/>
      </c>
      <c r="L25" s="6">
        <f>IF(K25=0,"Push",IF(K25&gt;0,"Over","Under"))</f>
        <v/>
      </c>
      <c r="M25" s="6">
        <f>IF(ABS(G25)&gt;=Settings!$B$5,H25,"Pass")</f>
        <v/>
      </c>
      <c r="N25" s="6">
        <f>IF(ABS(K25)&gt;=Settings!$B$6,L25,"Pass")</f>
        <v/>
      </c>
    </row>
    <row r="26">
      <c r="A26" t="n">
        <v>1</v>
      </c>
      <c r="B26" t="inlineStr">
        <is>
          <t>2026-09-05</t>
        </is>
      </c>
      <c r="C26" t="inlineStr">
        <is>
          <t>Toledo</t>
        </is>
      </c>
      <c r="D26" t="inlineStr">
        <is>
          <t>Michigan State</t>
        </is>
      </c>
      <c r="E26" t="n">
        <v>2.5</v>
      </c>
      <c r="G26" s="6">
        <f>F26-E26</f>
        <v/>
      </c>
      <c r="H26" s="6">
        <f>IF(G26=0,"Pick'em",IF(G26&gt;0,"Home","Away"))</f>
        <v/>
      </c>
      <c r="I26" t="n">
        <v>52.7</v>
      </c>
      <c r="K26" s="6">
        <f>I26-J26</f>
        <v/>
      </c>
      <c r="L26" s="6">
        <f>IF(K26=0,"Push",IF(K26&gt;0,"Over","Under"))</f>
        <v/>
      </c>
      <c r="M26" s="6">
        <f>IF(ABS(G26)&gt;=Settings!$B$5,H26,"Pass")</f>
        <v/>
      </c>
      <c r="N26" s="6">
        <f>IF(ABS(K26)&gt;=Settings!$B$6,L26,"Pass")</f>
        <v/>
      </c>
    </row>
    <row r="27">
      <c r="A27" t="n">
        <v>1</v>
      </c>
      <c r="B27" t="inlineStr">
        <is>
          <t>2026-09-05</t>
        </is>
      </c>
      <c r="C27" t="inlineStr">
        <is>
          <t>UTEP</t>
        </is>
      </c>
      <c r="D27" t="inlineStr">
        <is>
          <t>Oklahoma</t>
        </is>
      </c>
      <c r="E27" t="n">
        <v>-40.3</v>
      </c>
      <c r="G27" s="6">
        <f>F27-E27</f>
        <v/>
      </c>
      <c r="H27" s="6">
        <f>IF(G27=0,"Pick'em",IF(G27&gt;0,"Home","Away"))</f>
        <v/>
      </c>
      <c r="I27" t="n">
        <v>58.2</v>
      </c>
      <c r="K27" s="6">
        <f>I27-J27</f>
        <v/>
      </c>
      <c r="L27" s="6">
        <f>IF(K27=0,"Push",IF(K27&gt;0,"Over","Under"))</f>
        <v/>
      </c>
      <c r="M27" s="6">
        <f>IF(ABS(G27)&gt;=Settings!$B$5,H27,"Pass")</f>
        <v/>
      </c>
      <c r="N27" s="6">
        <f>IF(ABS(K27)&gt;=Settings!$B$6,L27,"Pass")</f>
        <v/>
      </c>
    </row>
    <row r="28">
      <c r="A28" t="n">
        <v>1</v>
      </c>
      <c r="B28" t="inlineStr">
        <is>
          <t>2026-09-05</t>
        </is>
      </c>
      <c r="C28" t="inlineStr">
        <is>
          <t>Fresno State</t>
        </is>
      </c>
      <c r="D28" t="inlineStr">
        <is>
          <t>USC</t>
        </is>
      </c>
      <c r="E28" t="n">
        <v>-25</v>
      </c>
      <c r="G28" s="6">
        <f>F28-E28</f>
        <v/>
      </c>
      <c r="H28" s="6">
        <f>IF(G28=0,"Pick'em",IF(G28&gt;0,"Home","Away"))</f>
        <v/>
      </c>
      <c r="I28" t="n">
        <v>56.4</v>
      </c>
      <c r="K28" s="6">
        <f>I28-J28</f>
        <v/>
      </c>
      <c r="L28" s="6">
        <f>IF(K28=0,"Push",IF(K28&gt;0,"Over","Under"))</f>
        <v/>
      </c>
      <c r="M28" s="6">
        <f>IF(ABS(G28)&gt;=Settings!$B$5,H28,"Pass")</f>
        <v/>
      </c>
      <c r="N28" s="6">
        <f>IF(ABS(K28)&gt;=Settings!$B$6,L28,"Pass")</f>
        <v/>
      </c>
    </row>
    <row r="29">
      <c r="A29" t="n">
        <v>1</v>
      </c>
      <c r="B29" t="inlineStr">
        <is>
          <t>2026-09-05</t>
        </is>
      </c>
      <c r="C29" t="inlineStr">
        <is>
          <t>Miami</t>
        </is>
      </c>
      <c r="D29" t="inlineStr">
        <is>
          <t>Stanford</t>
        </is>
      </c>
      <c r="E29" t="n">
        <v>21.6</v>
      </c>
      <c r="G29" s="6">
        <f>F29-E29</f>
        <v/>
      </c>
      <c r="H29" s="6">
        <f>IF(G29=0,"Pick'em",IF(G29&gt;0,"Home","Away"))</f>
        <v/>
      </c>
      <c r="I29" t="n">
        <v>53.3</v>
      </c>
      <c r="K29" s="6">
        <f>I29-J29</f>
        <v/>
      </c>
      <c r="L29" s="6">
        <f>IF(K29=0,"Push",IF(K29&gt;0,"Over","Under"))</f>
        <v/>
      </c>
      <c r="M29" s="6">
        <f>IF(ABS(G29)&gt;=Settings!$B$5,H29,"Pass")</f>
        <v/>
      </c>
      <c r="N29" s="6">
        <f>IF(ABS(K29)&gt;=Settings!$B$6,L29,"Pass")</f>
        <v/>
      </c>
    </row>
    <row r="30">
      <c r="A30" t="n">
        <v>1</v>
      </c>
      <c r="B30" t="inlineStr">
        <is>
          <t>2026-09-05</t>
        </is>
      </c>
      <c r="C30" t="inlineStr">
        <is>
          <t>New Hampshire</t>
        </is>
      </c>
      <c r="D30" t="inlineStr">
        <is>
          <t>Syracuse</t>
        </is>
      </c>
      <c r="E30" t="n">
        <v>-13.3</v>
      </c>
      <c r="G30" s="6">
        <f>F30-E30</f>
        <v/>
      </c>
      <c r="H30" s="6">
        <f>IF(G30=0,"Pick'em",IF(G30&gt;0,"Home","Away"))</f>
        <v/>
      </c>
      <c r="I30" t="n">
        <v>56.9</v>
      </c>
      <c r="K30" s="6">
        <f>I30-J30</f>
        <v/>
      </c>
      <c r="L30" s="6">
        <f>IF(K30=0,"Push",IF(K30&gt;0,"Over","Under"))</f>
        <v/>
      </c>
      <c r="M30" s="6">
        <f>IF(ABS(G30)&gt;=Settings!$B$5,H30,"Pass")</f>
        <v/>
      </c>
      <c r="N30" s="6">
        <f>IF(ABS(K30)&gt;=Settings!$B$6,L30,"Pass")</f>
        <v/>
      </c>
    </row>
    <row r="31">
      <c r="A31" t="n">
        <v>1</v>
      </c>
      <c r="B31" t="inlineStr">
        <is>
          <t>2026-09-05</t>
        </is>
      </c>
      <c r="C31" t="inlineStr">
        <is>
          <t>Lafayette</t>
        </is>
      </c>
      <c r="D31" t="inlineStr">
        <is>
          <t>UConn</t>
        </is>
      </c>
      <c r="E31" t="n">
        <v>-26.9</v>
      </c>
      <c r="G31" s="6">
        <f>F31-E31</f>
        <v/>
      </c>
      <c r="H31" s="6">
        <f>IF(G31=0,"Pick'em",IF(G31&gt;0,"Home","Away"))</f>
        <v/>
      </c>
      <c r="I31" t="n">
        <v>51.5</v>
      </c>
      <c r="K31" s="6">
        <f>I31-J31</f>
        <v/>
      </c>
      <c r="L31" s="6">
        <f>IF(K31=0,"Push",IF(K31&gt;0,"Over","Under"))</f>
        <v/>
      </c>
      <c r="M31" s="6">
        <f>IF(ABS(G31)&gt;=Settings!$B$5,H31,"Pass")</f>
        <v/>
      </c>
      <c r="N31" s="6">
        <f>IF(ABS(K31)&gt;=Settings!$B$6,L31,"Pass")</f>
        <v/>
      </c>
    </row>
    <row r="32">
      <c r="A32" t="n">
        <v>1</v>
      </c>
      <c r="B32" t="inlineStr">
        <is>
          <t>2026-09-05</t>
        </is>
      </c>
      <c r="C32" t="inlineStr">
        <is>
          <t>East Carolina</t>
        </is>
      </c>
      <c r="D32" t="inlineStr">
        <is>
          <t>Alabama</t>
        </is>
      </c>
      <c r="E32" t="n">
        <v>-21.1</v>
      </c>
      <c r="G32" s="6">
        <f>F32-E32</f>
        <v/>
      </c>
      <c r="H32" s="6">
        <f>IF(G32=0,"Pick'em",IF(G32&gt;0,"Home","Away"))</f>
        <v/>
      </c>
      <c r="I32" t="n">
        <v>57.8</v>
      </c>
      <c r="K32" s="6">
        <f>I32-J32</f>
        <v/>
      </c>
      <c r="L32" s="6">
        <f>IF(K32=0,"Push",IF(K32&gt;0,"Over","Under"))</f>
        <v/>
      </c>
      <c r="M32" s="6">
        <f>IF(ABS(G32)&gt;=Settings!$B$5,H32,"Pass")</f>
        <v/>
      </c>
      <c r="N32" s="6">
        <f>IF(ABS(K32)&gt;=Settings!$B$6,L32,"Pass")</f>
        <v/>
      </c>
    </row>
    <row r="33">
      <c r="A33" t="n">
        <v>1</v>
      </c>
      <c r="B33" t="inlineStr">
        <is>
          <t>2026-09-05</t>
        </is>
      </c>
      <c r="C33" t="inlineStr">
        <is>
          <t>North Texas</t>
        </is>
      </c>
      <c r="D33" t="inlineStr">
        <is>
          <t>Indiana</t>
        </is>
      </c>
      <c r="E33" t="n">
        <v>-30.1</v>
      </c>
      <c r="G33" s="6">
        <f>F33-E33</f>
        <v/>
      </c>
      <c r="H33" s="6">
        <f>IF(G33=0,"Pick'em",IF(G33&gt;0,"Home","Away"))</f>
        <v/>
      </c>
      <c r="I33" t="n">
        <v>59.6</v>
      </c>
      <c r="K33" s="6">
        <f>I33-J33</f>
        <v/>
      </c>
      <c r="L33" s="6">
        <f>IF(K33=0,"Push",IF(K33&gt;0,"Over","Under"))</f>
        <v/>
      </c>
      <c r="M33" s="6">
        <f>IF(ABS(G33)&gt;=Settings!$B$5,H33,"Pass")</f>
        <v/>
      </c>
      <c r="N33" s="6">
        <f>IF(ABS(K33)&gt;=Settings!$B$6,L33,"Pass")</f>
        <v/>
      </c>
    </row>
    <row r="34">
      <c r="A34" t="n">
        <v>1</v>
      </c>
      <c r="B34" t="inlineStr">
        <is>
          <t>2026-09-05</t>
        </is>
      </c>
      <c r="C34" t="inlineStr">
        <is>
          <t>Tarleton State</t>
        </is>
      </c>
      <c r="D34" t="inlineStr">
        <is>
          <t>Bowling Green</t>
        </is>
      </c>
      <c r="E34" t="n">
        <v>-9</v>
      </c>
      <c r="G34" s="6">
        <f>F34-E34</f>
        <v/>
      </c>
      <c r="H34" s="6">
        <f>IF(G34=0,"Pick'em",IF(G34&gt;0,"Home","Away"))</f>
        <v/>
      </c>
      <c r="I34" t="n">
        <v>56.1</v>
      </c>
      <c r="K34" s="6">
        <f>I34-J34</f>
        <v/>
      </c>
      <c r="L34" s="6">
        <f>IF(K34=0,"Push",IF(K34&gt;0,"Over","Under"))</f>
        <v/>
      </c>
      <c r="M34" s="6">
        <f>IF(ABS(G34)&gt;=Settings!$B$5,H34,"Pass")</f>
        <v/>
      </c>
      <c r="N34" s="6">
        <f>IF(ABS(K34)&gt;=Settings!$B$6,L34,"Pass")</f>
        <v/>
      </c>
    </row>
    <row r="35">
      <c r="A35" t="n">
        <v>1</v>
      </c>
      <c r="B35" t="inlineStr">
        <is>
          <t>2026-09-05</t>
        </is>
      </c>
      <c r="C35" t="inlineStr">
        <is>
          <t>Bryant</t>
        </is>
      </c>
      <c r="D35" t="inlineStr">
        <is>
          <t>Army</t>
        </is>
      </c>
      <c r="E35" t="n">
        <v>-28.9</v>
      </c>
      <c r="G35" s="6">
        <f>F35-E35</f>
        <v/>
      </c>
      <c r="H35" s="6">
        <f>IF(G35=0,"Pick'em",IF(G35&gt;0,"Home","Away"))</f>
        <v/>
      </c>
      <c r="I35" t="n">
        <v>49.8</v>
      </c>
      <c r="K35" s="6">
        <f>I35-J35</f>
        <v/>
      </c>
      <c r="L35" s="6">
        <f>IF(K35=0,"Push",IF(K35&gt;0,"Over","Under"))</f>
        <v/>
      </c>
      <c r="M35" s="6">
        <f>IF(ABS(G35)&gt;=Settings!$B$5,H35,"Pass")</f>
        <v/>
      </c>
      <c r="N35" s="6">
        <f>IF(ABS(K35)&gt;=Settings!$B$6,L35,"Pass")</f>
        <v/>
      </c>
    </row>
    <row r="36">
      <c r="A36" t="n">
        <v>1</v>
      </c>
      <c r="B36" t="inlineStr">
        <is>
          <t>2026-09-05</t>
        </is>
      </c>
      <c r="C36" t="inlineStr">
        <is>
          <t>Coastal Carolina</t>
        </is>
      </c>
      <c r="D36" t="inlineStr">
        <is>
          <t>West Virginia</t>
        </is>
      </c>
      <c r="E36" t="n">
        <v>-11.5</v>
      </c>
      <c r="G36" s="6">
        <f>F36-E36</f>
        <v/>
      </c>
      <c r="H36" s="6">
        <f>IF(G36=0,"Pick'em",IF(G36&gt;0,"Home","Away"))</f>
        <v/>
      </c>
      <c r="I36" t="n">
        <v>57.9</v>
      </c>
      <c r="K36" s="6">
        <f>I36-J36</f>
        <v/>
      </c>
      <c r="L36" s="6">
        <f>IF(K36=0,"Push",IF(K36&gt;0,"Over","Under"))</f>
        <v/>
      </c>
      <c r="M36" s="6">
        <f>IF(ABS(G36)&gt;=Settings!$B$5,H36,"Pass")</f>
        <v/>
      </c>
      <c r="N36" s="6">
        <f>IF(ABS(K36)&gt;=Settings!$B$6,L36,"Pass")</f>
        <v/>
      </c>
    </row>
    <row r="37">
      <c r="A37" t="n">
        <v>1</v>
      </c>
      <c r="B37" t="inlineStr">
        <is>
          <t>2026-09-05</t>
        </is>
      </c>
      <c r="C37" t="inlineStr">
        <is>
          <t>Oregon State</t>
        </is>
      </c>
      <c r="D37" t="inlineStr">
        <is>
          <t>Houston</t>
        </is>
      </c>
      <c r="E37" t="n">
        <v>-28.1</v>
      </c>
      <c r="G37" s="6">
        <f>F37-E37</f>
        <v/>
      </c>
      <c r="H37" s="6">
        <f>IF(G37=0,"Pick'em",IF(G37&gt;0,"Home","Away"))</f>
        <v/>
      </c>
      <c r="I37" t="n">
        <v>58.5</v>
      </c>
      <c r="K37" s="6">
        <f>I37-J37</f>
        <v/>
      </c>
      <c r="L37" s="6">
        <f>IF(K37=0,"Push",IF(K37&gt;0,"Over","Under"))</f>
        <v/>
      </c>
      <c r="M37" s="6">
        <f>IF(ABS(G37)&gt;=Settings!$B$5,H37,"Pass")</f>
        <v/>
      </c>
      <c r="N37" s="6">
        <f>IF(ABS(K37)&gt;=Settings!$B$6,L37,"Pass")</f>
        <v/>
      </c>
    </row>
    <row r="38">
      <c r="A38" t="n">
        <v>1</v>
      </c>
      <c r="B38" t="inlineStr">
        <is>
          <t>2026-09-05</t>
        </is>
      </c>
      <c r="C38" t="inlineStr">
        <is>
          <t>Liberty</t>
        </is>
      </c>
      <c r="D38" t="inlineStr">
        <is>
          <t>James Madison</t>
        </is>
      </c>
      <c r="E38" t="n">
        <v>-34</v>
      </c>
      <c r="G38" s="6">
        <f>F38-E38</f>
        <v/>
      </c>
      <c r="H38" s="6">
        <f>IF(G38=0,"Pick'em",IF(G38&gt;0,"Home","Away"))</f>
        <v/>
      </c>
      <c r="I38" t="n">
        <v>55.5</v>
      </c>
      <c r="K38" s="6">
        <f>I38-J38</f>
        <v/>
      </c>
      <c r="L38" s="6">
        <f>IF(K38=0,"Push",IF(K38&gt;0,"Over","Under"))</f>
        <v/>
      </c>
      <c r="M38" s="6">
        <f>IF(ABS(G38)&gt;=Settings!$B$5,H38,"Pass")</f>
        <v/>
      </c>
      <c r="N38" s="6">
        <f>IF(ABS(K38)&gt;=Settings!$B$6,L38,"Pass")</f>
        <v/>
      </c>
    </row>
    <row r="39">
      <c r="A39" t="n">
        <v>1</v>
      </c>
      <c r="B39" t="inlineStr">
        <is>
          <t>2026-09-05</t>
        </is>
      </c>
      <c r="C39" t="inlineStr">
        <is>
          <t>Ohio</t>
        </is>
      </c>
      <c r="D39" t="inlineStr">
        <is>
          <t>Nebraska</t>
        </is>
      </c>
      <c r="E39" t="n">
        <v>-1.1</v>
      </c>
      <c r="G39" s="6">
        <f>F39-E39</f>
        <v/>
      </c>
      <c r="H39" s="6">
        <f>IF(G39=0,"Pick'em",IF(G39&gt;0,"Home","Away"))</f>
        <v/>
      </c>
      <c r="I39" t="n">
        <v>52.8</v>
      </c>
      <c r="K39" s="6">
        <f>I39-J39</f>
        <v/>
      </c>
      <c r="L39" s="6">
        <f>IF(K39=0,"Push",IF(K39&gt;0,"Over","Under"))</f>
        <v/>
      </c>
      <c r="M39" s="6">
        <f>IF(ABS(G39)&gt;=Settings!$B$5,H39,"Pass")</f>
        <v/>
      </c>
      <c r="N39" s="6">
        <f>IF(ABS(K39)&gt;=Settings!$B$6,L39,"Pass")</f>
        <v/>
      </c>
    </row>
    <row r="40">
      <c r="A40" t="n">
        <v>1</v>
      </c>
      <c r="B40" t="inlineStr">
        <is>
          <t>2026-09-05</t>
        </is>
      </c>
      <c r="C40" t="inlineStr">
        <is>
          <t>Miami (OH)</t>
        </is>
      </c>
      <c r="D40" t="inlineStr">
        <is>
          <t>Pittsburgh</t>
        </is>
      </c>
      <c r="E40" t="n">
        <v>-14.5</v>
      </c>
      <c r="G40" s="6">
        <f>F40-E40</f>
        <v/>
      </c>
      <c r="H40" s="6">
        <f>IF(G40=0,"Pick'em",IF(G40&gt;0,"Home","Away"))</f>
        <v/>
      </c>
      <c r="I40" t="n">
        <v>52.2</v>
      </c>
      <c r="K40" s="6">
        <f>I40-J40</f>
        <v/>
      </c>
      <c r="L40" s="6">
        <f>IF(K40=0,"Push",IF(K40&gt;0,"Over","Under"))</f>
        <v/>
      </c>
      <c r="M40" s="6">
        <f>IF(ABS(G40)&gt;=Settings!$B$5,H40,"Pass")</f>
        <v/>
      </c>
      <c r="N40" s="6">
        <f>IF(ABS(K40)&gt;=Settings!$B$6,L40,"Pass")</f>
        <v/>
      </c>
    </row>
    <row r="41">
      <c r="A41" t="n">
        <v>1</v>
      </c>
      <c r="B41" t="inlineStr">
        <is>
          <t>2026-09-05</t>
        </is>
      </c>
      <c r="C41" t="inlineStr">
        <is>
          <t>Ball State</t>
        </is>
      </c>
      <c r="D41" t="inlineStr">
        <is>
          <t>Ohio State</t>
        </is>
      </c>
      <c r="E41" t="n">
        <v>-52.6</v>
      </c>
      <c r="G41" s="6">
        <f>F41-E41</f>
        <v/>
      </c>
      <c r="H41" s="6">
        <f>IF(G41=0,"Pick'em",IF(G41&gt;0,"Home","Away"))</f>
        <v/>
      </c>
      <c r="I41" t="n">
        <v>56.2</v>
      </c>
      <c r="K41" s="6">
        <f>I41-J41</f>
        <v/>
      </c>
      <c r="L41" s="6">
        <f>IF(K41=0,"Push",IF(K41&gt;0,"Over","Under"))</f>
        <v/>
      </c>
      <c r="M41" s="6">
        <f>IF(ABS(G41)&gt;=Settings!$B$5,H41,"Pass")</f>
        <v/>
      </c>
      <c r="N41" s="6">
        <f>IF(ABS(K41)&gt;=Settings!$B$6,L41,"Pass")</f>
        <v/>
      </c>
    </row>
    <row r="42">
      <c r="A42" t="n">
        <v>1</v>
      </c>
      <c r="B42" t="inlineStr">
        <is>
          <t>2026-09-05</t>
        </is>
      </c>
      <c r="C42" t="inlineStr">
        <is>
          <t>Kent State</t>
        </is>
      </c>
      <c r="D42" t="inlineStr">
        <is>
          <t>South Carolina</t>
        </is>
      </c>
      <c r="E42" t="n">
        <v>-27.8</v>
      </c>
      <c r="G42" s="6">
        <f>F42-E42</f>
        <v/>
      </c>
      <c r="H42" s="6">
        <f>IF(G42=0,"Pick'em",IF(G42&gt;0,"Home","Away"))</f>
        <v/>
      </c>
      <c r="I42" t="n">
        <v>54.3</v>
      </c>
      <c r="K42" s="6">
        <f>I42-J42</f>
        <v/>
      </c>
      <c r="L42" s="6">
        <f>IF(K42=0,"Push",IF(K42&gt;0,"Over","Under"))</f>
        <v/>
      </c>
      <c r="M42" s="6">
        <f>IF(ABS(G42)&gt;=Settings!$B$5,H42,"Pass")</f>
        <v/>
      </c>
      <c r="N42" s="6">
        <f>IF(ABS(K42)&gt;=Settings!$B$6,L42,"Pass")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1" customWidth="1" min="1" max="1"/>
    <col width="6" customWidth="1" min="2" max="2"/>
    <col width="26" customWidth="1" min="3" max="3"/>
    <col width="10" customWidth="1" min="4" max="4"/>
    <col width="18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s="8" t="inlineStr">
        <is>
          <t>2026-08-29</t>
        </is>
      </c>
      <c r="B2" s="8" t="n">
        <v>1</v>
      </c>
      <c r="C2" s="8" t="inlineStr">
        <is>
          <t>San José State @ Air Force</t>
        </is>
      </c>
      <c r="D2" s="8" t="inlineStr">
        <is>
          <t>Spread</t>
        </is>
      </c>
      <c r="E2" s="8" t="inlineStr">
        <is>
          <t>Air Force -4.5</t>
        </is>
      </c>
      <c r="F2" s="8" t="n">
        <v>-4.5</v>
      </c>
      <c r="G2" s="8" t="n">
        <v>-110</v>
      </c>
      <c r="H2" s="8" t="n">
        <v>2</v>
      </c>
      <c r="I2" s="8" t="n">
        <v>-6</v>
      </c>
      <c r="J2" s="6">
        <f>I2-F2</f>
        <v/>
      </c>
      <c r="K2" s="8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J4" s="6">
        <f>IF(I4="","",I4-F4)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J5" s="6">
        <f>IF(I5="","",I5-F5)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2">
      <c r="J42" s="6">
        <f>IF(I42="","",I42-F42)</f>
        <v/>
      </c>
      <c r="L42" s="6">
        <f>IF(K42="W",IF(G42&lt;0,H42*100/ABS(G42),H42*G42/100),IF(K42="L",-H42,0))</f>
        <v/>
      </c>
      <c r="M42" s="6">
        <f>Settings!$B$4+SUM(L$2:L42)</f>
        <v/>
      </c>
    </row>
    <row r="45">
      <c r="A45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6" customWidth="1" min="1" max="1"/>
    <col width="26" customWidth="1" min="2" max="2"/>
    <col width="1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Air Force</t>
        </is>
      </c>
      <c r="B2" s="6" t="inlineStr">
        <is>
          <t>Mountain West</t>
        </is>
      </c>
      <c r="C2" s="6" t="inlineStr">
        <is>
          <t>N</t>
        </is>
      </c>
      <c r="D2" s="8" t="n">
        <v>1473</v>
      </c>
      <c r="E2" s="8" t="n">
        <v>-3.2</v>
      </c>
      <c r="F2" s="8" t="n">
        <v>0.286935598221958</v>
      </c>
      <c r="G2" s="8" t="n">
        <v>0.4016443170135715</v>
      </c>
      <c r="H2" s="8" t="n">
        <v>141</v>
      </c>
      <c r="I2" s="2" t="inlineStr">
        <is>
          <t>Full MW history available. Option offense; home elevation ~6,621 ft.</t>
        </is>
      </c>
    </row>
    <row r="3">
      <c r="A3" s="6" t="inlineStr">
        <is>
          <t>Hawai'i</t>
        </is>
      </c>
      <c r="B3" s="6" t="inlineStr">
        <is>
          <t>Mountain West</t>
        </is>
      </c>
      <c r="C3" s="6" t="inlineStr">
        <is>
          <t>N</t>
        </is>
      </c>
      <c r="D3" s="8" t="n">
        <v>1561.1</v>
      </c>
      <c r="E3" s="8" t="n">
        <v>-2.6</v>
      </c>
      <c r="F3" s="8" t="n">
        <v>0.1674201707393385</v>
      </c>
      <c r="G3" s="8" t="n">
        <v>0.163302527678112</v>
      </c>
      <c r="H3" s="8" t="n">
        <v>124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Nevada</t>
        </is>
      </c>
      <c r="B4" s="6" t="inlineStr">
        <is>
          <t>Mountain West</t>
        </is>
      </c>
      <c r="C4" s="6" t="inlineStr">
        <is>
          <t>N</t>
        </is>
      </c>
      <c r="D4" s="8" t="n">
        <v>1361.9</v>
      </c>
      <c r="E4" s="8" t="n">
        <v>-11.7</v>
      </c>
      <c r="F4" s="8" t="n">
        <v>0.03365966628322248</v>
      </c>
      <c r="G4" s="8" t="n">
        <v>0.187141422349949</v>
      </c>
      <c r="H4" s="8" t="n">
        <v>98</v>
      </c>
      <c r="I4" s="2" t="inlineStr">
        <is>
          <t>Full history available.</t>
        </is>
      </c>
    </row>
    <row r="5">
      <c r="A5" s="6" t="inlineStr">
        <is>
          <t>New Mexico</t>
        </is>
      </c>
      <c r="B5" s="6" t="inlineStr">
        <is>
          <t>Mountain West</t>
        </is>
      </c>
      <c r="C5" s="6" t="inlineStr">
        <is>
          <t>N</t>
        </is>
      </c>
      <c r="D5" s="8" t="n">
        <v>1566.5</v>
      </c>
      <c r="E5" s="8" t="n">
        <v>0</v>
      </c>
      <c r="F5" s="8" t="n">
        <v>0.1604555999630125</v>
      </c>
      <c r="G5" s="8" t="n">
        <v>0.1048040165888917</v>
      </c>
      <c r="H5" s="8" t="n">
        <v>87</v>
      </c>
      <c r="I5" s="2" t="inlineStr">
        <is>
          <t>Full history. Home elevation ~5,000+ ft.</t>
        </is>
      </c>
    </row>
    <row r="6">
      <c r="A6" s="6" t="inlineStr">
        <is>
          <t>North Dakota State</t>
        </is>
      </c>
      <c r="B6" s="6" t="inlineStr">
        <is>
          <t>FCS (Missouri Valley Football Conference)</t>
        </is>
      </c>
      <c r="C6" s="6" t="inlineStr">
        <is>
          <t>Y</t>
        </is>
      </c>
      <c r="D6" s="8" t="n">
        <v>1790.9</v>
      </c>
      <c r="E6" s="8" t="n">
        <v>-1.8</v>
      </c>
      <c r="F6" s="8" t="n"/>
      <c r="G6" s="8" t="n"/>
      <c r="H6" s="8" t="n">
        <v>117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Northern Illinois</t>
        </is>
      </c>
      <c r="B7" s="6" t="inlineStr">
        <is>
          <t>MAC</t>
        </is>
      </c>
      <c r="C7" s="6" t="inlineStr">
        <is>
          <t>Y</t>
        </is>
      </c>
      <c r="D7" s="8" t="n">
        <v>1394.5</v>
      </c>
      <c r="E7" s="8" t="n">
        <v>-17.2</v>
      </c>
      <c r="F7" s="8" t="n">
        <v>0.04689237303920656</v>
      </c>
      <c r="G7" s="8" t="n">
        <v>0.1861273080394991</v>
      </c>
      <c r="H7" s="8" t="n">
        <v>82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San José State</t>
        </is>
      </c>
      <c r="B8" s="6" t="inlineStr">
        <is>
          <t>Mountain West</t>
        </is>
      </c>
      <c r="C8" s="6" t="inlineStr">
        <is>
          <t>N</t>
        </is>
      </c>
      <c r="D8" s="8" t="n">
        <v>1388.2</v>
      </c>
      <c r="E8" s="8" t="n">
        <v>-15.7</v>
      </c>
      <c r="F8" s="8" t="n">
        <v>0.1717992412693814</v>
      </c>
      <c r="G8" s="8" t="n">
        <v>0.2035861313923595</v>
      </c>
      <c r="H8" s="8" t="n">
        <v>129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UNLV</t>
        </is>
      </c>
      <c r="B9" s="6" t="inlineStr">
        <is>
          <t>Mountain West</t>
        </is>
      </c>
      <c r="C9" s="6" t="inlineStr">
        <is>
          <t>N</t>
        </is>
      </c>
      <c r="D9" s="8" t="n">
        <v>1645.3</v>
      </c>
      <c r="E9" s="8" t="n">
        <v>3.6</v>
      </c>
      <c r="F9" s="8" t="n">
        <v>0.2978672891337787</v>
      </c>
      <c r="G9" s="8" t="n">
        <v>0.2101010006427078</v>
      </c>
      <c r="H9" s="8" t="n">
        <v>63</v>
      </c>
      <c r="I9" s="2" t="inlineStr">
        <is>
          <t>Full history available.</t>
        </is>
      </c>
    </row>
    <row r="10">
      <c r="A10" s="6" t="inlineStr">
        <is>
          <t>UTEP</t>
        </is>
      </c>
      <c r="B10" s="6" t="inlineStr">
        <is>
          <t>Conference USA</t>
        </is>
      </c>
      <c r="C10" s="6" t="inlineStr">
        <is>
          <t>Y</t>
        </is>
      </c>
      <c r="D10" s="8" t="n">
        <v>1302.8</v>
      </c>
      <c r="E10" s="8" t="n">
        <v>-19.3</v>
      </c>
      <c r="F10" s="8" t="n">
        <v>0.0127842137907675</v>
      </c>
      <c r="G10" s="8" t="n">
        <v>0.1007763319294122</v>
      </c>
      <c r="H10" s="8" t="n">
        <v>92</v>
      </c>
      <c r="I10" s="2" t="inlineStr">
        <is>
          <t>No MW history; bring its full C-USA-era game log (already FBS).</t>
        </is>
      </c>
    </row>
    <row r="11">
      <c r="A11" s="6" t="inlineStr">
        <is>
          <t>Wyoming</t>
        </is>
      </c>
      <c r="B11" s="6" t="inlineStr">
        <is>
          <t>Mountain West</t>
        </is>
      </c>
      <c r="C11" s="6" t="inlineStr">
        <is>
          <t>N</t>
        </is>
      </c>
      <c r="D11" s="8" t="n">
        <v>1399.9</v>
      </c>
      <c r="E11" s="8" t="n">
        <v>-10.8</v>
      </c>
      <c r="F11" s="8" t="n">
        <v>0.04868411996031556</v>
      </c>
      <c r="G11" s="8" t="n">
        <v>0.06891172319885128</v>
      </c>
      <c r="H11" s="8" t="n">
        <v>114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2026-08-25T20:58:47Z</dcterms:modified>
  <cp:lastModifiedBy>Edward Andrewlevich</cp:lastModifiedBy>
  <cp:revision>0</cp:revision>
</cp:coreProperties>
</file>