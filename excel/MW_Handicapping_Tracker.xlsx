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Weekly Slate" sheetId="3" state="visible" r:id="rId3"/>
    <sheet xmlns:r="http://schemas.openxmlformats.org/officeDocument/2006/relationships" name="Bet Log" sheetId="4" state="visible" r:id="rId4"/>
    <sheet xmlns:r="http://schemas.openxmlformats.org/officeDocument/2006/relationships" name="Team Profiles" sheetId="5" state="visible" r:id="rId5"/>
    <sheet xmlns:r="http://schemas.openxmlformats.org/officeDocument/2006/relationships"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2</v>
      </c>
      <c r="B2" t="inlineStr">
        <is>
          <t>2026-09-12</t>
        </is>
      </c>
      <c r="C2" t="inlineStr">
        <is>
          <t>UNLV</t>
        </is>
      </c>
      <c r="D2" t="inlineStr">
        <is>
          <t>North Texas</t>
        </is>
      </c>
      <c r="E2" t="n">
        <v>-3.9</v>
      </c>
      <c r="F2" t="n">
        <v>3.5</v>
      </c>
      <c r="G2" s="6">
        <f>F2-E2</f>
        <v/>
      </c>
      <c r="H2" s="6">
        <f>IF(G2=0,"Pick'em",IF(G2&gt;0,"Home","Away"))</f>
        <v/>
      </c>
      <c r="I2" t="n">
        <v>63.2</v>
      </c>
      <c r="J2" t="n">
        <v>56.8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2</v>
      </c>
      <c r="B3" t="inlineStr">
        <is>
          <t>2026-09-12</t>
        </is>
      </c>
      <c r="C3" t="inlineStr">
        <is>
          <t>Northern Colorado</t>
        </is>
      </c>
      <c r="D3" t="inlineStr">
        <is>
          <t>Wyoming</t>
        </is>
      </c>
      <c r="E3" t="n">
        <v>-17.1</v>
      </c>
      <c r="G3" s="6">
        <f>F3-E3</f>
        <v/>
      </c>
      <c r="H3" s="6">
        <f>IF(G3=0,"Pick'em",IF(G3&gt;0,"Home","Away"))</f>
        <v/>
      </c>
      <c r="I3" t="n">
        <v>55.2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2</v>
      </c>
      <c r="B4" t="inlineStr">
        <is>
          <t>2026-09-12</t>
        </is>
      </c>
      <c r="C4" t="inlineStr">
        <is>
          <t>Mercyhurst</t>
        </is>
      </c>
      <c r="D4" t="inlineStr">
        <is>
          <t>New Mexico</t>
        </is>
      </c>
      <c r="E4" t="n">
        <v>-17.1</v>
      </c>
      <c r="G4" s="6">
        <f>F4-E4</f>
        <v/>
      </c>
      <c r="H4" s="6">
        <f>IF(G4=0,"Pick'em",IF(G4&gt;0,"Home","Away"))</f>
        <v/>
      </c>
      <c r="I4" t="n">
        <v>54.1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2</v>
      </c>
      <c r="B5" t="inlineStr">
        <is>
          <t>2026-09-12</t>
        </is>
      </c>
      <c r="C5" t="inlineStr">
        <is>
          <t>Illinois State</t>
        </is>
      </c>
      <c r="D5" t="inlineStr">
        <is>
          <t>Northern Illinois</t>
        </is>
      </c>
      <c r="E5" t="n">
        <v>-16</v>
      </c>
      <c r="G5" s="6">
        <f>F5-E5</f>
        <v/>
      </c>
      <c r="H5" s="6">
        <f>IF(G5=0,"Pick'em",IF(G5&gt;0,"Home","Away"))</f>
        <v/>
      </c>
      <c r="I5" t="n">
        <v>54.9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2</v>
      </c>
      <c r="B6" t="inlineStr">
        <is>
          <t>2026-09-13</t>
        </is>
      </c>
      <c r="C6" t="inlineStr">
        <is>
          <t>Texas Southern</t>
        </is>
      </c>
      <c r="D6" t="inlineStr">
        <is>
          <t>UTEP</t>
        </is>
      </c>
      <c r="E6" t="n">
        <v>-16.1</v>
      </c>
      <c r="G6" s="6">
        <f>F6-E6</f>
        <v/>
      </c>
      <c r="H6" s="6">
        <f>IF(G6=0,"Pick'em",IF(G6&gt;0,"Home","Away"))</f>
        <v/>
      </c>
      <c r="I6" t="n">
        <v>55.2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2</v>
      </c>
      <c r="B7" s="10" t="inlineStr">
        <is>
          <t>2026-09-13</t>
        </is>
      </c>
      <c r="C7" s="10" t="inlineStr">
        <is>
          <t>Cal Poly</t>
        </is>
      </c>
      <c r="D7" s="10" t="inlineStr">
        <is>
          <t>San José State</t>
        </is>
      </c>
      <c r="E7" s="10" t="n">
        <v>-21</v>
      </c>
      <c r="F7" s="10" t="n"/>
      <c r="G7" s="10">
        <f>F7-E7</f>
        <v/>
      </c>
      <c r="H7" s="10">
        <f>IF(G7=0,"Pick'em",IF(G7&gt;0,"Home","Away"))</f>
        <v/>
      </c>
      <c r="I7" s="10" t="n">
        <v>55.2</v>
      </c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2</v>
      </c>
      <c r="B8" t="inlineStr">
        <is>
          <t>2026-09-13</t>
        </is>
      </c>
      <c r="C8" t="inlineStr">
        <is>
          <t>North Dakota State</t>
        </is>
      </c>
      <c r="D8" t="inlineStr">
        <is>
          <t>Air Force</t>
        </is>
      </c>
      <c r="E8" t="n">
        <v>16.9</v>
      </c>
      <c r="F8" t="n">
        <v>2.5</v>
      </c>
      <c r="G8" s="6">
        <f>F8-E8</f>
        <v/>
      </c>
      <c r="H8" s="6">
        <f>IF(G8=0,"Pick'em",IF(G8&gt;0,"Home","Away"))</f>
        <v/>
      </c>
      <c r="I8" t="n">
        <v>44.6</v>
      </c>
      <c r="J8" t="n">
        <v>47.2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2</v>
      </c>
      <c r="B9" t="inlineStr">
        <is>
          <t>2026-09-13</t>
        </is>
      </c>
      <c r="C9" t="inlineStr">
        <is>
          <t>Montana State</t>
        </is>
      </c>
      <c r="D9" t="inlineStr">
        <is>
          <t>Nevada</t>
        </is>
      </c>
      <c r="E9" t="n">
        <v>-17.2</v>
      </c>
      <c r="F9" t="n">
        <v>4.5</v>
      </c>
      <c r="G9" s="6">
        <f>F9-E9</f>
        <v/>
      </c>
      <c r="H9" s="6">
        <f>IF(G9=0,"Pick'em",IF(G9&gt;0,"Home","Away"))</f>
        <v/>
      </c>
      <c r="I9" t="n">
        <v>55.3</v>
      </c>
      <c r="J9" t="n">
        <v>49.5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2</v>
      </c>
      <c r="B10" t="inlineStr">
        <is>
          <t>2026-09-13</t>
        </is>
      </c>
      <c r="C10" t="inlineStr">
        <is>
          <t>New Mexico State</t>
        </is>
      </c>
      <c r="D10" t="inlineStr">
        <is>
          <t>Hawai'i</t>
        </is>
      </c>
      <c r="E10" t="n">
        <v>-14.1</v>
      </c>
      <c r="F10" t="n">
        <v>-7.5</v>
      </c>
      <c r="G10" s="6">
        <f>F10-E10</f>
        <v/>
      </c>
      <c r="H10" s="6">
        <f>IF(G10=0,"Pick'em",IF(G10&gt;0,"Home","Away"))</f>
        <v/>
      </c>
      <c r="I10" t="n">
        <v>55.2</v>
      </c>
      <c r="J10" t="n">
        <v>49.8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abSelected="1" zoomScaleNormal="100" workbookViewId="0">
      <pane ySplit="1" topLeftCell="A2" activePane="bottomLeft" state="frozen"/>
      <selection pane="bottomLeft" activeCell="E36" sqref="E36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IF(I18="","",I18-F29)</f>
        <v/>
      </c>
      <c r="K18" t="inlineStr">
        <is>
          <t>L</t>
        </is>
      </c>
      <c r="L18" s="11">
        <f>IF(K18="W",IF(G29&lt;0,H29*100/ABS(G29),H29*G29/100),IF(K18="L",-H29,0))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IF(I19="","",I19-F30)</f>
        <v/>
      </c>
      <c r="K19" t="inlineStr">
        <is>
          <t>W</t>
        </is>
      </c>
      <c r="L19" s="11">
        <f>IF(K19="W",IF(G30&lt;0,H30*100/ABS(G30),H30*G30/100),IF(K19="L",-H30,0))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IF(I20="","",I20-F31)</f>
        <v/>
      </c>
      <c r="K20" t="inlineStr">
        <is>
          <t>L</t>
        </is>
      </c>
      <c r="L20" s="11">
        <f>IF(K20="W",IF(G31&lt;0,H31*100/ABS(G31),H31*G31/100),IF(K20="L",-H31,0))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IF(I21="","",I21-F32)</f>
        <v/>
      </c>
      <c r="K21" t="inlineStr">
        <is>
          <t>L</t>
        </is>
      </c>
      <c r="L21" s="11">
        <f>IF(K21="W",IF(G32&lt;0,H32*100/ABS(G32),H32*G32/100),IF(K21="L",-H32,0))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IF(I22="","",I22-F33)</f>
        <v/>
      </c>
      <c r="K22" t="inlineStr">
        <is>
          <t>W</t>
        </is>
      </c>
      <c r="L22" s="11">
        <f>IF(K22="W",IF(G33&lt;0,H33*100/ABS(G33),H33*G33/100),IF(K22="L",-H33,0))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IF(I28="","",I28-#REF!)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J29" s="6">
        <f>IF(I29="","",I29-#REF!)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J30" s="6">
        <f>IF(I30="","",I30-#REF!)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IF(I31="","",I31-#REF!)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IF(I32="","",I32-#REF!)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-12.5</v>
      </c>
      <c r="G33" t="n">
        <v>-110</v>
      </c>
      <c r="H33" t="n">
        <v>1</v>
      </c>
      <c r="J33" s="6" t="n"/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L41" s="11">
        <f>IF(K41="W",IF(G41&lt;0,H41*100/ABS(G41),H41*G41/100),IF(K41="L",-H41,0))</f>
        <v/>
      </c>
      <c r="M41" s="11">
        <f>Settings!$B$4+SUM(L$2:L41)</f>
        <v/>
      </c>
    </row>
    <row r="44" ht="14.25" customHeight="1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1738.7</v>
      </c>
      <c r="E2" s="9" t="n">
        <v>2.6</v>
      </c>
      <c r="F2" s="9" t="n">
        <v>0.2389024157458295</v>
      </c>
      <c r="G2" s="9" t="n">
        <v>-0.3131041177462083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1613.1</v>
      </c>
      <c r="E3" s="9" t="n">
        <v>2.3</v>
      </c>
      <c r="F3" s="9" t="n">
        <v>0.1200261378324967</v>
      </c>
      <c r="G3" s="9" t="n">
        <v>0.08928513545289066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1569</v>
      </c>
      <c r="E4" s="9" t="n">
        <v>4.4</v>
      </c>
      <c r="F4" s="9" t="n">
        <v>0.2187107716098359</v>
      </c>
      <c r="G4" s="9" t="n">
        <v>-0.05218195799544816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1491.7</v>
      </c>
      <c r="E5" s="9" t="n">
        <v>-7</v>
      </c>
      <c r="F5" s="9" t="n">
        <v>-0.00677990204860647</v>
      </c>
      <c r="G5" s="9" t="n">
        <v>0.246843337573555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1499.4</v>
      </c>
      <c r="E6" s="9" t="n">
        <v>1.1</v>
      </c>
      <c r="F6" s="9" t="n">
        <v>0.3988945801089721</v>
      </c>
      <c r="G6" s="9" t="n">
        <v>-0.2481185633682991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1396.8</v>
      </c>
      <c r="E7" s="9" t="n">
        <v>-15.2</v>
      </c>
      <c r="F7" s="9" t="n">
        <v>-0.02510769911461149</v>
      </c>
      <c r="G7" s="9" t="n">
        <v>0.3012418203750481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1412.1</v>
      </c>
      <c r="E8" s="9" t="n">
        <v>-22.3</v>
      </c>
      <c r="F8" s="9" t="n">
        <v>-0.3317320736505183</v>
      </c>
      <c r="G8" s="9" t="n">
        <v>0.06131739304185656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1432.7</v>
      </c>
      <c r="E9" s="9" t="n">
        <v>-12.8</v>
      </c>
      <c r="F9" s="9" t="n">
        <v>0.1654454108123683</v>
      </c>
      <c r="G9" s="9" t="n">
        <v>0.1926127829579521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1439.9</v>
      </c>
      <c r="E10" s="9" t="n">
        <v>-6.1</v>
      </c>
      <c r="F10" s="9" t="n">
        <v>0.556278847672138</v>
      </c>
      <c r="G10" s="9" t="n">
        <v>0.06562288621201061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1344.5</v>
      </c>
      <c r="E11" s="9" t="n">
        <v>-24.3</v>
      </c>
      <c r="F11" s="9" t="n">
        <v>-0.2513514097581536</v>
      </c>
      <c r="G11" s="9" t="n">
        <v>0.3871905835315659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3"/>
  </cols>
  <sheetData>
    <row r="1" ht="18" customHeight="1">
      <c r="A1" s="12" t="inlineStr">
        <is>
          <t>Ridge vs. XGBoost vs. Dub Gamma -- Model Comparison</t>
        </is>
      </c>
    </row>
    <row r="2">
      <c r="A2" s="13" t="inlineStr">
        <is>
      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      </is>
      </c>
    </row>
    <row r="4">
      <c r="A4" s="14" t="inlineStr">
        <is>
          <t>All-Time (every season in the backtest)</t>
        </is>
      </c>
    </row>
    <row r="5" ht="38.25" customHeight="1">
      <c r="A5" s="15" t="inlineStr">
        <is>
          <t>Model</t>
        </is>
      </c>
      <c r="B5" s="15" t="inlineStr">
        <is>
          <t>Games Graded</t>
        </is>
      </c>
      <c r="C5" s="15" t="inlineStr">
        <is>
          <t>Picks Graded</t>
        </is>
      </c>
      <c r="D5" s="15" t="inlineStr">
        <is>
          <t>Wins</t>
        </is>
      </c>
      <c r="E5" s="15" t="inlineStr">
        <is>
          <t>Losses</t>
        </is>
      </c>
      <c r="F5" s="15" t="inlineStr">
        <is>
          <t>Pushes</t>
        </is>
      </c>
      <c r="G5" s="15" t="inlineStr">
        <is>
          <t>ATS Win %</t>
        </is>
      </c>
      <c r="H5" s="15" t="inlineStr">
        <is>
          <t>ROI (flat stake)</t>
        </is>
      </c>
      <c r="I5" s="15" t="inlineStr">
        <is>
          <t>Real Edge Bets</t>
        </is>
      </c>
      <c r="J5" s="15" t="inlineStr">
        <is>
          <t>Real Edge Win %</t>
        </is>
      </c>
      <c r="K5" s="15" t="inlineStr">
        <is>
          <t>Tightest Of The Three (CLV)</t>
        </is>
      </c>
      <c r="L5" s="15" t="inlineStr">
        <is>
          <t>CLV Pts (cum.)</t>
        </is>
      </c>
    </row>
    <row r="6">
      <c r="A6" s="16" t="inlineStr">
        <is>
          <t>Ridge (live model) -- all FBS</t>
        </is>
      </c>
      <c r="B6" s="16" t="n">
        <v>8531</v>
      </c>
      <c r="C6" s="16" t="n">
        <v>8457</v>
      </c>
      <c r="D6" s="16" t="n">
        <v>4224</v>
      </c>
      <c r="E6" s="16" t="n">
        <v>4233</v>
      </c>
      <c r="F6" s="16" t="n">
        <v>69</v>
      </c>
      <c r="G6" s="16" t="inlineStr">
        <is>
          <t>50.0%</t>
        </is>
      </c>
      <c r="H6" s="16" t="inlineStr">
        <is>
          <t>-4.7%</t>
        </is>
      </c>
      <c r="I6" s="16" t="n">
        <v>6684</v>
      </c>
      <c r="J6" s="16" t="inlineStr">
        <is>
          <t>49.7%</t>
        </is>
      </c>
      <c r="K6" s="16" t="inlineStr">
        <is>
          <t>4036/8531 (47%)</t>
        </is>
      </c>
      <c r="L6" s="16" t="inlineStr">
        <is>
          <t>+5676.1</t>
        </is>
      </c>
    </row>
    <row r="7">
      <c r="A7" s="16" t="inlineStr">
        <is>
          <t>Ridge (live model) -- MW-involved</t>
        </is>
      </c>
      <c r="B7" s="16" t="n">
        <v>969</v>
      </c>
      <c r="C7" s="16" t="n">
        <v>957</v>
      </c>
      <c r="D7" s="16" t="n">
        <v>474</v>
      </c>
      <c r="E7" s="16" t="n">
        <v>483</v>
      </c>
      <c r="F7" s="16" t="n">
        <v>12</v>
      </c>
      <c r="G7" s="16" t="inlineStr">
        <is>
          <t>49.5%</t>
        </is>
      </c>
      <c r="H7" s="16" t="inlineStr">
        <is>
          <t>-5.4%</t>
        </is>
      </c>
      <c r="I7" s="16" t="n">
        <v>776</v>
      </c>
      <c r="J7" s="16" t="inlineStr">
        <is>
          <t>49.4%</t>
        </is>
      </c>
      <c r="K7" s="16" t="inlineStr">
        <is>
          <t>454/969 (47%)</t>
        </is>
      </c>
      <c r="L7" s="16" t="inlineStr">
        <is>
          <t>+600.8</t>
        </is>
      </c>
    </row>
    <row r="8">
      <c r="A8" s="16" t="inlineStr">
        <is>
          <t>XGBoost (candidate) -- all FBS</t>
        </is>
      </c>
      <c r="B8" s="16" t="n">
        <v>8531</v>
      </c>
      <c r="C8" s="16" t="n">
        <v>8460</v>
      </c>
      <c r="D8" s="16" t="n">
        <v>4270</v>
      </c>
      <c r="E8" s="16" t="n">
        <v>4190</v>
      </c>
      <c r="F8" s="16" t="n">
        <v>69</v>
      </c>
      <c r="G8" s="16" t="inlineStr">
        <is>
          <t>50.5%</t>
        </is>
      </c>
      <c r="H8" s="16" t="inlineStr">
        <is>
          <t>-3.6%</t>
        </is>
      </c>
      <c r="I8" s="16" t="n">
        <v>6625</v>
      </c>
      <c r="J8" s="16" t="inlineStr">
        <is>
          <t>50.5%</t>
        </is>
      </c>
      <c r="K8" s="16" t="inlineStr">
        <is>
          <t>4478/8531 (52%)</t>
        </is>
      </c>
      <c r="L8" s="16" t="inlineStr">
        <is>
          <t>+758.6</t>
        </is>
      </c>
    </row>
    <row r="9">
      <c r="A9" s="16" t="inlineStr">
        <is>
          <t>XGBoost (candidate) -- MW-involved</t>
        </is>
      </c>
      <c r="B9" s="16" t="n">
        <v>969</v>
      </c>
      <c r="C9" s="16" t="n">
        <v>957</v>
      </c>
      <c r="D9" s="16" t="n">
        <v>485</v>
      </c>
      <c r="E9" s="16" t="n">
        <v>472</v>
      </c>
      <c r="F9" s="16" t="n">
        <v>12</v>
      </c>
      <c r="G9" s="16" t="inlineStr">
        <is>
          <t>50.7%</t>
        </is>
      </c>
      <c r="H9" s="16" t="inlineStr">
        <is>
          <t>-3.2%</t>
        </is>
      </c>
      <c r="I9" s="16" t="n">
        <v>740</v>
      </c>
      <c r="J9" s="16" t="inlineStr">
        <is>
          <t>51.5%</t>
        </is>
      </c>
      <c r="K9" s="16" t="inlineStr">
        <is>
          <t>512/969 (53%)</t>
        </is>
      </c>
      <c r="L9" s="16" t="inlineStr">
        <is>
          <t>+895.5</t>
        </is>
      </c>
    </row>
    <row r="10">
      <c r="A10" s="16" t="inlineStr">
        <is>
          <t>Dub Gamma Model (candidate) -- all FBS</t>
        </is>
      </c>
      <c r="B10" s="16" t="n">
        <v>8531</v>
      </c>
      <c r="C10" s="16" t="n">
        <v>97</v>
      </c>
      <c r="D10" s="16" t="n">
        <v>52</v>
      </c>
      <c r="E10" s="16" t="n">
        <v>45</v>
      </c>
      <c r="F10" s="16" t="n">
        <v>1</v>
      </c>
      <c r="G10" s="16" t="inlineStr">
        <is>
          <t>53.6%</t>
        </is>
      </c>
      <c r="H10" s="16" t="inlineStr">
        <is>
          <t>+2.3%</t>
        </is>
      </c>
      <c r="I10" s="16" t="n">
        <v>91</v>
      </c>
      <c r="J10" s="16" t="inlineStr">
        <is>
          <t>53.3%</t>
        </is>
      </c>
      <c r="K10" s="16" t="inlineStr">
        <is>
          <t>17/98 (17%)</t>
        </is>
      </c>
      <c r="L10" s="16" t="inlineStr">
        <is>
          <t>-1491.4</t>
        </is>
      </c>
    </row>
    <row r="11">
      <c r="A11" s="16" t="inlineStr">
        <is>
          <t>Dub Gamma Model (candidate) -- MW-involved</t>
        </is>
      </c>
      <c r="B11" s="16" t="n">
        <v>969</v>
      </c>
      <c r="C11" s="16" t="n">
        <v>13</v>
      </c>
      <c r="D11" s="16" t="n">
        <v>12</v>
      </c>
      <c r="E11" s="16" t="n">
        <v>1</v>
      </c>
      <c r="F11" s="16" t="n">
        <v>0</v>
      </c>
      <c r="G11" s="16" t="inlineStr">
        <is>
          <t>92.3%</t>
        </is>
      </c>
      <c r="H11" s="16" t="inlineStr">
        <is>
          <t>+76.2%</t>
        </is>
      </c>
      <c r="I11" s="16" t="n">
        <v>12</v>
      </c>
      <c r="J11" s="16" t="inlineStr">
        <is>
          <t>91.7%</t>
        </is>
      </c>
      <c r="K11" s="16" t="inlineStr">
        <is>
          <t>3/13 (23%)</t>
        </is>
      </c>
      <c r="L11" s="16" t="inlineStr">
        <is>
          <t>-36.7</t>
        </is>
      </c>
    </row>
    <row r="13">
      <c r="A13" s="14" t="inlineStr">
        <is>
          <t>2026 Season Only</t>
        </is>
      </c>
    </row>
    <row r="14" ht="38.25" customHeight="1">
      <c r="A14" s="15" t="inlineStr">
        <is>
          <t>Model</t>
        </is>
      </c>
      <c r="B14" s="15" t="inlineStr">
        <is>
          <t>Games Graded</t>
        </is>
      </c>
      <c r="C14" s="15" t="inlineStr">
        <is>
          <t>Picks Graded</t>
        </is>
      </c>
      <c r="D14" s="15" t="inlineStr">
        <is>
          <t>Wins</t>
        </is>
      </c>
      <c r="E14" s="15" t="inlineStr">
        <is>
          <t>Losses</t>
        </is>
      </c>
      <c r="F14" s="15" t="inlineStr">
        <is>
          <t>Pushes</t>
        </is>
      </c>
      <c r="G14" s="15" t="inlineStr">
        <is>
          <t>ATS Win %</t>
        </is>
      </c>
      <c r="H14" s="15" t="inlineStr">
        <is>
          <t>ROI (flat stake)</t>
        </is>
      </c>
      <c r="I14" s="15" t="inlineStr">
        <is>
          <t>Real Edge Bets</t>
        </is>
      </c>
      <c r="J14" s="15" t="inlineStr">
        <is>
          <t>Real Edge Win %</t>
        </is>
      </c>
      <c r="K14" s="15" t="inlineStr">
        <is>
          <t>Tightest Of The Three (CLV)</t>
        </is>
      </c>
      <c r="L14" s="15" t="inlineStr">
        <is>
          <t>CLV Pts (cum.)</t>
        </is>
      </c>
    </row>
    <row r="15">
      <c r="A15" s="16" t="inlineStr">
        <is>
          <t>Ridge (live model) -- all FBS</t>
        </is>
      </c>
      <c r="B15" s="16" t="n">
        <v>98</v>
      </c>
      <c r="C15" s="16" t="n">
        <v>97</v>
      </c>
      <c r="D15" s="16" t="n">
        <v>41</v>
      </c>
      <c r="E15" s="16" t="n">
        <v>56</v>
      </c>
      <c r="F15" s="16" t="n">
        <v>1</v>
      </c>
      <c r="G15" s="16" t="inlineStr">
        <is>
          <t>42.3%</t>
        </is>
      </c>
      <c r="H15" s="16" t="inlineStr">
        <is>
          <t>-19.3%</t>
        </is>
      </c>
      <c r="I15" s="16" t="n">
        <v>88</v>
      </c>
      <c r="J15" s="16" t="inlineStr">
        <is>
          <t>40.2%</t>
        </is>
      </c>
      <c r="K15" s="16" t="inlineStr">
        <is>
          <t>34/98 (35%)</t>
        </is>
      </c>
      <c r="L15" s="16" t="inlineStr">
        <is>
          <t>-418.9</t>
        </is>
      </c>
    </row>
    <row r="16">
      <c r="A16" s="16" t="inlineStr">
        <is>
          <t>Ridge (live model) -- MW-involved</t>
        </is>
      </c>
      <c r="B16" s="16" t="n">
        <v>13</v>
      </c>
      <c r="C16" s="16" t="n">
        <v>13</v>
      </c>
      <c r="D16" s="16" t="n">
        <v>5</v>
      </c>
      <c r="E16" s="16" t="n">
        <v>8</v>
      </c>
      <c r="F16" s="16" t="n">
        <v>0</v>
      </c>
      <c r="G16" s="16" t="inlineStr">
        <is>
          <t>38.5%</t>
        </is>
      </c>
      <c r="H16" s="16" t="inlineStr">
        <is>
          <t>-26.6%</t>
        </is>
      </c>
      <c r="I16" s="16" t="n">
        <v>11</v>
      </c>
      <c r="J16" s="16" t="inlineStr">
        <is>
          <t>36.4%</t>
        </is>
      </c>
      <c r="K16" s="16" t="inlineStr">
        <is>
          <t>4/13 (31%)</t>
        </is>
      </c>
      <c r="L16" s="16" t="inlineStr">
        <is>
          <t>+11.2</t>
        </is>
      </c>
    </row>
    <row r="17">
      <c r="A17" s="16" t="inlineStr">
        <is>
          <t>XGBoost (candidate) -- all FBS</t>
        </is>
      </c>
      <c r="B17" s="16" t="n">
        <v>98</v>
      </c>
      <c r="C17" s="16" t="n">
        <v>97</v>
      </c>
      <c r="D17" s="16" t="n">
        <v>43</v>
      </c>
      <c r="E17" s="16" t="n">
        <v>54</v>
      </c>
      <c r="F17" s="16" t="n">
        <v>1</v>
      </c>
      <c r="G17" s="16" t="inlineStr">
        <is>
          <t>44.3%</t>
        </is>
      </c>
      <c r="H17" s="16" t="inlineStr">
        <is>
          <t>-15.4%</t>
        </is>
      </c>
      <c r="I17" s="16" t="n">
        <v>82</v>
      </c>
      <c r="J17" s="16" t="inlineStr">
        <is>
          <t>40.7%</t>
        </is>
      </c>
      <c r="K17" s="16" t="inlineStr">
        <is>
          <t>47/98 (48%)</t>
        </is>
      </c>
      <c r="L17" s="16" t="inlineStr">
        <is>
          <t>-151.0</t>
        </is>
      </c>
    </row>
    <row r="18">
      <c r="A18" s="16" t="inlineStr">
        <is>
          <t>XGBoost (candidate) -- MW-involved</t>
        </is>
      </c>
      <c r="B18" s="16" t="n">
        <v>13</v>
      </c>
      <c r="C18" s="16" t="n">
        <v>13</v>
      </c>
      <c r="D18" s="16" t="n">
        <v>5</v>
      </c>
      <c r="E18" s="16" t="n">
        <v>8</v>
      </c>
      <c r="F18" s="16" t="n">
        <v>0</v>
      </c>
      <c r="G18" s="16" t="inlineStr">
        <is>
          <t>38.5%</t>
        </is>
      </c>
      <c r="H18" s="16" t="inlineStr">
        <is>
          <t>-26.6%</t>
        </is>
      </c>
      <c r="I18" s="16" t="n">
        <v>9</v>
      </c>
      <c r="J18" s="16" t="inlineStr">
        <is>
          <t>22.2%</t>
        </is>
      </c>
      <c r="K18" s="16" t="inlineStr">
        <is>
          <t>6/13 (46%)</t>
        </is>
      </c>
      <c r="L18" s="16" t="inlineStr">
        <is>
          <t>-13.3</t>
        </is>
      </c>
    </row>
    <row r="19">
      <c r="A19" s="16" t="inlineStr">
        <is>
          <t>Dub Gamma Model (candidate) -- all FBS</t>
        </is>
      </c>
      <c r="B19" s="16" t="n">
        <v>98</v>
      </c>
      <c r="C19" s="16" t="n">
        <v>97</v>
      </c>
      <c r="D19" s="16" t="n">
        <v>52</v>
      </c>
      <c r="E19" s="16" t="n">
        <v>45</v>
      </c>
      <c r="F19" s="16" t="n">
        <v>1</v>
      </c>
      <c r="G19" s="16" t="inlineStr">
        <is>
          <t>53.6%</t>
        </is>
      </c>
      <c r="H19" s="16" t="inlineStr">
        <is>
          <t>+2.3%</t>
        </is>
      </c>
      <c r="I19" s="16" t="n">
        <v>91</v>
      </c>
      <c r="J19" s="16" t="inlineStr">
        <is>
          <t>53.3%</t>
        </is>
      </c>
      <c r="K19" s="16" t="inlineStr">
        <is>
          <t>17/98 (17%)</t>
        </is>
      </c>
      <c r="L19" s="16" t="inlineStr">
        <is>
          <t>-1491.4</t>
        </is>
      </c>
    </row>
    <row r="20">
      <c r="A20" s="16" t="inlineStr">
        <is>
          <t>Dub Gamma Model (candidate) -- MW-involved</t>
        </is>
      </c>
      <c r="B20" s="16" t="n">
        <v>13</v>
      </c>
      <c r="C20" s="16" t="n">
        <v>13</v>
      </c>
      <c r="D20" s="16" t="n">
        <v>12</v>
      </c>
      <c r="E20" s="16" t="n">
        <v>1</v>
      </c>
      <c r="F20" s="16" t="n">
        <v>0</v>
      </c>
      <c r="G20" s="16" t="inlineStr">
        <is>
          <t>92.3%</t>
        </is>
      </c>
      <c r="H20" s="16" t="inlineStr">
        <is>
          <t>+76.2%</t>
        </is>
      </c>
      <c r="I20" s="16" t="n">
        <v>12</v>
      </c>
      <c r="J20" s="16" t="inlineStr">
        <is>
          <t>91.7%</t>
        </is>
      </c>
      <c r="K20" s="16" t="inlineStr">
        <is>
          <t>3/13 (23%)</t>
        </is>
      </c>
      <c r="L20" s="16" t="inlineStr">
        <is>
          <t>-36.7</t>
        </is>
      </c>
    </row>
    <row r="22">
      <c r="A22" s="13" t="inlineStr">
        <is>
          <t>Ridge and XGBoost agree on which side to lean in 77.4% of all graded games. Gamma agrees with Ridge in 68.4% of games it has a rating for.</t>
        </is>
      </c>
    </row>
    <row r="24">
      <c r="A24" s="14" t="inlineStr">
        <is>
          <t>Upcoming Games -- Ridge vs. XGBoost vs. Dub Gamma (Not Yet Graded)</t>
        </is>
      </c>
    </row>
    <row r="25" ht="38.25" customHeight="1">
      <c r="A25" s="15" t="inlineStr">
        <is>
          <t>Week</t>
        </is>
      </c>
      <c r="B25" s="15" t="inlineStr">
        <is>
          <t>Matchup</t>
        </is>
      </c>
      <c r="C25" s="15" t="inlineStr">
        <is>
          <t>Market Line (Home)</t>
        </is>
      </c>
      <c r="D25" s="15" t="inlineStr">
        <is>
          <t>Ridge Line</t>
        </is>
      </c>
      <c r="E25" s="15" t="inlineStr">
        <is>
          <t>XGBoost Line</t>
        </is>
      </c>
      <c r="F25" s="15" t="inlineStr">
        <is>
          <t>Gamma Line</t>
        </is>
      </c>
      <c r="G25" s="15" t="inlineStr">
        <is>
          <t>Ridge Lean</t>
        </is>
      </c>
      <c r="H25" s="15" t="inlineStr">
        <is>
          <t>XGBoost Lean</t>
        </is>
      </c>
      <c r="I25" s="15" t="inlineStr">
        <is>
          <t>Gamma Lean</t>
        </is>
      </c>
      <c r="J25" s="15" t="inlineStr">
        <is>
          <t>Ridge/XGBoost Agree?</t>
        </is>
      </c>
      <c r="K25" s="15" t="inlineStr">
        <is>
          <t>Tightest (Live)*</t>
        </is>
      </c>
    </row>
    <row r="26">
      <c r="A26" s="16" t="n">
        <v>2</v>
      </c>
      <c r="B26" s="16" t="inlineStr">
        <is>
          <t>UNLV @ North Texas</t>
        </is>
      </c>
      <c r="C26" s="16" t="inlineStr">
        <is>
          <t>+3.5</t>
        </is>
      </c>
      <c r="D26" s="16" t="inlineStr">
        <is>
          <t>-3.9</t>
        </is>
      </c>
      <c r="E26" s="16" t="inlineStr">
        <is>
          <t>+2.6</t>
        </is>
      </c>
      <c r="F26" s="16" t="inlineStr">
        <is>
          <t>-5.3</t>
        </is>
      </c>
      <c r="G26" s="16" t="inlineStr">
        <is>
          <t>Home</t>
        </is>
      </c>
      <c r="H26" s="16" t="inlineStr">
        <is>
          <t>Away (auto)</t>
        </is>
      </c>
      <c r="I26" s="16" t="inlineStr">
        <is>
          <t>Home</t>
        </is>
      </c>
      <c r="J26" s="16" t="inlineStr">
        <is>
          <t>No</t>
        </is>
      </c>
      <c r="K26" s="17" t="inlineStr">
        <is>
          <t>XGBoost</t>
        </is>
      </c>
    </row>
    <row r="27">
      <c r="A27" s="16" t="n">
        <v>2</v>
      </c>
      <c r="B27" s="16" t="inlineStr">
        <is>
          <t>Northern Colorado @ Wyoming</t>
        </is>
      </c>
      <c r="C27" s="16" t="inlineStr">
        <is>
          <t>--</t>
        </is>
      </c>
      <c r="D27" s="16" t="inlineStr">
        <is>
          <t>-17.1</t>
        </is>
      </c>
      <c r="E27" s="16" t="inlineStr">
        <is>
          <t>-21.5</t>
        </is>
      </c>
      <c r="F27" s="16" t="inlineStr">
        <is>
          <t>+11.3</t>
        </is>
      </c>
      <c r="G27" s="16" t="inlineStr">
        <is>
          <t>n/a</t>
        </is>
      </c>
      <c r="H27" s="16" t="inlineStr">
        <is>
          <t>n/a</t>
        </is>
      </c>
      <c r="I27" s="16" t="inlineStr">
        <is>
          <t>n/a</t>
        </is>
      </c>
      <c r="J27" s="16" t="inlineStr">
        <is>
          <t>n/a</t>
        </is>
      </c>
      <c r="K27" s="16" t="inlineStr">
        <is>
          <t>n/a</t>
        </is>
      </c>
    </row>
    <row r="28">
      <c r="A28" s="16" t="n">
        <v>2</v>
      </c>
      <c r="B28" s="16" t="inlineStr">
        <is>
          <t>Mercyhurst @ New Mexico</t>
        </is>
      </c>
      <c r="C28" s="16" t="inlineStr">
        <is>
          <t>--</t>
        </is>
      </c>
      <c r="D28" s="16" t="inlineStr">
        <is>
          <t>-17.1</t>
        </is>
      </c>
      <c r="E28" s="16" t="inlineStr">
        <is>
          <t>-27.1</t>
        </is>
      </c>
      <c r="F28" s="16" t="inlineStr">
        <is>
          <t>-6.7</t>
        </is>
      </c>
      <c r="G28" s="16" t="inlineStr">
        <is>
          <t>n/a</t>
        </is>
      </c>
      <c r="H28" s="16" t="inlineStr">
        <is>
          <t>n/a</t>
        </is>
      </c>
      <c r="I28" s="16" t="inlineStr">
        <is>
          <t>n/a</t>
        </is>
      </c>
      <c r="J28" s="16" t="inlineStr">
        <is>
          <t>n/a</t>
        </is>
      </c>
      <c r="K28" s="16" t="inlineStr">
        <is>
          <t>n/a</t>
        </is>
      </c>
    </row>
    <row r="29">
      <c r="A29" s="16" t="n">
        <v>2</v>
      </c>
      <c r="B29" s="16" t="inlineStr">
        <is>
          <t>Illinois State @ Northern Illinois</t>
        </is>
      </c>
      <c r="C29" s="16" t="inlineStr">
        <is>
          <t>--</t>
        </is>
      </c>
      <c r="D29" s="16" t="inlineStr">
        <is>
          <t>-16.0</t>
        </is>
      </c>
      <c r="E29" s="16" t="inlineStr">
        <is>
          <t>-17.9</t>
        </is>
      </c>
      <c r="F29" s="16" t="inlineStr">
        <is>
          <t>+15.6</t>
        </is>
      </c>
      <c r="G29" s="16" t="inlineStr">
        <is>
          <t>n/a</t>
        </is>
      </c>
      <c r="H29" s="16" t="inlineStr">
        <is>
          <t>n/a</t>
        </is>
      </c>
      <c r="I29" s="16" t="inlineStr">
        <is>
          <t>n/a</t>
        </is>
      </c>
      <c r="J29" s="16" t="inlineStr">
        <is>
          <t>n/a</t>
        </is>
      </c>
      <c r="K29" s="16" t="inlineStr">
        <is>
          <t>n/a</t>
        </is>
      </c>
    </row>
    <row r="30">
      <c r="A30" s="16" t="n">
        <v>2</v>
      </c>
      <c r="B30" s="16" t="inlineStr">
        <is>
          <t>Texas Southern @ UTEP</t>
        </is>
      </c>
      <c r="C30" s="16" t="inlineStr">
        <is>
          <t>--</t>
        </is>
      </c>
      <c r="D30" s="16" t="inlineStr">
        <is>
          <t>-16.1</t>
        </is>
      </c>
      <c r="E30" s="16" t="inlineStr">
        <is>
          <t>-21.4</t>
        </is>
      </c>
      <c r="F30" s="16" t="inlineStr">
        <is>
          <t>+19.1</t>
        </is>
      </c>
      <c r="G30" s="16" t="inlineStr">
        <is>
          <t>n/a</t>
        </is>
      </c>
      <c r="H30" s="16" t="inlineStr">
        <is>
          <t>n/a</t>
        </is>
      </c>
      <c r="I30" s="16" t="inlineStr">
        <is>
          <t>n/a</t>
        </is>
      </c>
      <c r="J30" s="16" t="inlineStr">
        <is>
          <t>n/a</t>
        </is>
      </c>
      <c r="K30" s="16" t="inlineStr">
        <is>
          <t>n/a</t>
        </is>
      </c>
    </row>
    <row r="31">
      <c r="A31" s="16" t="n">
        <v>2</v>
      </c>
      <c r="B31" s="16" t="inlineStr">
        <is>
          <t>Cal Poly @ San José State</t>
        </is>
      </c>
      <c r="C31" s="16" t="inlineStr">
        <is>
          <t>--</t>
        </is>
      </c>
      <c r="D31" s="16" t="inlineStr">
        <is>
          <t>-21.0</t>
        </is>
      </c>
      <c r="E31" s="16" t="inlineStr">
        <is>
          <t>-30.0</t>
        </is>
      </c>
      <c r="F31" s="16" t="inlineStr">
        <is>
          <t>+8.1</t>
        </is>
      </c>
      <c r="G31" s="16" t="inlineStr">
        <is>
          <t>n/a</t>
        </is>
      </c>
      <c r="H31" s="16" t="inlineStr">
        <is>
          <t>n/a</t>
        </is>
      </c>
      <c r="I31" s="16" t="inlineStr">
        <is>
          <t>n/a</t>
        </is>
      </c>
      <c r="J31" s="16" t="inlineStr">
        <is>
          <t>n/a</t>
        </is>
      </c>
      <c r="K31" s="16" t="inlineStr">
        <is>
          <t>n/a</t>
        </is>
      </c>
    </row>
    <row r="32">
      <c r="A32" s="16" t="n">
        <v>2</v>
      </c>
      <c r="B32" s="16" t="inlineStr">
        <is>
          <t>North Dakota State @ Air Force</t>
        </is>
      </c>
      <c r="C32" s="16" t="inlineStr">
        <is>
          <t>+2.5</t>
        </is>
      </c>
      <c r="D32" s="16" t="inlineStr">
        <is>
          <t>+16.9</t>
        </is>
      </c>
      <c r="E32" s="16" t="inlineStr">
        <is>
          <t>+15.3</t>
        </is>
      </c>
      <c r="F32" s="16" t="inlineStr">
        <is>
          <t>+17.9</t>
        </is>
      </c>
      <c r="G32" s="16" t="inlineStr">
        <is>
          <t>Away</t>
        </is>
      </c>
      <c r="H32" s="16" t="inlineStr">
        <is>
          <t>Away</t>
        </is>
      </c>
      <c r="I32" s="16" t="inlineStr">
        <is>
          <t>Away</t>
        </is>
      </c>
      <c r="J32" s="16" t="inlineStr">
        <is>
          <t>Yes</t>
        </is>
      </c>
      <c r="K32" s="17" t="inlineStr">
        <is>
          <t>XGBoost</t>
        </is>
      </c>
    </row>
    <row r="33">
      <c r="A33" s="16" t="n">
        <v>2</v>
      </c>
      <c r="B33" s="16" t="inlineStr">
        <is>
          <t>Montana State @ Nevada</t>
        </is>
      </c>
      <c r="C33" s="16" t="inlineStr">
        <is>
          <t>--</t>
        </is>
      </c>
      <c r="D33" s="16" t="inlineStr">
        <is>
          <t>-17.2</t>
        </is>
      </c>
      <c r="E33" s="16" t="inlineStr">
        <is>
          <t>-12.7</t>
        </is>
      </c>
      <c r="F33" s="16" t="inlineStr">
        <is>
          <t>+5.3</t>
        </is>
      </c>
      <c r="G33" s="16" t="inlineStr">
        <is>
          <t>n/a</t>
        </is>
      </c>
      <c r="H33" s="16" t="inlineStr">
        <is>
          <t>n/a</t>
        </is>
      </c>
      <c r="I33" s="16" t="inlineStr">
        <is>
          <t>n/a</t>
        </is>
      </c>
      <c r="J33" s="16" t="inlineStr">
        <is>
          <t>n/a</t>
        </is>
      </c>
      <c r="K33" s="16" t="inlineStr">
        <is>
          <t>n/a</t>
        </is>
      </c>
    </row>
    <row r="34">
      <c r="A34" s="16" t="n">
        <v>2</v>
      </c>
      <c r="B34" s="16" t="inlineStr">
        <is>
          <t>New Mexico State @ Hawai'i</t>
        </is>
      </c>
      <c r="C34" s="16" t="inlineStr">
        <is>
          <t>-8.5</t>
        </is>
      </c>
      <c r="D34" s="16" t="inlineStr">
        <is>
          <t>-14.2</t>
        </is>
      </c>
      <c r="E34" s="16" t="inlineStr">
        <is>
          <t>-13.2</t>
        </is>
      </c>
      <c r="F34" s="16" t="inlineStr">
        <is>
          <t>-7.6</t>
        </is>
      </c>
      <c r="G34" s="16" t="inlineStr">
        <is>
          <t>Home</t>
        </is>
      </c>
      <c r="H34" s="16" t="inlineStr">
        <is>
          <t>Home</t>
        </is>
      </c>
      <c r="I34" s="16" t="inlineStr">
        <is>
          <t>Home (auto)</t>
        </is>
      </c>
      <c r="J34" s="16" t="inlineStr">
        <is>
          <t>Yes</t>
        </is>
      </c>
      <c r="K34" s="17" t="inlineStr">
        <is>
          <t>Gamma</t>
        </is>
      </c>
    </row>
    <row r="35">
      <c r="A35" s="13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14" t="inlineStr">
        <is>
          <t>2026 Mountain West Games -- Game by Game</t>
        </is>
      </c>
    </row>
    <row r="39" ht="25.5" customHeight="1">
      <c r="A39" s="15" t="inlineStr">
        <is>
          <t>Week</t>
        </is>
      </c>
      <c r="B39" s="15" t="inlineStr">
        <is>
          <t>Matchup</t>
        </is>
      </c>
      <c r="C39" s="15" t="inlineStr">
        <is>
          <t>Final Score</t>
        </is>
      </c>
      <c r="D39" s="15" t="inlineStr">
        <is>
          <t>Vegas Spread (Home)</t>
        </is>
      </c>
      <c r="E39" s="15" t="inlineStr">
        <is>
          <t>Actual Margin (Home)</t>
        </is>
      </c>
      <c r="F39" s="15" t="inlineStr">
        <is>
          <t>Ridge Line</t>
        </is>
      </c>
      <c r="G39" s="15" t="inlineStr">
        <is>
          <t>Ridge Edge</t>
        </is>
      </c>
      <c r="H39" s="15" t="inlineStr">
        <is>
          <t>Ridge Lean</t>
        </is>
      </c>
      <c r="I39" s="15" t="inlineStr">
        <is>
          <t>Ridge Result</t>
        </is>
      </c>
      <c r="J39" s="15" t="inlineStr">
        <is>
          <t>XGBoost Line</t>
        </is>
      </c>
      <c r="K39" s="15" t="inlineStr">
        <is>
          <t>XGBoost Edge</t>
        </is>
      </c>
      <c r="L39" s="15" t="inlineStr">
        <is>
          <t>XGBoost Lean</t>
        </is>
      </c>
      <c r="M39" s="15" t="inlineStr">
        <is>
          <t>XGBoost Result</t>
        </is>
      </c>
      <c r="N39" s="15" t="inlineStr">
        <is>
          <t>Gamma Line</t>
        </is>
      </c>
      <c r="O39" s="15" t="inlineStr">
        <is>
          <t>Gamma Edge</t>
        </is>
      </c>
      <c r="P39" s="15" t="inlineStr">
        <is>
          <t>Gamma Lean</t>
        </is>
      </c>
      <c r="Q39" s="15" t="inlineStr">
        <is>
          <t>Gamma Result</t>
        </is>
      </c>
      <c r="R39" s="15" t="inlineStr">
        <is>
          <t>Ridge/XGBoost Agree?</t>
        </is>
      </c>
      <c r="S39" s="15" t="inlineStr">
        <is>
          <t>Gamma Agrees (w/ Ridge)?</t>
        </is>
      </c>
      <c r="T39" s="15" t="inlineStr">
        <is>
          <t>Tightest CLV Line</t>
        </is>
      </c>
      <c r="U39" s="15" t="inlineStr">
        <is>
          <t>Ridge CLV Pts (Cum.)</t>
        </is>
      </c>
      <c r="V39" s="15" t="inlineStr">
        <is>
          <t>XGBoost CLV Pts (Cum.)</t>
        </is>
      </c>
      <c r="W39" s="15" t="inlineStr">
        <is>
          <t>Gamma CLV Pts (Cum.)</t>
        </is>
      </c>
    </row>
    <row r="40">
      <c r="A40" s="16" t="n">
        <v>1</v>
      </c>
      <c r="B40" s="16" t="inlineStr">
        <is>
          <t>Duquesne @ Air Force</t>
        </is>
      </c>
      <c r="C40" s="16" t="inlineStr">
        <is>
          <t>0-34</t>
        </is>
      </c>
      <c r="D40" s="16" t="inlineStr">
        <is>
          <t>-30.0</t>
        </is>
      </c>
      <c r="E40" s="16" t="inlineStr">
        <is>
          <t>+34.0</t>
        </is>
      </c>
      <c r="F40" s="16" t="inlineStr">
        <is>
          <t>-17.0</t>
        </is>
      </c>
      <c r="G40" s="16" t="inlineStr">
        <is>
          <t>-13.0</t>
        </is>
      </c>
      <c r="H40" s="16" t="inlineStr">
        <is>
          <t>Away</t>
        </is>
      </c>
      <c r="I40" s="18" t="inlineStr">
        <is>
          <t>Loss</t>
        </is>
      </c>
      <c r="J40" s="16" t="inlineStr">
        <is>
          <t>-28.3</t>
        </is>
      </c>
      <c r="K40" s="16" t="inlineStr">
        <is>
          <t>-1.7</t>
        </is>
      </c>
      <c r="L40" s="16" t="inlineStr">
        <is>
          <t>Home</t>
        </is>
      </c>
      <c r="M40" s="17" t="inlineStr">
        <is>
          <t>Win (no real edge)</t>
        </is>
      </c>
      <c r="N40" s="16" t="inlineStr">
        <is>
          <t>+2.3</t>
        </is>
      </c>
      <c r="O40" s="16" t="inlineStr">
        <is>
          <t>-32.3</t>
        </is>
      </c>
      <c r="P40" s="16" t="inlineStr">
        <is>
          <t>Away</t>
        </is>
      </c>
      <c r="Q40" s="18" t="inlineStr">
        <is>
          <t>Loss (seed week)</t>
        </is>
      </c>
      <c r="R40" s="16" t="inlineStr">
        <is>
          <t>No</t>
        </is>
      </c>
      <c r="S40" s="16" t="inlineStr">
        <is>
          <t>Yes</t>
        </is>
      </c>
      <c r="T40" s="17" t="inlineStr">
        <is>
          <t>XGBoost</t>
        </is>
      </c>
      <c r="U40" s="16" t="inlineStr">
        <is>
          <t>-13.0</t>
        </is>
      </c>
      <c r="V40" s="16" t="inlineStr">
        <is>
          <t>-1.7</t>
        </is>
      </c>
      <c r="W40" s="16" t="inlineStr">
        <is>
          <t>-32.3</t>
        </is>
      </c>
    </row>
    <row r="41">
      <c r="A41" s="16" t="n">
        <v>1</v>
      </c>
      <c r="B41" s="16" t="inlineStr">
        <is>
          <t>Wyoming @ Colorado State</t>
        </is>
      </c>
      <c r="C41" s="16" t="inlineStr">
        <is>
          <t>13-35</t>
        </is>
      </c>
      <c r="D41" s="16" t="inlineStr">
        <is>
          <t>-2.8</t>
        </is>
      </c>
      <c r="E41" s="16" t="inlineStr">
        <is>
          <t>+22.0</t>
        </is>
      </c>
      <c r="F41" s="16" t="inlineStr">
        <is>
          <t>-7.8</t>
        </is>
      </c>
      <c r="G41" s="16" t="inlineStr">
        <is>
          <t>+5.1</t>
        </is>
      </c>
      <c r="H41" s="16" t="inlineStr">
        <is>
          <t>Home</t>
        </is>
      </c>
      <c r="I41" s="17" t="inlineStr">
        <is>
          <t>Win</t>
        </is>
      </c>
      <c r="J41" s="16" t="inlineStr">
        <is>
          <t>-2.5</t>
        </is>
      </c>
      <c r="K41" s="16" t="inlineStr">
        <is>
          <t>-0.2</t>
        </is>
      </c>
      <c r="L41" s="16" t="inlineStr">
        <is>
          <t>Home</t>
        </is>
      </c>
      <c r="M41" s="17" t="inlineStr">
        <is>
          <t>Win (no real edge)</t>
        </is>
      </c>
      <c r="N41" s="16" t="inlineStr">
        <is>
          <t>-6.4</t>
        </is>
      </c>
      <c r="O41" s="16" t="inlineStr">
        <is>
          <t>+3.7</t>
        </is>
      </c>
      <c r="P41" s="16" t="inlineStr">
        <is>
          <t>Home</t>
        </is>
      </c>
      <c r="Q41" s="17" t="inlineStr">
        <is>
          <t>Win (seed week)</t>
        </is>
      </c>
      <c r="R41" s="16" t="inlineStr">
        <is>
          <t>Yes</t>
        </is>
      </c>
      <c r="S41" s="16" t="inlineStr">
        <is>
          <t>Yes</t>
        </is>
      </c>
      <c r="T41" s="17" t="inlineStr">
        <is>
          <t>XGBoost</t>
        </is>
      </c>
      <c r="U41" s="16" t="inlineStr">
        <is>
          <t>-7.9</t>
        </is>
      </c>
      <c r="V41" s="16" t="inlineStr">
        <is>
          <t>-1.9</t>
        </is>
      </c>
      <c r="W41" s="16" t="inlineStr">
        <is>
          <t>-28.7</t>
        </is>
      </c>
    </row>
    <row r="42">
      <c r="A42" s="16" t="n">
        <v>1</v>
      </c>
      <c r="B42" s="16" t="inlineStr">
        <is>
          <t>San José State @ Eastern Michigan</t>
        </is>
      </c>
      <c r="C42" s="16" t="inlineStr">
        <is>
          <t>27-21</t>
        </is>
      </c>
      <c r="D42" s="16" t="inlineStr">
        <is>
          <t>-1.5</t>
        </is>
      </c>
      <c r="E42" s="16" t="inlineStr">
        <is>
          <t>-6.0</t>
        </is>
      </c>
      <c r="F42" s="16" t="inlineStr">
        <is>
          <t>-15.8</t>
        </is>
      </c>
      <c r="G42" s="16" t="inlineStr">
        <is>
          <t>+14.3</t>
        </is>
      </c>
      <c r="H42" s="16" t="inlineStr">
        <is>
          <t>Home</t>
        </is>
      </c>
      <c r="I42" s="18" t="inlineStr">
        <is>
          <t>Loss</t>
        </is>
      </c>
      <c r="J42" s="16" t="inlineStr">
        <is>
          <t>-10.5</t>
        </is>
      </c>
      <c r="K42" s="16" t="inlineStr">
        <is>
          <t>+9.0</t>
        </is>
      </c>
      <c r="L42" s="16" t="inlineStr">
        <is>
          <t>Home</t>
        </is>
      </c>
      <c r="M42" s="18" t="inlineStr">
        <is>
          <t>Loss</t>
        </is>
      </c>
      <c r="N42" s="16" t="inlineStr">
        <is>
          <t>+0.5</t>
        </is>
      </c>
      <c r="O42" s="16" t="inlineStr">
        <is>
          <t>-2.0</t>
        </is>
      </c>
      <c r="P42" s="16" t="inlineStr">
        <is>
          <t>Away</t>
        </is>
      </c>
      <c r="Q42" s="17" t="inlineStr">
        <is>
          <t>Win (seed week)</t>
        </is>
      </c>
      <c r="R42" s="16" t="inlineStr">
        <is>
          <t>Yes</t>
        </is>
      </c>
      <c r="S42" s="16" t="inlineStr">
        <is>
          <t>No</t>
        </is>
      </c>
      <c r="T42" s="17" t="inlineStr">
        <is>
          <t>Gamma</t>
        </is>
      </c>
      <c r="U42" s="16" t="inlineStr">
        <is>
          <t>+6.4</t>
        </is>
      </c>
      <c r="V42" s="16" t="inlineStr">
        <is>
          <t>+7.2</t>
        </is>
      </c>
      <c r="W42" s="16" t="inlineStr">
        <is>
          <t>-30.7</t>
        </is>
      </c>
    </row>
    <row r="43">
      <c r="A43" s="16" t="n">
        <v>1</v>
      </c>
      <c r="B43" s="16" t="inlineStr">
        <is>
          <t>UNLV @ Hawai'i</t>
        </is>
      </c>
      <c r="C43" s="16" t="inlineStr">
        <is>
          <t>21-6</t>
        </is>
      </c>
      <c r="D43" s="16" t="inlineStr">
        <is>
          <t>+2.8</t>
        </is>
      </c>
      <c r="E43" s="16" t="inlineStr">
        <is>
          <t>-15.0</t>
        </is>
      </c>
      <c r="F43" s="16" t="inlineStr">
        <is>
          <t>+2.9</t>
        </is>
      </c>
      <c r="G43" s="16" t="inlineStr">
        <is>
          <t>-0.1</t>
        </is>
      </c>
      <c r="H43" s="16" t="inlineStr">
        <is>
          <t>Away</t>
        </is>
      </c>
      <c r="I43" s="17" t="inlineStr">
        <is>
          <t>Win (no real edge)</t>
        </is>
      </c>
      <c r="J43" s="16" t="inlineStr">
        <is>
          <t>-1.8</t>
        </is>
      </c>
      <c r="K43" s="16" t="inlineStr">
        <is>
          <t>+4.6</t>
        </is>
      </c>
      <c r="L43" s="16" t="inlineStr">
        <is>
          <t>Home</t>
        </is>
      </c>
      <c r="M43" s="18" t="inlineStr">
        <is>
          <t>Loss</t>
        </is>
      </c>
      <c r="N43" s="16" t="inlineStr">
        <is>
          <t>+4.4</t>
        </is>
      </c>
      <c r="O43" s="16" t="inlineStr">
        <is>
          <t>-1.6</t>
        </is>
      </c>
      <c r="P43" s="16" t="inlineStr">
        <is>
          <t>Away</t>
        </is>
      </c>
      <c r="Q43" s="17" t="inlineStr">
        <is>
          <t>Win (no real edge) (seed week)</t>
        </is>
      </c>
      <c r="R43" s="16" t="inlineStr">
        <is>
          <t>No</t>
        </is>
      </c>
      <c r="S43" s="16" t="inlineStr">
        <is>
          <t>Yes</t>
        </is>
      </c>
      <c r="T43" s="17" t="inlineStr">
        <is>
          <t>Ridge</t>
        </is>
      </c>
      <c r="U43" s="16" t="inlineStr">
        <is>
          <t>+6.2</t>
        </is>
      </c>
      <c r="V43" s="16" t="inlineStr">
        <is>
          <t>+11.8</t>
        </is>
      </c>
      <c r="W43" s="16" t="inlineStr">
        <is>
          <t>-32.3</t>
        </is>
      </c>
    </row>
    <row r="44">
      <c r="A44" s="16" t="n">
        <v>1</v>
      </c>
      <c r="B44" s="16" t="inlineStr">
        <is>
          <t>Northern Illinois @ Iowa</t>
        </is>
      </c>
      <c r="C44" s="16" t="inlineStr">
        <is>
          <t>0-40</t>
        </is>
      </c>
      <c r="D44" s="16" t="inlineStr">
        <is>
          <t>-31.8</t>
        </is>
      </c>
      <c r="E44" s="16" t="inlineStr">
        <is>
          <t>+40.0</t>
        </is>
      </c>
      <c r="F44" s="16" t="inlineStr">
        <is>
          <t>-28.3</t>
        </is>
      </c>
      <c r="G44" s="16" t="inlineStr">
        <is>
          <t>-3.5</t>
        </is>
      </c>
      <c r="H44" s="16" t="inlineStr">
        <is>
          <t>Away</t>
        </is>
      </c>
      <c r="I44" s="18" t="inlineStr">
        <is>
          <t>Loss</t>
        </is>
      </c>
      <c r="J44" s="16" t="inlineStr">
        <is>
          <t>-25.4</t>
        </is>
      </c>
      <c r="K44" s="16" t="inlineStr">
        <is>
          <t>-6.4</t>
        </is>
      </c>
      <c r="L44" s="16" t="inlineStr">
        <is>
          <t>Away</t>
        </is>
      </c>
      <c r="M44" s="18" t="inlineStr">
        <is>
          <t>Loss</t>
        </is>
      </c>
      <c r="N44" s="16" t="inlineStr">
        <is>
          <t>-41.0</t>
        </is>
      </c>
      <c r="O44" s="16" t="inlineStr">
        <is>
          <t>+9.2</t>
        </is>
      </c>
      <c r="P44" s="16" t="inlineStr">
        <is>
          <t>Home</t>
        </is>
      </c>
      <c r="Q44" s="17" t="inlineStr">
        <is>
          <t>Win (seed week)</t>
        </is>
      </c>
      <c r="R44" s="16" t="inlineStr">
        <is>
          <t>Yes</t>
        </is>
      </c>
      <c r="S44" s="16" t="inlineStr">
        <is>
          <t>No</t>
        </is>
      </c>
      <c r="T44" s="17" t="inlineStr">
        <is>
          <t>Ridge</t>
        </is>
      </c>
      <c r="U44" s="16" t="inlineStr">
        <is>
          <t>+2.8</t>
        </is>
      </c>
      <c r="V44" s="16" t="inlineStr">
        <is>
          <t>+5.4</t>
        </is>
      </c>
      <c r="W44" s="16" t="inlineStr">
        <is>
          <t>-23.1</t>
        </is>
      </c>
    </row>
    <row r="45">
      <c r="A45" s="16" t="n">
        <v>1</v>
      </c>
      <c r="B45" s="16" t="inlineStr">
        <is>
          <t>Western Kentucky @ Nevada</t>
        </is>
      </c>
      <c r="C45" s="16" t="inlineStr">
        <is>
          <t>14-49</t>
        </is>
      </c>
      <c r="D45" s="16" t="inlineStr">
        <is>
          <t>+0.2</t>
        </is>
      </c>
      <c r="E45" s="16" t="inlineStr">
        <is>
          <t>+35.0</t>
        </is>
      </c>
      <c r="F45" s="16" t="inlineStr">
        <is>
          <t>+3.3</t>
        </is>
      </c>
      <c r="G45" s="16" t="inlineStr">
        <is>
          <t>-3.0</t>
        </is>
      </c>
      <c r="H45" s="16" t="inlineStr">
        <is>
          <t>Away</t>
        </is>
      </c>
      <c r="I45" s="18" t="inlineStr">
        <is>
          <t>Loss</t>
        </is>
      </c>
      <c r="J45" s="16" t="inlineStr">
        <is>
          <t>+7.3</t>
        </is>
      </c>
      <c r="K45" s="16" t="inlineStr">
        <is>
          <t>-7.1</t>
        </is>
      </c>
      <c r="L45" s="16" t="inlineStr">
        <is>
          <t>Away</t>
        </is>
      </c>
      <c r="M45" s="18" t="inlineStr">
        <is>
          <t>Loss</t>
        </is>
      </c>
      <c r="N45" s="16" t="inlineStr">
        <is>
          <t>-2.5</t>
        </is>
      </c>
      <c r="O45" s="16" t="inlineStr">
        <is>
          <t>+2.7</t>
        </is>
      </c>
      <c r="P45" s="16" t="inlineStr">
        <is>
          <t>Home</t>
        </is>
      </c>
      <c r="Q45" s="17" t="inlineStr">
        <is>
          <t>Win (seed week)</t>
        </is>
      </c>
      <c r="R45" s="16" t="inlineStr">
        <is>
          <t>Yes</t>
        </is>
      </c>
      <c r="S45" s="16" t="inlineStr">
        <is>
          <t>No</t>
        </is>
      </c>
      <c r="T45" s="17" t="inlineStr">
        <is>
          <t>Gamma</t>
        </is>
      </c>
      <c r="U45" s="16" t="inlineStr">
        <is>
          <t>-0.3</t>
        </is>
      </c>
      <c r="V45" s="16" t="inlineStr">
        <is>
          <t>-1.7</t>
        </is>
      </c>
      <c r="W45" s="16" t="inlineStr">
        <is>
          <t>-20.4</t>
        </is>
      </c>
    </row>
    <row r="46">
      <c r="A46" s="16" t="n">
        <v>1</v>
      </c>
      <c r="B46" s="16" t="inlineStr">
        <is>
          <t>Central Michigan @ New Mexico</t>
        </is>
      </c>
      <c r="C46" s="16" t="inlineStr">
        <is>
          <t>7-38</t>
        </is>
      </c>
      <c r="D46" s="16" t="inlineStr">
        <is>
          <t>-11.2</t>
        </is>
      </c>
      <c r="E46" s="16" t="inlineStr">
        <is>
          <t>+31.0</t>
        </is>
      </c>
      <c r="F46" s="16" t="inlineStr">
        <is>
          <t>-17.5</t>
        </is>
      </c>
      <c r="G46" s="16" t="inlineStr">
        <is>
          <t>+6.2</t>
        </is>
      </c>
      <c r="H46" s="16" t="inlineStr">
        <is>
          <t>Home</t>
        </is>
      </c>
      <c r="I46" s="17" t="inlineStr">
        <is>
          <t>Win</t>
        </is>
      </c>
      <c r="J46" s="16" t="inlineStr">
        <is>
          <t>-11.6</t>
        </is>
      </c>
      <c r="K46" s="16" t="inlineStr">
        <is>
          <t>+0.3</t>
        </is>
      </c>
      <c r="L46" s="16" t="inlineStr">
        <is>
          <t>Home</t>
        </is>
      </c>
      <c r="M46" s="17" t="inlineStr">
        <is>
          <t>Win (no real edge)</t>
        </is>
      </c>
      <c r="N46" s="16" t="inlineStr">
        <is>
          <t>-15.6</t>
        </is>
      </c>
      <c r="O46" s="16" t="inlineStr">
        <is>
          <t>+4.3</t>
        </is>
      </c>
      <c r="P46" s="16" t="inlineStr">
        <is>
          <t>Home</t>
        </is>
      </c>
      <c r="Q46" s="17" t="inlineStr">
        <is>
          <t>Win (seed week)</t>
        </is>
      </c>
      <c r="R46" s="16" t="inlineStr">
        <is>
          <t>Yes</t>
        </is>
      </c>
      <c r="S46" s="16" t="inlineStr">
        <is>
          <t>Yes</t>
        </is>
      </c>
      <c r="T46" s="17" t="inlineStr">
        <is>
          <t>XGBoost</t>
        </is>
      </c>
      <c r="U46" s="16" t="inlineStr">
        <is>
          <t>+5.9</t>
        </is>
      </c>
      <c r="V46" s="16" t="inlineStr">
        <is>
          <t>-1.4</t>
        </is>
      </c>
      <c r="W46" s="16" t="inlineStr">
        <is>
          <t>-16.0</t>
        </is>
      </c>
    </row>
    <row r="47">
      <c r="A47" s="16" t="n">
        <v>1</v>
      </c>
      <c r="B47" s="16" t="inlineStr">
        <is>
          <t>Jacksonville State @ North Dakota State</t>
        </is>
      </c>
      <c r="C47" s="16" t="inlineStr">
        <is>
          <t>7-33</t>
        </is>
      </c>
      <c r="D47" s="16" t="inlineStr">
        <is>
          <t>-6.8</t>
        </is>
      </c>
      <c r="E47" s="16" t="inlineStr">
        <is>
          <t>+26.0</t>
        </is>
      </c>
      <c r="F47" s="16" t="inlineStr">
        <is>
          <t>-18.4</t>
        </is>
      </c>
      <c r="G47" s="16" t="inlineStr">
        <is>
          <t>+11.6</t>
        </is>
      </c>
      <c r="H47" s="16" t="inlineStr">
        <is>
          <t>Home</t>
        </is>
      </c>
      <c r="I47" s="17" t="inlineStr">
        <is>
          <t>Win</t>
        </is>
      </c>
      <c r="J47" s="16" t="inlineStr">
        <is>
          <t>-14.4</t>
        </is>
      </c>
      <c r="K47" s="16" t="inlineStr">
        <is>
          <t>+7.7</t>
        </is>
      </c>
      <c r="L47" s="16" t="inlineStr">
        <is>
          <t>Home</t>
        </is>
      </c>
      <c r="M47" s="17" t="inlineStr">
        <is>
          <t>Win</t>
        </is>
      </c>
      <c r="N47" s="16" t="inlineStr">
        <is>
          <t>-25.5</t>
        </is>
      </c>
      <c r="O47" s="16" t="inlineStr">
        <is>
          <t>+18.7</t>
        </is>
      </c>
      <c r="P47" s="16" t="inlineStr">
        <is>
          <t>Home</t>
        </is>
      </c>
      <c r="Q47" s="17" t="inlineStr">
        <is>
          <t>Win (seed week)</t>
        </is>
      </c>
      <c r="R47" s="16" t="inlineStr">
        <is>
          <t>Yes</t>
        </is>
      </c>
      <c r="S47" s="16" t="inlineStr">
        <is>
          <t>Yes</t>
        </is>
      </c>
      <c r="T47" s="17" t="inlineStr">
        <is>
          <t>XGBoost</t>
        </is>
      </c>
      <c r="U47" s="16" t="inlineStr">
        <is>
          <t>+17.6</t>
        </is>
      </c>
      <c r="V47" s="16" t="inlineStr">
        <is>
          <t>+6.3</t>
        </is>
      </c>
      <c r="W47" s="16" t="inlineStr">
        <is>
          <t>+2.7</t>
        </is>
      </c>
    </row>
    <row r="48">
      <c r="A48" s="16" t="n">
        <v>1</v>
      </c>
      <c r="B48" s="16" t="inlineStr">
        <is>
          <t>Fordham @ North Dakota State</t>
        </is>
      </c>
      <c r="C48" s="16" t="inlineStr">
        <is>
          <t>0-38</t>
        </is>
      </c>
      <c r="D48" s="16" t="inlineStr">
        <is>
          <t>-41.5</t>
        </is>
      </c>
      <c r="E48" s="16" t="inlineStr">
        <is>
          <t>+38.0</t>
        </is>
      </c>
      <c r="F48" s="16" t="inlineStr">
        <is>
          <t>-40.9</t>
        </is>
      </c>
      <c r="G48" s="16" t="inlineStr">
        <is>
          <t>-0.6</t>
        </is>
      </c>
      <c r="H48" s="16" t="inlineStr">
        <is>
          <t>Home</t>
        </is>
      </c>
      <c r="I48" s="18" t="inlineStr">
        <is>
          <t>Loss (no real edge)</t>
        </is>
      </c>
      <c r="J48" s="16" t="inlineStr">
        <is>
          <t>-35.0</t>
        </is>
      </c>
      <c r="K48" s="16" t="inlineStr">
        <is>
          <t>-6.5</t>
        </is>
      </c>
      <c r="L48" s="16" t="inlineStr">
        <is>
          <t>Away</t>
        </is>
      </c>
      <c r="M48" s="17" t="inlineStr">
        <is>
          <t>Win</t>
        </is>
      </c>
      <c r="N48" s="16" t="inlineStr">
        <is>
          <t>-19.6</t>
        </is>
      </c>
      <c r="O48" s="16" t="inlineStr">
        <is>
          <t>-21.9</t>
        </is>
      </c>
      <c r="P48" s="16" t="inlineStr">
        <is>
          <t>Away</t>
        </is>
      </c>
      <c r="Q48" s="17" t="inlineStr">
        <is>
          <t>Win (seed week)</t>
        </is>
      </c>
      <c r="R48" s="16" t="inlineStr">
        <is>
          <t>No</t>
        </is>
      </c>
      <c r="S48" s="16" t="inlineStr">
        <is>
          <t>No</t>
        </is>
      </c>
      <c r="T48" s="17" t="inlineStr">
        <is>
          <t>Ridge</t>
        </is>
      </c>
      <c r="U48" s="16" t="inlineStr">
        <is>
          <t>+16.9</t>
        </is>
      </c>
      <c r="V48" s="16" t="inlineStr">
        <is>
          <t>-0.2</t>
        </is>
      </c>
      <c r="W48" s="16" t="inlineStr">
        <is>
          <t>-19.2</t>
        </is>
      </c>
    </row>
    <row r="49">
      <c r="A49" s="16" t="n">
        <v>1</v>
      </c>
      <c r="B49" s="16" t="inlineStr">
        <is>
          <t>UTEP @ Oklahoma</t>
        </is>
      </c>
      <c r="C49" s="16" t="inlineStr">
        <is>
          <t>0-51</t>
        </is>
      </c>
      <c r="D49" s="16" t="inlineStr">
        <is>
          <t>-40.8</t>
        </is>
      </c>
      <c r="E49" s="16" t="inlineStr">
        <is>
          <t>+51.0</t>
        </is>
      </c>
      <c r="F49" s="16" t="inlineStr">
        <is>
          <t>-34.8</t>
        </is>
      </c>
      <c r="G49" s="16" t="inlineStr">
        <is>
          <t>-5.9</t>
        </is>
      </c>
      <c r="H49" s="16" t="inlineStr">
        <is>
          <t>Away</t>
        </is>
      </c>
      <c r="I49" s="18" t="inlineStr">
        <is>
          <t>Loss</t>
        </is>
      </c>
      <c r="J49" s="16" t="inlineStr">
        <is>
          <t>-32.8</t>
        </is>
      </c>
      <c r="K49" s="16" t="inlineStr">
        <is>
          <t>-8.0</t>
        </is>
      </c>
      <c r="L49" s="16" t="inlineStr">
        <is>
          <t>Away</t>
        </is>
      </c>
      <c r="M49" s="18" t="inlineStr">
        <is>
          <t>Loss</t>
        </is>
      </c>
      <c r="N49" s="16" t="inlineStr">
        <is>
          <t>-44.4</t>
        </is>
      </c>
      <c r="O49" s="16" t="inlineStr">
        <is>
          <t>+3.6</t>
        </is>
      </c>
      <c r="P49" s="16" t="inlineStr">
        <is>
          <t>Home</t>
        </is>
      </c>
      <c r="Q49" s="17" t="inlineStr">
        <is>
          <t>Win (seed week)</t>
        </is>
      </c>
      <c r="R49" s="16" t="inlineStr">
        <is>
          <t>Yes</t>
        </is>
      </c>
      <c r="S49" s="16" t="inlineStr">
        <is>
          <t>No</t>
        </is>
      </c>
      <c r="T49" s="17" t="inlineStr">
        <is>
          <t>Gamma</t>
        </is>
      </c>
      <c r="U49" s="16" t="inlineStr">
        <is>
          <t>+11.0</t>
        </is>
      </c>
      <c r="V49" s="16" t="inlineStr">
        <is>
          <t>-8.2</t>
        </is>
      </c>
      <c r="W49" s="16" t="inlineStr">
        <is>
          <t>-15.6</t>
        </is>
      </c>
    </row>
    <row r="50">
      <c r="A50" s="16" t="n">
        <v>1</v>
      </c>
      <c r="B50" s="16" t="inlineStr">
        <is>
          <t>Hawai'i @ Stanford</t>
        </is>
      </c>
      <c r="C50" s="16" t="inlineStr">
        <is>
          <t>27-37</t>
        </is>
      </c>
      <c r="D50" s="16" t="inlineStr">
        <is>
          <t>-4.8</t>
        </is>
      </c>
      <c r="E50" s="16" t="inlineStr">
        <is>
          <t>+10.0</t>
        </is>
      </c>
      <c r="F50" s="16" t="inlineStr">
        <is>
          <t>-1.5</t>
        </is>
      </c>
      <c r="G50" s="16" t="inlineStr">
        <is>
          <t>-3.3</t>
        </is>
      </c>
      <c r="H50" s="16" t="inlineStr">
        <is>
          <t>Away</t>
        </is>
      </c>
      <c r="I50" s="18" t="inlineStr">
        <is>
          <t>Loss</t>
        </is>
      </c>
      <c r="J50" s="16" t="inlineStr">
        <is>
          <t>+1.1</t>
        </is>
      </c>
      <c r="K50" s="16" t="inlineStr">
        <is>
          <t>-5.8</t>
        </is>
      </c>
      <c r="L50" s="16" t="inlineStr">
        <is>
          <t>Away</t>
        </is>
      </c>
      <c r="M50" s="18" t="inlineStr">
        <is>
          <t>Loss</t>
        </is>
      </c>
      <c r="N50" s="16" t="inlineStr">
        <is>
          <t>-11.2</t>
        </is>
      </c>
      <c r="O50" s="16" t="inlineStr">
        <is>
          <t>+6.4</t>
        </is>
      </c>
      <c r="P50" s="16" t="inlineStr">
        <is>
          <t>Home</t>
        </is>
      </c>
      <c r="Q50" s="17" t="inlineStr">
        <is>
          <t>Win (seed week)</t>
        </is>
      </c>
      <c r="R50" s="16" t="inlineStr">
        <is>
          <t>Yes</t>
        </is>
      </c>
      <c r="S50" s="16" t="inlineStr">
        <is>
          <t>No</t>
        </is>
      </c>
      <c r="T50" s="17" t="inlineStr">
        <is>
          <t>Ridge</t>
        </is>
      </c>
      <c r="U50" s="16" t="inlineStr">
        <is>
          <t>+7.7</t>
        </is>
      </c>
      <c r="V50" s="16" t="inlineStr">
        <is>
          <t>-14.0</t>
        </is>
      </c>
      <c r="W50" s="16" t="inlineStr">
        <is>
          <t>-9.2</t>
        </is>
      </c>
    </row>
    <row r="51">
      <c r="A51" s="16" t="n">
        <v>1</v>
      </c>
      <c r="B51" s="16" t="inlineStr">
        <is>
          <t>Memphis @ UNLV</t>
        </is>
      </c>
      <c r="C51" s="16" t="inlineStr">
        <is>
          <t>27-21</t>
        </is>
      </c>
      <c r="D51" s="16" t="inlineStr">
        <is>
          <t>-4.8</t>
        </is>
      </c>
      <c r="E51" s="16" t="inlineStr">
        <is>
          <t>-6.0</t>
        </is>
      </c>
      <c r="F51" s="16" t="inlineStr">
        <is>
          <t>-10.9</t>
        </is>
      </c>
      <c r="G51" s="16" t="inlineStr">
        <is>
          <t>+6.2</t>
        </is>
      </c>
      <c r="H51" s="16" t="inlineStr">
        <is>
          <t>Home</t>
        </is>
      </c>
      <c r="I51" s="18" t="inlineStr">
        <is>
          <t>Loss</t>
        </is>
      </c>
      <c r="J51" s="16" t="inlineStr">
        <is>
          <t>-7.4</t>
        </is>
      </c>
      <c r="K51" s="16" t="inlineStr">
        <is>
          <t>+2.6</t>
        </is>
      </c>
      <c r="L51" s="16" t="inlineStr">
        <is>
          <t>Home</t>
        </is>
      </c>
      <c r="M51" s="18" t="inlineStr">
        <is>
          <t>Loss</t>
        </is>
      </c>
      <c r="N51" s="16" t="inlineStr">
        <is>
          <t>+1.6</t>
        </is>
      </c>
      <c r="O51" s="16" t="inlineStr">
        <is>
          <t>-6.3</t>
        </is>
      </c>
      <c r="P51" s="16" t="inlineStr">
        <is>
          <t>Away</t>
        </is>
      </c>
      <c r="Q51" s="17" t="inlineStr">
        <is>
          <t>Win (seed week)</t>
        </is>
      </c>
      <c r="R51" s="16" t="inlineStr">
        <is>
          <t>Yes</t>
        </is>
      </c>
      <c r="S51" s="16" t="inlineStr">
        <is>
          <t>No</t>
        </is>
      </c>
      <c r="T51" s="17" t="inlineStr">
        <is>
          <t>XGBoost</t>
        </is>
      </c>
      <c r="U51" s="16" t="inlineStr">
        <is>
          <t>+13.9</t>
        </is>
      </c>
      <c r="V51" s="16" t="inlineStr">
        <is>
          <t>-11.4</t>
        </is>
      </c>
      <c r="W51" s="16" t="inlineStr">
        <is>
          <t>-15.6</t>
        </is>
      </c>
    </row>
    <row r="52">
      <c r="A52" s="16" t="n">
        <v>1</v>
      </c>
      <c r="B52" s="16" t="inlineStr">
        <is>
          <t>San José State @ USC</t>
        </is>
      </c>
      <c r="C52" s="16" t="inlineStr">
        <is>
          <t>26-42</t>
        </is>
      </c>
      <c r="D52" s="16" t="inlineStr">
        <is>
          <t>-37.2</t>
        </is>
      </c>
      <c r="E52" s="16" t="inlineStr">
        <is>
          <t>+16.0</t>
        </is>
      </c>
      <c r="F52" s="16" t="inlineStr">
        <is>
          <t>-34.6</t>
        </is>
      </c>
      <c r="G52" s="16" t="inlineStr">
        <is>
          <t>-2.7</t>
        </is>
      </c>
      <c r="H52" s="16" t="inlineStr">
        <is>
          <t>Away</t>
        </is>
      </c>
      <c r="I52" s="17" t="inlineStr">
        <is>
          <t>Win</t>
        </is>
      </c>
      <c r="J52" s="16" t="inlineStr">
        <is>
          <t>-35.3</t>
        </is>
      </c>
      <c r="K52" s="16" t="inlineStr">
        <is>
          <t>-2.0</t>
        </is>
      </c>
      <c r="L52" s="16" t="inlineStr">
        <is>
          <t>Home</t>
        </is>
      </c>
      <c r="M52" s="18" t="inlineStr">
        <is>
          <t>Loss (no real edge)</t>
        </is>
      </c>
      <c r="N52" s="16" t="inlineStr">
        <is>
          <t>-16.1</t>
        </is>
      </c>
      <c r="O52" s="16" t="inlineStr">
        <is>
          <t>-21.1</t>
        </is>
      </c>
      <c r="P52" s="16" t="inlineStr">
        <is>
          <t>Away</t>
        </is>
      </c>
      <c r="Q52" s="17" t="inlineStr">
        <is>
          <t>Win (seed week)</t>
        </is>
      </c>
      <c r="R52" s="16" t="inlineStr">
        <is>
          <t>No</t>
        </is>
      </c>
      <c r="S52" s="16" t="inlineStr">
        <is>
          <t>Yes</t>
        </is>
      </c>
      <c r="T52" s="17" t="inlineStr">
        <is>
          <t>XGBoost</t>
        </is>
      </c>
      <c r="U52" s="16" t="inlineStr">
        <is>
          <t>+11.2</t>
        </is>
      </c>
      <c r="V52" s="16" t="inlineStr">
        <is>
          <t>-13.3</t>
        </is>
      </c>
      <c r="W52" s="16" t="inlineStr">
        <is>
          <t>-36.7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2026-08-25T18:48:36Z</dcterms:created>
  <dcterms:modified xmlns:dcterms="http://purl.org/dc/terms/" xmlns:xsi="http://www.w3.org/2001/XMLSchema-instance" xsi:type="dcterms:W3CDTF">2026-09-13T15:57:06Z</dcterms:modified>
  <cp:lastModifiedBy>Edward Andrewlevich</cp:lastModifiedBy>
  <cp:revision>0</cp:revision>
</cp:coreProperties>
</file>