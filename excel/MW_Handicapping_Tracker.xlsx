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K1" zoomScaleNormal="100" workbookViewId="0">
      <pane ySplit="1" topLeftCell="A2" activePane="bottomLeft" state="frozen"/>
      <selection activeCell="K1" sqref="K1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-34.9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-18.9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52.9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-1.8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51.3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-11.3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55.5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-16</v>
      </c>
      <c r="F6" t="n">
        <v>-1.5</v>
      </c>
      <c r="G6" s="6">
        <f>F6-E6</f>
        <v/>
      </c>
      <c r="H6" s="6">
        <f>IF(G6=0,"Pick'em",IF(G6&gt;0,"Home","Away"))</f>
        <v/>
      </c>
      <c r="I6" t="n">
        <v>54.3</v>
      </c>
      <c r="J6" t="n">
        <v>54.8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-17.3</v>
      </c>
      <c r="F7" s="10" t="n">
        <v>-30</v>
      </c>
      <c r="G7" s="10">
        <f>F7-E7</f>
        <v/>
      </c>
      <c r="H7" s="10">
        <f>IF(G7=0,"Pick'em",IF(G7&gt;0,"Home","Away"))</f>
        <v/>
      </c>
      <c r="I7" s="10" t="n">
        <v>53</v>
      </c>
      <c r="J7" s="10" t="n">
        <v>56.5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-39.8</v>
      </c>
      <c r="F8" t="n">
        <v>-41.5</v>
      </c>
      <c r="G8" s="6">
        <f>F8-E8</f>
        <v/>
      </c>
      <c r="H8" s="6">
        <f>IF(G8=0,"Pick'em",IF(G8&gt;0,"Home","Away"))</f>
        <v/>
      </c>
      <c r="I8" t="n">
        <v>55.2</v>
      </c>
      <c r="J8" t="n">
        <v>54.2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-28.7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-8.300000000000001</v>
      </c>
      <c r="F10" t="n">
        <v>-2.8</v>
      </c>
      <c r="G10" s="6">
        <f>F10-E10</f>
        <v/>
      </c>
      <c r="H10" s="6">
        <f>IF(G10=0,"Pick'em",IF(G10&gt;0,"Home","Away"))</f>
        <v/>
      </c>
      <c r="I10" t="n">
        <v>49.3</v>
      </c>
      <c r="J10" t="n">
        <v>46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-34.9</v>
      </c>
      <c r="F11" t="n">
        <v>-40.8</v>
      </c>
      <c r="G11" s="6">
        <f>F11-E11</f>
        <v/>
      </c>
      <c r="H11" s="6">
        <f>IF(G11=0,"Pick'em",IF(G11&gt;0,"Home","Away"))</f>
        <v/>
      </c>
      <c r="I11" t="n">
        <v>52.4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3.5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54.4</v>
      </c>
      <c r="J12" t="n">
        <v>55.5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-18.2</v>
      </c>
      <c r="F13" t="n">
        <v>-11.2</v>
      </c>
      <c r="G13" s="6">
        <f>F13-E13</f>
        <v/>
      </c>
      <c r="H13" s="6">
        <f>IF(G13=0,"Pick'em",IF(G13&gt;0,"Home","Away"))</f>
        <v/>
      </c>
      <c r="I13" t="n">
        <v>50.5</v>
      </c>
      <c r="J13" t="n">
        <v>47.2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2.6</v>
      </c>
      <c r="F14" t="n">
        <v>0.2</v>
      </c>
      <c r="G14" s="6">
        <f>F14-E14</f>
        <v/>
      </c>
      <c r="H14" s="6">
        <f>IF(G14=0,"Pick'em",IF(G14&gt;0,"Home","Away"))</f>
        <v/>
      </c>
      <c r="I14" t="n">
        <v>51.7</v>
      </c>
      <c r="J14" t="n">
        <v>51.5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0" activePane="bottomLeft" state="frozen"/>
      <selection pane="bottomLeft" activeCell="E7" sqref="E7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n"/>
      <c r="J11" s="6">
        <f>IF(I11="","",I11-F11)</f>
        <v/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J12" s="6">
        <f>IF(I12="","",I12-F12)</f>
        <v/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J13" s="6">
        <f>IF(I13="","",I13-F13)</f>
        <v/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J14" s="6">
        <f>IF(I14="","",I14-F14)</f>
        <v/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J15" s="6">
        <f>IF(I15="","",I15-F15)</f>
        <v/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J16" s="6">
        <f>IF(I16="","",I16-F16)</f>
        <v/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J17" s="6">
        <f>IF(I17="","",I17-F17)</f>
        <v/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J18" s="6">
        <f>IF(I18="","",I18-F18)</f>
        <v/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J19" s="6">
        <f>IF(I19="","",I19-F19)</f>
        <v/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J20" s="6">
        <f>IF(I20="","",I20-F20)</f>
        <v/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J21" s="6">
        <f>IF(I21="","",I21-F21)</f>
        <v/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J22" s="6">
        <f>IF(I22="","",I22-F22)</f>
        <v/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J23" s="6">
        <f>IF(I23="","",I23-F23)</f>
        <v/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J24" s="6">
        <f>IF(I24="","",I24-F24)</f>
        <v/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J25" s="6">
        <f>IF(I25="","",I25-F25)</f>
        <v/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J26" s="6">
        <f>IF(I26="","",I26-F26)</f>
        <v/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J27" s="6">
        <f>IF(I27="","",I27-F27)</f>
        <v/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J28" s="6">
        <f>IF(I28="","",I28-F28)</f>
        <v/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J29" s="6">
        <f>IF(I29="","",I29-F29)</f>
        <v/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J30" s="6">
        <f>IF(I30="","",I30-F30)</f>
        <v/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J31" s="6">
        <f>IF(I31="","",I31-F31)</f>
        <v/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J32" s="6">
        <f>IF(I32="","",I32-F32)</f>
        <v/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J33" s="6">
        <f>IF(I33="","",I33-F33)</f>
        <v/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J34" s="6">
        <f>IF(I34="","",I34-F34)</f>
        <v/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4" ht="14.25" customHeight="1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1738.7</v>
      </c>
      <c r="E2" s="9" t="n">
        <v>-1.8</v>
      </c>
      <c r="F2" s="9" t="n">
        <v>0.23890241574583</v>
      </c>
      <c r="G2" s="9" t="n">
        <v>-0.313104117746208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1613.1</v>
      </c>
      <c r="E3" s="9" t="n">
        <v>3.6</v>
      </c>
      <c r="F3" s="9" t="n">
        <v>0.120026137832497</v>
      </c>
      <c r="G3" s="9" t="n">
        <v>0.0892851354528907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1569</v>
      </c>
      <c r="E4" s="9" t="n">
        <v>0</v>
      </c>
      <c r="F4" s="9" t="n">
        <v>0.218710771609836</v>
      </c>
      <c r="G4" s="9" t="n">
        <v>-0.0521819579954482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1491.7</v>
      </c>
      <c r="E5" s="9" t="n">
        <v>-2.6</v>
      </c>
      <c r="F5" s="9" t="n">
        <v>-0.00677990204860647</v>
      </c>
      <c r="G5" s="9" t="n">
        <v>0.246843337573555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1499.4</v>
      </c>
      <c r="E6" s="9" t="n">
        <v>-3.2</v>
      </c>
      <c r="F6" s="9" t="n">
        <v>0.398894580108972</v>
      </c>
      <c r="G6" s="9" t="n">
        <v>-0.248118563368299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1396.8</v>
      </c>
      <c r="E7" s="9" t="n">
        <v>-10.8</v>
      </c>
      <c r="F7" s="9" t="n">
        <v>-0.0251076991146115</v>
      </c>
      <c r="G7" s="9" t="n">
        <v>0.301241820375048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1412.1</v>
      </c>
      <c r="E8" s="9" t="n">
        <v>-17.2</v>
      </c>
      <c r="F8" s="9" t="n">
        <v>-0.331732073650518</v>
      </c>
      <c r="G8" s="9" t="n">
        <v>0.0613173930418566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1432.7</v>
      </c>
      <c r="E9" s="9" t="n">
        <v>-15.7</v>
      </c>
      <c r="F9" s="9" t="n">
        <v>0.165445410812368</v>
      </c>
      <c r="G9" s="9" t="n">
        <v>0.192612782957952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1439.9</v>
      </c>
      <c r="E10" s="9" t="n">
        <v>-11.7</v>
      </c>
      <c r="F10" s="9" t="n">
        <v>0.556278847672138</v>
      </c>
      <c r="G10" s="9" t="n">
        <v>0.06562288621201059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1344.5</v>
      </c>
      <c r="E11" s="9" t="n">
        <v>-19.3</v>
      </c>
      <c r="F11" s="9" t="n">
        <v>-0.251351409758154</v>
      </c>
      <c r="G11" s="9" t="n">
        <v>0.387190583531566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Ridge vs. XGBoost vs. Dub Gamma -- Model Comparison</t>
        </is>
      </c>
    </row>
    <row r="2">
      <c r="A2" s="20" t="inlineStr">
        <is>
      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Ridge (live model) -- all FBS</t>
        </is>
      </c>
      <c r="B6" s="23" t="n">
        <v>8531</v>
      </c>
      <c r="C6" s="23" t="n">
        <v>8457</v>
      </c>
      <c r="D6" s="23" t="n">
        <v>4224</v>
      </c>
      <c r="E6" s="23" t="n">
        <v>4233</v>
      </c>
      <c r="F6" s="23" t="n">
        <v>69</v>
      </c>
      <c r="G6" s="23" t="inlineStr">
        <is>
          <t>50.0%</t>
        </is>
      </c>
      <c r="H6" s="23" t="inlineStr">
        <is>
          <t>-4.7%</t>
        </is>
      </c>
      <c r="I6" s="23" t="n">
        <v>6684</v>
      </c>
      <c r="J6" s="23" t="inlineStr">
        <is>
          <t>49.7%</t>
        </is>
      </c>
      <c r="K6" s="23" t="inlineStr">
        <is>
          <t>4036/8531 (47%)</t>
        </is>
      </c>
      <c r="L6" s="23" t="inlineStr">
        <is>
          <t>+5676.1</t>
        </is>
      </c>
    </row>
    <row r="7">
      <c r="A7" s="23" t="inlineStr">
        <is>
          <t>Ridge (live model) -- MW-involved</t>
        </is>
      </c>
      <c r="B7" s="23" t="n">
        <v>969</v>
      </c>
      <c r="C7" s="23" t="n">
        <v>957</v>
      </c>
      <c r="D7" s="23" t="n">
        <v>474</v>
      </c>
      <c r="E7" s="23" t="n">
        <v>483</v>
      </c>
      <c r="F7" s="23" t="n">
        <v>12</v>
      </c>
      <c r="G7" s="23" t="inlineStr">
        <is>
          <t>49.5%</t>
        </is>
      </c>
      <c r="H7" s="23" t="inlineStr">
        <is>
          <t>-5.4%</t>
        </is>
      </c>
      <c r="I7" s="23" t="n">
        <v>776</v>
      </c>
      <c r="J7" s="23" t="inlineStr">
        <is>
          <t>49.4%</t>
        </is>
      </c>
      <c r="K7" s="23" t="inlineStr">
        <is>
          <t>454/969 (47%)</t>
        </is>
      </c>
      <c r="L7" s="23" t="inlineStr">
        <is>
          <t>+600.8</t>
        </is>
      </c>
    </row>
    <row r="8">
      <c r="A8" s="23" t="inlineStr">
        <is>
          <t>XGBoost (candidate) -- all FBS</t>
        </is>
      </c>
      <c r="B8" s="23" t="n">
        <v>8531</v>
      </c>
      <c r="C8" s="23" t="n">
        <v>8460</v>
      </c>
      <c r="D8" s="23" t="n">
        <v>4270</v>
      </c>
      <c r="E8" s="23" t="n">
        <v>4190</v>
      </c>
      <c r="F8" s="23" t="n">
        <v>69</v>
      </c>
      <c r="G8" s="23" t="inlineStr">
        <is>
          <t>50.5%</t>
        </is>
      </c>
      <c r="H8" s="23" t="inlineStr">
        <is>
          <t>-3.6%</t>
        </is>
      </c>
      <c r="I8" s="23" t="n">
        <v>6625</v>
      </c>
      <c r="J8" s="23" t="inlineStr">
        <is>
          <t>50.5%</t>
        </is>
      </c>
      <c r="K8" s="23" t="inlineStr">
        <is>
          <t>4478/8531 (52%)</t>
        </is>
      </c>
      <c r="L8" s="23" t="inlineStr">
        <is>
          <t>+758.6</t>
        </is>
      </c>
    </row>
    <row r="9">
      <c r="A9" s="23" t="inlineStr">
        <is>
          <t>XGBoost (candidate) -- MW-involved</t>
        </is>
      </c>
      <c r="B9" s="23" t="n">
        <v>969</v>
      </c>
      <c r="C9" s="23" t="n">
        <v>957</v>
      </c>
      <c r="D9" s="23" t="n">
        <v>485</v>
      </c>
      <c r="E9" s="23" t="n">
        <v>472</v>
      </c>
      <c r="F9" s="23" t="n">
        <v>12</v>
      </c>
      <c r="G9" s="23" t="inlineStr">
        <is>
          <t>50.7%</t>
        </is>
      </c>
      <c r="H9" s="23" t="inlineStr">
        <is>
          <t>-3.2%</t>
        </is>
      </c>
      <c r="I9" s="23" t="n">
        <v>740</v>
      </c>
      <c r="J9" s="23" t="inlineStr">
        <is>
          <t>51.5%</t>
        </is>
      </c>
      <c r="K9" s="23" t="inlineStr">
        <is>
          <t>512/969 (53%)</t>
        </is>
      </c>
      <c r="L9" s="23" t="inlineStr">
        <is>
          <t>+895.5</t>
        </is>
      </c>
    </row>
    <row r="10">
      <c r="A10" s="23" t="inlineStr">
        <is>
          <t>Dub Gamma Model (candidate) -- all FBS</t>
        </is>
      </c>
      <c r="B10" s="23" t="n">
        <v>8531</v>
      </c>
      <c r="C10" s="23" t="n">
        <v>97</v>
      </c>
      <c r="D10" s="23" t="n">
        <v>52</v>
      </c>
      <c r="E10" s="23" t="n">
        <v>45</v>
      </c>
      <c r="F10" s="23" t="n">
        <v>1</v>
      </c>
      <c r="G10" s="23" t="inlineStr">
        <is>
          <t>53.6%</t>
        </is>
      </c>
      <c r="H10" s="23" t="inlineStr">
        <is>
          <t>+2.3%</t>
        </is>
      </c>
      <c r="I10" s="23" t="n">
        <v>91</v>
      </c>
      <c r="J10" s="23" t="inlineStr">
        <is>
          <t>53.3%</t>
        </is>
      </c>
      <c r="K10" s="23" t="inlineStr">
        <is>
          <t>17/98 (17%)</t>
        </is>
      </c>
      <c r="L10" s="23" t="inlineStr">
        <is>
          <t>-1491.4</t>
        </is>
      </c>
    </row>
    <row r="11">
      <c r="A11" s="23" t="inlineStr">
        <is>
          <t>Dub Gamma Model (candidate) -- MW-involved</t>
        </is>
      </c>
      <c r="B11" s="23" t="n">
        <v>969</v>
      </c>
      <c r="C11" s="23" t="n">
        <v>13</v>
      </c>
      <c r="D11" s="23" t="n">
        <v>12</v>
      </c>
      <c r="E11" s="23" t="n">
        <v>1</v>
      </c>
      <c r="F11" s="23" t="n">
        <v>0</v>
      </c>
      <c r="G11" s="23" t="inlineStr">
        <is>
          <t>92.3%</t>
        </is>
      </c>
      <c r="H11" s="23" t="inlineStr">
        <is>
          <t>+76.2%</t>
        </is>
      </c>
      <c r="I11" s="23" t="n">
        <v>12</v>
      </c>
      <c r="J11" s="23" t="inlineStr">
        <is>
          <t>91.7%</t>
        </is>
      </c>
      <c r="K11" s="23" t="inlineStr">
        <is>
          <t>3/13 (23%)</t>
        </is>
      </c>
      <c r="L11" s="23" t="inlineStr">
        <is>
          <t>-36.7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Ridge (live model) -- all FBS</t>
        </is>
      </c>
      <c r="B15" s="23" t="n">
        <v>98</v>
      </c>
      <c r="C15" s="23" t="n">
        <v>97</v>
      </c>
      <c r="D15" s="23" t="n">
        <v>41</v>
      </c>
      <c r="E15" s="23" t="n">
        <v>56</v>
      </c>
      <c r="F15" s="23" t="n">
        <v>1</v>
      </c>
      <c r="G15" s="23" t="inlineStr">
        <is>
          <t>42.3%</t>
        </is>
      </c>
      <c r="H15" s="23" t="inlineStr">
        <is>
          <t>-19.3%</t>
        </is>
      </c>
      <c r="I15" s="23" t="n">
        <v>88</v>
      </c>
      <c r="J15" s="23" t="inlineStr">
        <is>
          <t>40.2%</t>
        </is>
      </c>
      <c r="K15" s="23" t="inlineStr">
        <is>
          <t>34/98 (35%)</t>
        </is>
      </c>
      <c r="L15" s="23" t="inlineStr">
        <is>
          <t>-418.9</t>
        </is>
      </c>
    </row>
    <row r="16">
      <c r="A16" s="23" t="inlineStr">
        <is>
          <t>Ridge (live model) -- MW-involved</t>
        </is>
      </c>
      <c r="B16" s="23" t="n">
        <v>13</v>
      </c>
      <c r="C16" s="23" t="n">
        <v>13</v>
      </c>
      <c r="D16" s="23" t="n">
        <v>5</v>
      </c>
      <c r="E16" s="23" t="n">
        <v>8</v>
      </c>
      <c r="F16" s="23" t="n">
        <v>0</v>
      </c>
      <c r="G16" s="23" t="inlineStr">
        <is>
          <t>38.5%</t>
        </is>
      </c>
      <c r="H16" s="23" t="inlineStr">
        <is>
          <t>-26.6%</t>
        </is>
      </c>
      <c r="I16" s="23" t="n">
        <v>11</v>
      </c>
      <c r="J16" s="23" t="inlineStr">
        <is>
          <t>36.4%</t>
        </is>
      </c>
      <c r="K16" s="23" t="inlineStr">
        <is>
          <t>4/13 (31%)</t>
        </is>
      </c>
      <c r="L16" s="23" t="inlineStr">
        <is>
          <t>+11.2</t>
        </is>
      </c>
    </row>
    <row r="17">
      <c r="A17" s="23" t="inlineStr">
        <is>
          <t>XGBoost (candidate) -- all FBS</t>
        </is>
      </c>
      <c r="B17" s="23" t="n">
        <v>98</v>
      </c>
      <c r="C17" s="23" t="n">
        <v>97</v>
      </c>
      <c r="D17" s="23" t="n">
        <v>43</v>
      </c>
      <c r="E17" s="23" t="n">
        <v>54</v>
      </c>
      <c r="F17" s="23" t="n">
        <v>1</v>
      </c>
      <c r="G17" s="23" t="inlineStr">
        <is>
          <t>44.3%</t>
        </is>
      </c>
      <c r="H17" s="23" t="inlineStr">
        <is>
          <t>-15.4%</t>
        </is>
      </c>
      <c r="I17" s="23" t="n">
        <v>82</v>
      </c>
      <c r="J17" s="23" t="inlineStr">
        <is>
          <t>40.7%</t>
        </is>
      </c>
      <c r="K17" s="23" t="inlineStr">
        <is>
          <t>47/98 (48%)</t>
        </is>
      </c>
      <c r="L17" s="23" t="inlineStr">
        <is>
          <t>-151.0</t>
        </is>
      </c>
    </row>
    <row r="18">
      <c r="A18" s="23" t="inlineStr">
        <is>
          <t>XGBoost (candidate) -- MW-involved</t>
        </is>
      </c>
      <c r="B18" s="23" t="n">
        <v>13</v>
      </c>
      <c r="C18" s="23" t="n">
        <v>13</v>
      </c>
      <c r="D18" s="23" t="n">
        <v>5</v>
      </c>
      <c r="E18" s="23" t="n">
        <v>8</v>
      </c>
      <c r="F18" s="23" t="n">
        <v>0</v>
      </c>
      <c r="G18" s="23" t="inlineStr">
        <is>
          <t>38.5%</t>
        </is>
      </c>
      <c r="H18" s="23" t="inlineStr">
        <is>
          <t>-26.6%</t>
        </is>
      </c>
      <c r="I18" s="23" t="n">
        <v>9</v>
      </c>
      <c r="J18" s="23" t="inlineStr">
        <is>
          <t>22.2%</t>
        </is>
      </c>
      <c r="K18" s="23" t="inlineStr">
        <is>
          <t>6/13 (46%)</t>
        </is>
      </c>
      <c r="L18" s="23" t="inlineStr">
        <is>
          <t>-13.3</t>
        </is>
      </c>
    </row>
    <row r="19">
      <c r="A19" s="23" t="inlineStr">
        <is>
          <t>Dub Gamma Model (candidate) -- all FBS</t>
        </is>
      </c>
      <c r="B19" s="23" t="n">
        <v>98</v>
      </c>
      <c r="C19" s="23" t="n">
        <v>97</v>
      </c>
      <c r="D19" s="23" t="n">
        <v>52</v>
      </c>
      <c r="E19" s="23" t="n">
        <v>45</v>
      </c>
      <c r="F19" s="23" t="n">
        <v>1</v>
      </c>
      <c r="G19" s="23" t="inlineStr">
        <is>
          <t>53.6%</t>
        </is>
      </c>
      <c r="H19" s="23" t="inlineStr">
        <is>
          <t>+2.3%</t>
        </is>
      </c>
      <c r="I19" s="23" t="n">
        <v>91</v>
      </c>
      <c r="J19" s="23" t="inlineStr">
        <is>
          <t>53.3%</t>
        </is>
      </c>
      <c r="K19" s="23" t="inlineStr">
        <is>
          <t>17/98 (17%)</t>
        </is>
      </c>
      <c r="L19" s="23" t="inlineStr">
        <is>
          <t>-1491.4</t>
        </is>
      </c>
    </row>
    <row r="20">
      <c r="A20" s="23" t="inlineStr">
        <is>
          <t>Dub Gamma Model (candidate) -- MW-involved</t>
        </is>
      </c>
      <c r="B20" s="23" t="n">
        <v>13</v>
      </c>
      <c r="C20" s="23" t="n">
        <v>13</v>
      </c>
      <c r="D20" s="23" t="n">
        <v>12</v>
      </c>
      <c r="E20" s="23" t="n">
        <v>1</v>
      </c>
      <c r="F20" s="23" t="n">
        <v>0</v>
      </c>
      <c r="G20" s="23" t="inlineStr">
        <is>
          <t>92.3%</t>
        </is>
      </c>
      <c r="H20" s="23" t="inlineStr">
        <is>
          <t>+76.2%</t>
        </is>
      </c>
      <c r="I20" s="23" t="n">
        <v>12</v>
      </c>
      <c r="J20" s="23" t="inlineStr">
        <is>
          <t>91.7%</t>
        </is>
      </c>
      <c r="K20" s="23" t="inlineStr">
        <is>
          <t>3/13 (23%)</t>
        </is>
      </c>
      <c r="L20" s="23" t="inlineStr">
        <is>
          <t>-36.7</t>
        </is>
      </c>
    </row>
    <row r="22">
      <c r="A22" s="20" t="inlineStr">
        <is>
          <t>Ridge and XGBoost agree on which side to lean in 77.4% of all graded games. Gamma agrees with Ridge in 68.4%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1</v>
      </c>
      <c r="B26" s="23" t="inlineStr">
        <is>
          <t>San José State @ USC</t>
        </is>
      </c>
      <c r="C26" s="23" t="inlineStr">
        <is>
          <t>-37.2</t>
        </is>
      </c>
      <c r="D26" s="23" t="inlineStr">
        <is>
          <t>-34.8</t>
        </is>
      </c>
      <c r="E26" s="23" t="inlineStr">
        <is>
          <t>-31.8</t>
        </is>
      </c>
      <c r="F26" s="23" t="inlineStr">
        <is>
          <t>-16.1</t>
        </is>
      </c>
      <c r="G26" s="23" t="inlineStr">
        <is>
          <t>Away</t>
        </is>
      </c>
      <c r="H26" s="23" t="inlineStr">
        <is>
          <t>Away</t>
        </is>
      </c>
      <c r="I26" s="23" t="inlineStr">
        <is>
          <t>Away</t>
        </is>
      </c>
      <c r="J26" s="23" t="inlineStr">
        <is>
          <t>Yes</t>
        </is>
      </c>
      <c r="K26" s="24" t="inlineStr">
        <is>
          <t>Ridge</t>
        </is>
      </c>
    </row>
    <row r="27">
      <c r="A27" s="23" t="n">
        <v>1</v>
      </c>
      <c r="B27" s="23" t="inlineStr">
        <is>
          <t>Jacksonville State @ North Dakota State</t>
        </is>
      </c>
      <c r="C27" s="23" t="inlineStr">
        <is>
          <t>-6.8</t>
        </is>
      </c>
      <c r="D27" s="23" t="inlineStr">
        <is>
          <t>-18.9</t>
        </is>
      </c>
      <c r="E27" s="23" t="inlineStr">
        <is>
          <t>-16.3</t>
        </is>
      </c>
      <c r="F27" s="23" t="inlineStr">
        <is>
          <t>-25.5</t>
        </is>
      </c>
      <c r="G27" s="23" t="inlineStr">
        <is>
          <t>Home</t>
        </is>
      </c>
      <c r="H27" s="23" t="inlineStr">
        <is>
          <t>Home</t>
        </is>
      </c>
      <c r="I27" s="23" t="inlineStr">
        <is>
          <t>Home</t>
        </is>
      </c>
      <c r="J27" s="23" t="inlineStr">
        <is>
          <t>Yes</t>
        </is>
      </c>
      <c r="K27" s="24" t="inlineStr">
        <is>
          <t>XGBoost</t>
        </is>
      </c>
    </row>
    <row r="28">
      <c r="A28" s="23" t="n">
        <v>1</v>
      </c>
      <c r="B28" s="23" t="inlineStr">
        <is>
          <t>Hawai'i @ Stanford</t>
        </is>
      </c>
      <c r="C28" s="23" t="inlineStr">
        <is>
          <t>-4.8</t>
        </is>
      </c>
      <c r="D28" s="23" t="inlineStr">
        <is>
          <t>-1.9</t>
        </is>
      </c>
      <c r="E28" s="23" t="inlineStr">
        <is>
          <t>+0.2</t>
        </is>
      </c>
      <c r="F28" s="23" t="inlineStr">
        <is>
          <t>-11.2</t>
        </is>
      </c>
      <c r="G28" s="23" t="inlineStr">
        <is>
          <t>Away</t>
        </is>
      </c>
      <c r="H28" s="23" t="inlineStr">
        <is>
          <t>Away</t>
        </is>
      </c>
      <c r="I28" s="23" t="inlineStr">
        <is>
          <t>Home</t>
        </is>
      </c>
      <c r="J28" s="23" t="inlineStr">
        <is>
          <t>Yes</t>
        </is>
      </c>
      <c r="K28" s="24" t="inlineStr">
        <is>
          <t>Ridge</t>
        </is>
      </c>
    </row>
    <row r="29">
      <c r="A29" s="23" t="n">
        <v>1</v>
      </c>
      <c r="B29" s="23" t="inlineStr">
        <is>
          <t>Memphis @ UNLV</t>
        </is>
      </c>
      <c r="C29" s="23" t="inlineStr">
        <is>
          <t>-4.8</t>
        </is>
      </c>
      <c r="D29" s="23" t="inlineStr">
        <is>
          <t>-11.3</t>
        </is>
      </c>
      <c r="E29" s="23" t="inlineStr">
        <is>
          <t>-6.9</t>
        </is>
      </c>
      <c r="F29" s="23" t="inlineStr">
        <is>
          <t>+1.6</t>
        </is>
      </c>
      <c r="G29" s="23" t="inlineStr">
        <is>
          <t>Home</t>
        </is>
      </c>
      <c r="H29" s="23" t="inlineStr">
        <is>
          <t>Home</t>
        </is>
      </c>
      <c r="I29" s="23" t="inlineStr">
        <is>
          <t>Away</t>
        </is>
      </c>
      <c r="J29" s="23" t="inlineStr">
        <is>
          <t>Yes</t>
        </is>
      </c>
      <c r="K29" s="24" t="inlineStr">
        <is>
          <t>XGBoost</t>
        </is>
      </c>
    </row>
    <row r="30">
      <c r="A30" s="23" t="n">
        <v>1</v>
      </c>
      <c r="B30" s="23" t="inlineStr">
        <is>
          <t>San José State @ Eastern Michigan</t>
        </is>
      </c>
      <c r="C30" s="23" t="inlineStr">
        <is>
          <t>-1.5</t>
        </is>
      </c>
      <c r="D30" s="23" t="inlineStr">
        <is>
          <t>-16.0</t>
        </is>
      </c>
      <c r="E30" s="23" t="inlineStr">
        <is>
          <t>-10.4</t>
        </is>
      </c>
      <c r="F30" s="23" t="inlineStr">
        <is>
          <t>+0.5</t>
        </is>
      </c>
      <c r="G30" s="23" t="inlineStr">
        <is>
          <t>Home</t>
        </is>
      </c>
      <c r="H30" s="23" t="inlineStr">
        <is>
          <t>Home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Gamma</t>
        </is>
      </c>
    </row>
    <row r="31">
      <c r="A31" s="23" t="n">
        <v>1</v>
      </c>
      <c r="B31" s="23" t="inlineStr">
        <is>
          <t>UTEP @ Oklahoma</t>
        </is>
      </c>
      <c r="C31" s="23" t="inlineStr">
        <is>
          <t>-40.8</t>
        </is>
      </c>
      <c r="D31" s="23" t="inlineStr">
        <is>
          <t>-34.9</t>
        </is>
      </c>
      <c r="E31" s="23" t="inlineStr">
        <is>
          <t>-33.5</t>
        </is>
      </c>
      <c r="F31" s="23" t="inlineStr">
        <is>
          <t>-44.4</t>
        </is>
      </c>
      <c r="G31" s="23" t="inlineStr">
        <is>
          <t>Away</t>
        </is>
      </c>
      <c r="H31" s="23" t="inlineStr">
        <is>
          <t>Away</t>
        </is>
      </c>
      <c r="I31" s="23" t="inlineStr">
        <is>
          <t>Home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1</v>
      </c>
      <c r="B32" s="23" t="inlineStr">
        <is>
          <t>Duquesne @ Air Force</t>
        </is>
      </c>
      <c r="C32" s="23" t="inlineStr">
        <is>
          <t>-30.0</t>
        </is>
      </c>
      <c r="D32" s="23" t="inlineStr">
        <is>
          <t>-17.3</t>
        </is>
      </c>
      <c r="E32" s="23" t="inlineStr">
        <is>
          <t>-29.9</t>
        </is>
      </c>
      <c r="F32" s="23" t="inlineStr">
        <is>
          <t>+2.3</t>
        </is>
      </c>
      <c r="G32" s="23" t="inlineStr">
        <is>
          <t>Away</t>
        </is>
      </c>
      <c r="H32" s="23" t="inlineStr">
        <is>
          <t>Home (auto)</t>
        </is>
      </c>
      <c r="I32" s="23" t="inlineStr">
        <is>
          <t>Away</t>
        </is>
      </c>
      <c r="J32" s="23" t="inlineStr">
        <is>
          <t>No</t>
        </is>
      </c>
      <c r="K32" s="24" t="inlineStr">
        <is>
          <t>XGBoost</t>
        </is>
      </c>
    </row>
    <row r="33">
      <c r="A33" s="23" t="n">
        <v>1</v>
      </c>
      <c r="B33" s="23" t="inlineStr">
        <is>
          <t>Fordham @ North Dakota State</t>
        </is>
      </c>
      <c r="C33" s="23" t="inlineStr">
        <is>
          <t>-41.5</t>
        </is>
      </c>
      <c r="D33" s="23" t="inlineStr">
        <is>
          <t>-39.8</t>
        </is>
      </c>
      <c r="E33" s="23" t="inlineStr">
        <is>
          <t>-32.6</t>
        </is>
      </c>
      <c r="F33" s="23" t="inlineStr">
        <is>
          <t>-19.6</t>
        </is>
      </c>
      <c r="G33" s="23" t="inlineStr">
        <is>
          <t>Home (auto)</t>
        </is>
      </c>
      <c r="H33" s="23" t="inlineStr">
        <is>
          <t>Away</t>
        </is>
      </c>
      <c r="I33" s="23" t="inlineStr">
        <is>
          <t>Away</t>
        </is>
      </c>
      <c r="J33" s="23" t="inlineStr">
        <is>
          <t>No</t>
        </is>
      </c>
      <c r="K33" s="24" t="inlineStr">
        <is>
          <t>Ridge</t>
        </is>
      </c>
    </row>
    <row r="34">
      <c r="A34" s="23" t="n">
        <v>1</v>
      </c>
      <c r="B34" s="23" t="inlineStr">
        <is>
          <t>Northern Illinois @ Iowa</t>
        </is>
      </c>
      <c r="C34" s="23" t="inlineStr">
        <is>
          <t>-31.8</t>
        </is>
      </c>
      <c r="D34" s="23" t="inlineStr">
        <is>
          <t>-28.7</t>
        </is>
      </c>
      <c r="E34" s="23" t="inlineStr">
        <is>
          <t>-25.3</t>
        </is>
      </c>
      <c r="F34" s="23" t="inlineStr">
        <is>
          <t>-41.0</t>
        </is>
      </c>
      <c r="G34" s="23" t="inlineStr">
        <is>
          <t>Away</t>
        </is>
      </c>
      <c r="H34" s="23" t="inlineStr">
        <is>
          <t>Away</t>
        </is>
      </c>
      <c r="I34" s="23" t="inlineStr">
        <is>
          <t>Home</t>
        </is>
      </c>
      <c r="J34" s="23" t="inlineStr">
        <is>
          <t>Yes</t>
        </is>
      </c>
      <c r="K34" s="24" t="inlineStr">
        <is>
          <t>Ridge</t>
        </is>
      </c>
    </row>
    <row r="35">
      <c r="A35" s="23" t="n">
        <v>1</v>
      </c>
      <c r="B35" s="23" t="inlineStr">
        <is>
          <t>Wyoming @ Colorado State</t>
        </is>
      </c>
      <c r="C35" s="23" t="inlineStr">
        <is>
          <t>-2.8</t>
        </is>
      </c>
      <c r="D35" s="23" t="inlineStr">
        <is>
          <t>-8.3</t>
        </is>
      </c>
      <c r="E35" s="23" t="inlineStr">
        <is>
          <t>-4.3</t>
        </is>
      </c>
      <c r="F35" s="23" t="inlineStr">
        <is>
          <t>-6.4</t>
        </is>
      </c>
      <c r="G35" s="23" t="inlineStr">
        <is>
          <t>Home</t>
        </is>
      </c>
      <c r="H35" s="23" t="inlineStr">
        <is>
          <t>Home (auto)</t>
        </is>
      </c>
      <c r="I35" s="23" t="inlineStr">
        <is>
          <t>Home</t>
        </is>
      </c>
      <c r="J35" s="23" t="inlineStr">
        <is>
          <t>Yes</t>
        </is>
      </c>
      <c r="K35" s="24" t="inlineStr">
        <is>
          <t>XGBoost</t>
        </is>
      </c>
    </row>
    <row r="36">
      <c r="A36" s="23" t="n">
        <v>1</v>
      </c>
      <c r="B36" s="23" t="inlineStr">
        <is>
          <t>UNLV @ Hawai'i</t>
        </is>
      </c>
      <c r="C36" s="23" t="inlineStr">
        <is>
          <t>+2.8</t>
        </is>
      </c>
      <c r="D36" s="23" t="inlineStr">
        <is>
          <t>+3.5</t>
        </is>
      </c>
      <c r="E36" s="23" t="inlineStr">
        <is>
          <t>-0.7</t>
        </is>
      </c>
      <c r="F36" s="23" t="inlineStr">
        <is>
          <t>+4.4</t>
        </is>
      </c>
      <c r="G36" s="23" t="inlineStr">
        <is>
          <t>Away (auto)</t>
        </is>
      </c>
      <c r="H36" s="23" t="inlineStr">
        <is>
          <t>Home</t>
        </is>
      </c>
      <c r="I36" s="23" t="inlineStr">
        <is>
          <t>Away (auto)</t>
        </is>
      </c>
      <c r="J36" s="23" t="inlineStr">
        <is>
          <t>No</t>
        </is>
      </c>
      <c r="K36" s="24" t="inlineStr">
        <is>
          <t>Ridge</t>
        </is>
      </c>
    </row>
    <row r="37">
      <c r="A37" s="23" t="n">
        <v>1</v>
      </c>
      <c r="B37" s="23" t="inlineStr">
        <is>
          <t>Central Michigan @ New Mexico</t>
        </is>
      </c>
      <c r="C37" s="23" t="inlineStr">
        <is>
          <t>-11.2</t>
        </is>
      </c>
      <c r="D37" s="23" t="inlineStr">
        <is>
          <t>-18.2</t>
        </is>
      </c>
      <c r="E37" s="23" t="inlineStr">
        <is>
          <t>-12.3</t>
        </is>
      </c>
      <c r="F37" s="23" t="inlineStr">
        <is>
          <t>-15.6</t>
        </is>
      </c>
      <c r="G37" s="23" t="inlineStr">
        <is>
          <t>Home</t>
        </is>
      </c>
      <c r="H37" s="23" t="inlineStr">
        <is>
          <t>Home (auto)</t>
        </is>
      </c>
      <c r="I37" s="23" t="inlineStr">
        <is>
          <t>Home</t>
        </is>
      </c>
      <c r="J37" s="23" t="inlineStr">
        <is>
          <t>Yes</t>
        </is>
      </c>
      <c r="K37" s="24" t="inlineStr">
        <is>
          <t>XGBoost</t>
        </is>
      </c>
    </row>
    <row r="38">
      <c r="A38" s="23" t="n">
        <v>1</v>
      </c>
      <c r="B38" s="23" t="inlineStr">
        <is>
          <t>Western Kentucky @ Nevada</t>
        </is>
      </c>
      <c r="C38" s="23" t="inlineStr">
        <is>
          <t>+0.2</t>
        </is>
      </c>
      <c r="D38" s="23" t="inlineStr">
        <is>
          <t>+2.6</t>
        </is>
      </c>
      <c r="E38" s="23" t="inlineStr">
        <is>
          <t>+4.2</t>
        </is>
      </c>
      <c r="F38" s="23" t="inlineStr">
        <is>
          <t>-2.5</t>
        </is>
      </c>
      <c r="G38" s="23" t="inlineStr">
        <is>
          <t>Away</t>
        </is>
      </c>
      <c r="H38" s="23" t="inlineStr">
        <is>
          <t>Away</t>
        </is>
      </c>
      <c r="I38" s="23" t="inlineStr">
        <is>
          <t>Home</t>
        </is>
      </c>
      <c r="J38" s="23" t="inlineStr">
        <is>
          <t>Yes</t>
        </is>
      </c>
      <c r="K38" s="24" t="inlineStr">
        <is>
          <t>Ridge</t>
        </is>
      </c>
    </row>
    <row r="39">
      <c r="A39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2">
      <c r="A42" s="21" t="inlineStr">
        <is>
          <t>2026 Mountain West Games -- Game by Game</t>
        </is>
      </c>
    </row>
    <row r="43">
      <c r="A43" s="22" t="inlineStr">
        <is>
          <t>Week</t>
        </is>
      </c>
      <c r="B43" s="22" t="inlineStr">
        <is>
          <t>Matchup</t>
        </is>
      </c>
      <c r="C43" s="22" t="inlineStr">
        <is>
          <t>Final Score</t>
        </is>
      </c>
      <c r="D43" s="22" t="inlineStr">
        <is>
          <t>Vegas Spread (Home)</t>
        </is>
      </c>
      <c r="E43" s="22" t="inlineStr">
        <is>
          <t>Actual Margin (Home)</t>
        </is>
      </c>
      <c r="F43" s="22" t="inlineStr">
        <is>
          <t>Ridge Line</t>
        </is>
      </c>
      <c r="G43" s="22" t="inlineStr">
        <is>
          <t>Ridge Edge</t>
        </is>
      </c>
      <c r="H43" s="22" t="inlineStr">
        <is>
          <t>Ridge Lean</t>
        </is>
      </c>
      <c r="I43" s="22" t="inlineStr">
        <is>
          <t>Ridge Result</t>
        </is>
      </c>
      <c r="J43" s="22" t="inlineStr">
        <is>
          <t>XGBoost Line</t>
        </is>
      </c>
      <c r="K43" s="22" t="inlineStr">
        <is>
          <t>XGBoost Edge</t>
        </is>
      </c>
      <c r="L43" s="22" t="inlineStr">
        <is>
          <t>XGBoost Lean</t>
        </is>
      </c>
      <c r="M43" s="22" t="inlineStr">
        <is>
          <t>XGBoost Result</t>
        </is>
      </c>
      <c r="N43" s="22" t="inlineStr">
        <is>
          <t>Gamma Line</t>
        </is>
      </c>
      <c r="O43" s="22" t="inlineStr">
        <is>
          <t>Gamma Edge</t>
        </is>
      </c>
      <c r="P43" s="22" t="inlineStr">
        <is>
          <t>Gamma Lean</t>
        </is>
      </c>
      <c r="Q43" s="22" t="inlineStr">
        <is>
          <t>Gamma Result</t>
        </is>
      </c>
      <c r="R43" s="22" t="inlineStr">
        <is>
          <t>Ridge/XGBoost Agree?</t>
        </is>
      </c>
      <c r="S43" s="22" t="inlineStr">
        <is>
          <t>Gamma Agrees (w/ Ridge)?</t>
        </is>
      </c>
      <c r="T43" s="22" t="inlineStr">
        <is>
          <t>Tightest CLV Line</t>
        </is>
      </c>
      <c r="U43" s="22" t="inlineStr">
        <is>
          <t>Ridge CLV Pts (Cum.)</t>
        </is>
      </c>
      <c r="V43" s="22" t="inlineStr">
        <is>
          <t>XGBoost CLV Pts (Cum.)</t>
        </is>
      </c>
      <c r="W43" s="22" t="inlineStr">
        <is>
          <t>Gamma CLV Pts (Cum.)</t>
        </is>
      </c>
    </row>
    <row r="44">
      <c r="A44" s="23" t="n">
        <v>1</v>
      </c>
      <c r="B44" s="23" t="inlineStr">
        <is>
          <t>Duquesne @ Air Force</t>
        </is>
      </c>
      <c r="C44" s="23" t="inlineStr">
        <is>
          <t>0-34</t>
        </is>
      </c>
      <c r="D44" s="23" t="inlineStr">
        <is>
          <t>-30.0</t>
        </is>
      </c>
      <c r="E44" s="23" t="inlineStr">
        <is>
          <t>+34.0</t>
        </is>
      </c>
      <c r="F44" s="23" t="inlineStr">
        <is>
          <t>-17.0</t>
        </is>
      </c>
      <c r="G44" s="23" t="inlineStr">
        <is>
          <t>-13.0</t>
        </is>
      </c>
      <c r="H44" s="23" t="inlineStr">
        <is>
          <t>Away</t>
        </is>
      </c>
      <c r="I44" s="25" t="inlineStr">
        <is>
          <t>Loss</t>
        </is>
      </c>
      <c r="J44" s="23" t="inlineStr">
        <is>
          <t>-28.3</t>
        </is>
      </c>
      <c r="K44" s="23" t="inlineStr">
        <is>
          <t>-1.7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+2.3</t>
        </is>
      </c>
      <c r="O44" s="23" t="inlineStr">
        <is>
          <t>-32.3</t>
        </is>
      </c>
      <c r="P44" s="23" t="inlineStr">
        <is>
          <t>Away</t>
        </is>
      </c>
      <c r="Q44" s="25" t="inlineStr">
        <is>
          <t>Loss (seed week)</t>
        </is>
      </c>
      <c r="R44" s="23" t="inlineStr">
        <is>
          <t>No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-13.0</t>
        </is>
      </c>
      <c r="V44" s="23" t="inlineStr">
        <is>
          <t>-1.7</t>
        </is>
      </c>
      <c r="W44" s="23" t="inlineStr">
        <is>
          <t>-32.3</t>
        </is>
      </c>
    </row>
    <row r="45">
      <c r="A45" s="23" t="n">
        <v>1</v>
      </c>
      <c r="B45" s="23" t="inlineStr">
        <is>
          <t>Wyoming @ Colorado State</t>
        </is>
      </c>
      <c r="C45" s="23" t="inlineStr">
        <is>
          <t>13-35</t>
        </is>
      </c>
      <c r="D45" s="23" t="inlineStr">
        <is>
          <t>-2.8</t>
        </is>
      </c>
      <c r="E45" s="23" t="inlineStr">
        <is>
          <t>+22.0</t>
        </is>
      </c>
      <c r="F45" s="23" t="inlineStr">
        <is>
          <t>-7.8</t>
        </is>
      </c>
      <c r="G45" s="23" t="inlineStr">
        <is>
          <t>+5.1</t>
        </is>
      </c>
      <c r="H45" s="23" t="inlineStr">
        <is>
          <t>Home</t>
        </is>
      </c>
      <c r="I45" s="24" t="inlineStr">
        <is>
          <t>Win</t>
        </is>
      </c>
      <c r="J45" s="23" t="inlineStr">
        <is>
          <t>-2.5</t>
        </is>
      </c>
      <c r="K45" s="23" t="inlineStr">
        <is>
          <t>-0.2</t>
        </is>
      </c>
      <c r="L45" s="23" t="inlineStr">
        <is>
          <t>Home</t>
        </is>
      </c>
      <c r="M45" s="24" t="inlineStr">
        <is>
          <t>Win (no real edge)</t>
        </is>
      </c>
      <c r="N45" s="23" t="inlineStr">
        <is>
          <t>-6.4</t>
        </is>
      </c>
      <c r="O45" s="23" t="inlineStr">
        <is>
          <t>+3.7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Yes</t>
        </is>
      </c>
      <c r="T45" s="24" t="inlineStr">
        <is>
          <t>XGBoost</t>
        </is>
      </c>
      <c r="U45" s="23" t="inlineStr">
        <is>
          <t>-7.9</t>
        </is>
      </c>
      <c r="V45" s="23" t="inlineStr">
        <is>
          <t>-1.9</t>
        </is>
      </c>
      <c r="W45" s="23" t="inlineStr">
        <is>
          <t>-28.7</t>
        </is>
      </c>
    </row>
    <row r="46">
      <c r="A46" s="23" t="n">
        <v>1</v>
      </c>
      <c r="B46" s="23" t="inlineStr">
        <is>
          <t>San José State @ Eastern Michigan</t>
        </is>
      </c>
      <c r="C46" s="23" t="inlineStr">
        <is>
          <t>27-21</t>
        </is>
      </c>
      <c r="D46" s="23" t="inlineStr">
        <is>
          <t>-1.5</t>
        </is>
      </c>
      <c r="E46" s="23" t="inlineStr">
        <is>
          <t>-6.0</t>
        </is>
      </c>
      <c r="F46" s="23" t="inlineStr">
        <is>
          <t>-15.8</t>
        </is>
      </c>
      <c r="G46" s="23" t="inlineStr">
        <is>
          <t>+14.3</t>
        </is>
      </c>
      <c r="H46" s="23" t="inlineStr">
        <is>
          <t>Home</t>
        </is>
      </c>
      <c r="I46" s="25" t="inlineStr">
        <is>
          <t>Loss</t>
        </is>
      </c>
      <c r="J46" s="23" t="inlineStr">
        <is>
          <t>-10.5</t>
        </is>
      </c>
      <c r="K46" s="23" t="inlineStr">
        <is>
          <t>+9.0</t>
        </is>
      </c>
      <c r="L46" s="23" t="inlineStr">
        <is>
          <t>Home</t>
        </is>
      </c>
      <c r="M46" s="25" t="inlineStr">
        <is>
          <t>Loss</t>
        </is>
      </c>
      <c r="N46" s="23" t="inlineStr">
        <is>
          <t>+0.5</t>
        </is>
      </c>
      <c r="O46" s="23" t="inlineStr">
        <is>
          <t>-2.0</t>
        </is>
      </c>
      <c r="P46" s="23" t="inlineStr">
        <is>
          <t>Away</t>
        </is>
      </c>
      <c r="Q46" s="24" t="inlineStr">
        <is>
          <t>Win (seed week)</t>
        </is>
      </c>
      <c r="R46" s="23" t="inlineStr">
        <is>
          <t>Yes</t>
        </is>
      </c>
      <c r="S46" s="23" t="inlineStr">
        <is>
          <t>No</t>
        </is>
      </c>
      <c r="T46" s="24" t="inlineStr">
        <is>
          <t>Gamma</t>
        </is>
      </c>
      <c r="U46" s="23" t="inlineStr">
        <is>
          <t>+6.4</t>
        </is>
      </c>
      <c r="V46" s="23" t="inlineStr">
        <is>
          <t>+7.2</t>
        </is>
      </c>
      <c r="W46" s="23" t="inlineStr">
        <is>
          <t>-30.7</t>
        </is>
      </c>
    </row>
    <row r="47">
      <c r="A47" s="23" t="n">
        <v>1</v>
      </c>
      <c r="B47" s="23" t="inlineStr">
        <is>
          <t>UNLV @ Hawai'i</t>
        </is>
      </c>
      <c r="C47" s="23" t="inlineStr">
        <is>
          <t>21-6</t>
        </is>
      </c>
      <c r="D47" s="23" t="inlineStr">
        <is>
          <t>+2.8</t>
        </is>
      </c>
      <c r="E47" s="23" t="inlineStr">
        <is>
          <t>-15.0</t>
        </is>
      </c>
      <c r="F47" s="23" t="inlineStr">
        <is>
          <t>+2.9</t>
        </is>
      </c>
      <c r="G47" s="23" t="inlineStr">
        <is>
          <t>-0.1</t>
        </is>
      </c>
      <c r="H47" s="23" t="inlineStr">
        <is>
          <t>Away</t>
        </is>
      </c>
      <c r="I47" s="24" t="inlineStr">
        <is>
          <t>Win (no real edge)</t>
        </is>
      </c>
      <c r="J47" s="23" t="inlineStr">
        <is>
          <t>-1.8</t>
        </is>
      </c>
      <c r="K47" s="23" t="inlineStr">
        <is>
          <t>+4.6</t>
        </is>
      </c>
      <c r="L47" s="23" t="inlineStr">
        <is>
          <t>Home</t>
        </is>
      </c>
      <c r="M47" s="25" t="inlineStr">
        <is>
          <t>Loss</t>
        </is>
      </c>
      <c r="N47" s="23" t="inlineStr">
        <is>
          <t>+4.4</t>
        </is>
      </c>
      <c r="O47" s="23" t="inlineStr">
        <is>
          <t>-1.6</t>
        </is>
      </c>
      <c r="P47" s="23" t="inlineStr">
        <is>
          <t>Away</t>
        </is>
      </c>
      <c r="Q47" s="24" t="inlineStr">
        <is>
          <t>Win (no real edge) (seed week)</t>
        </is>
      </c>
      <c r="R47" s="23" t="inlineStr">
        <is>
          <t>No</t>
        </is>
      </c>
      <c r="S47" s="23" t="inlineStr">
        <is>
          <t>Yes</t>
        </is>
      </c>
      <c r="T47" s="24" t="inlineStr">
        <is>
          <t>Ridge</t>
        </is>
      </c>
      <c r="U47" s="23" t="inlineStr">
        <is>
          <t>+6.2</t>
        </is>
      </c>
      <c r="V47" s="23" t="inlineStr">
        <is>
          <t>+11.8</t>
        </is>
      </c>
      <c r="W47" s="23" t="inlineStr">
        <is>
          <t>-32.3</t>
        </is>
      </c>
    </row>
    <row r="48">
      <c r="A48" s="23" t="n">
        <v>1</v>
      </c>
      <c r="B48" s="23" t="inlineStr">
        <is>
          <t>Northern Illinois @ Iowa</t>
        </is>
      </c>
      <c r="C48" s="23" t="inlineStr">
        <is>
          <t>0-40</t>
        </is>
      </c>
      <c r="D48" s="23" t="inlineStr">
        <is>
          <t>-31.8</t>
        </is>
      </c>
      <c r="E48" s="23" t="inlineStr">
        <is>
          <t>+40.0</t>
        </is>
      </c>
      <c r="F48" s="23" t="inlineStr">
        <is>
          <t>-28.3</t>
        </is>
      </c>
      <c r="G48" s="23" t="inlineStr">
        <is>
          <t>-3.5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-25.4</t>
        </is>
      </c>
      <c r="K48" s="23" t="inlineStr">
        <is>
          <t>-6.4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-41.0</t>
        </is>
      </c>
      <c r="O48" s="23" t="inlineStr">
        <is>
          <t>+9.2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+2.8</t>
        </is>
      </c>
      <c r="V48" s="23" t="inlineStr">
        <is>
          <t>+5.4</t>
        </is>
      </c>
      <c r="W48" s="23" t="inlineStr">
        <is>
          <t>-23.1</t>
        </is>
      </c>
    </row>
    <row r="49">
      <c r="A49" s="23" t="n">
        <v>1</v>
      </c>
      <c r="B49" s="23" t="inlineStr">
        <is>
          <t>Western Kentucky @ Nevada</t>
        </is>
      </c>
      <c r="C49" s="23" t="inlineStr">
        <is>
          <t>14-49</t>
        </is>
      </c>
      <c r="D49" s="23" t="inlineStr">
        <is>
          <t>+0.2</t>
        </is>
      </c>
      <c r="E49" s="23" t="inlineStr">
        <is>
          <t>+35.0</t>
        </is>
      </c>
      <c r="F49" s="23" t="inlineStr">
        <is>
          <t>+3.3</t>
        </is>
      </c>
      <c r="G49" s="23" t="inlineStr">
        <is>
          <t>-3.0</t>
        </is>
      </c>
      <c r="H49" s="23" t="inlineStr">
        <is>
          <t>Away</t>
        </is>
      </c>
      <c r="I49" s="25" t="inlineStr">
        <is>
          <t>Loss</t>
        </is>
      </c>
      <c r="J49" s="23" t="inlineStr">
        <is>
          <t>+7.3</t>
        </is>
      </c>
      <c r="K49" s="23" t="inlineStr">
        <is>
          <t>-7.1</t>
        </is>
      </c>
      <c r="L49" s="23" t="inlineStr">
        <is>
          <t>Away</t>
        </is>
      </c>
      <c r="M49" s="25" t="inlineStr">
        <is>
          <t>Loss</t>
        </is>
      </c>
      <c r="N49" s="23" t="inlineStr">
        <is>
          <t>-2.5</t>
        </is>
      </c>
      <c r="O49" s="23" t="inlineStr">
        <is>
          <t>+2.7</t>
        </is>
      </c>
      <c r="P49" s="23" t="inlineStr">
        <is>
          <t>Home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Gamma</t>
        </is>
      </c>
      <c r="U49" s="23" t="inlineStr">
        <is>
          <t>-0.3</t>
        </is>
      </c>
      <c r="V49" s="23" t="inlineStr">
        <is>
          <t>-1.7</t>
        </is>
      </c>
      <c r="W49" s="23" t="inlineStr">
        <is>
          <t>-20.4</t>
        </is>
      </c>
    </row>
    <row r="50">
      <c r="A50" s="23" t="n">
        <v>1</v>
      </c>
      <c r="B50" s="23" t="inlineStr">
        <is>
          <t>Central Michigan @ New Mexico</t>
        </is>
      </c>
      <c r="C50" s="23" t="inlineStr">
        <is>
          <t>7-38</t>
        </is>
      </c>
      <c r="D50" s="23" t="inlineStr">
        <is>
          <t>-11.2</t>
        </is>
      </c>
      <c r="E50" s="23" t="inlineStr">
        <is>
          <t>+31.0</t>
        </is>
      </c>
      <c r="F50" s="23" t="inlineStr">
        <is>
          <t>-17.5</t>
        </is>
      </c>
      <c r="G50" s="23" t="inlineStr">
        <is>
          <t>+6.2</t>
        </is>
      </c>
      <c r="H50" s="23" t="inlineStr">
        <is>
          <t>Home</t>
        </is>
      </c>
      <c r="I50" s="24" t="inlineStr">
        <is>
          <t>Win</t>
        </is>
      </c>
      <c r="J50" s="23" t="inlineStr">
        <is>
          <t>-11.6</t>
        </is>
      </c>
      <c r="K50" s="23" t="inlineStr">
        <is>
          <t>+0.3</t>
        </is>
      </c>
      <c r="L50" s="23" t="inlineStr">
        <is>
          <t>Home</t>
        </is>
      </c>
      <c r="M50" s="24" t="inlineStr">
        <is>
          <t>Win (no real edge)</t>
        </is>
      </c>
      <c r="N50" s="23" t="inlineStr">
        <is>
          <t>-15.6</t>
        </is>
      </c>
      <c r="O50" s="23" t="inlineStr">
        <is>
          <t>+4.3</t>
        </is>
      </c>
      <c r="P50" s="23" t="inlineStr">
        <is>
          <t>Home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+5.9</t>
        </is>
      </c>
      <c r="V50" s="23" t="inlineStr">
        <is>
          <t>-1.4</t>
        </is>
      </c>
      <c r="W50" s="23" t="inlineStr">
        <is>
          <t>-16.0</t>
        </is>
      </c>
    </row>
    <row r="51">
      <c r="A51" s="23" t="n">
        <v>1</v>
      </c>
      <c r="B51" s="23" t="inlineStr">
        <is>
          <t>Jacksonville State @ North Dakota State</t>
        </is>
      </c>
      <c r="C51" s="23" t="inlineStr">
        <is>
          <t>7-33</t>
        </is>
      </c>
      <c r="D51" s="23" t="inlineStr">
        <is>
          <t>-6.8</t>
        </is>
      </c>
      <c r="E51" s="23" t="inlineStr">
        <is>
          <t>+26.0</t>
        </is>
      </c>
      <c r="F51" s="23" t="inlineStr">
        <is>
          <t>-18.4</t>
        </is>
      </c>
      <c r="G51" s="23" t="inlineStr">
        <is>
          <t>+11.6</t>
        </is>
      </c>
      <c r="H51" s="23" t="inlineStr">
        <is>
          <t>Home</t>
        </is>
      </c>
      <c r="I51" s="24" t="inlineStr">
        <is>
          <t>Win</t>
        </is>
      </c>
      <c r="J51" s="23" t="inlineStr">
        <is>
          <t>-14.4</t>
        </is>
      </c>
      <c r="K51" s="23" t="inlineStr">
        <is>
          <t>+7.7</t>
        </is>
      </c>
      <c r="L51" s="23" t="inlineStr">
        <is>
          <t>Home</t>
        </is>
      </c>
      <c r="M51" s="24" t="inlineStr">
        <is>
          <t>Win</t>
        </is>
      </c>
      <c r="N51" s="23" t="inlineStr">
        <is>
          <t>-25.5</t>
        </is>
      </c>
      <c r="O51" s="23" t="inlineStr">
        <is>
          <t>+18.7</t>
        </is>
      </c>
      <c r="P51" s="23" t="inlineStr">
        <is>
          <t>Home</t>
        </is>
      </c>
      <c r="Q51" s="24" t="inlineStr">
        <is>
          <t>Win (seed week)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+17.6</t>
        </is>
      </c>
      <c r="V51" s="23" t="inlineStr">
        <is>
          <t>+6.3</t>
        </is>
      </c>
      <c r="W51" s="23" t="inlineStr">
        <is>
          <t>+2.7</t>
        </is>
      </c>
    </row>
    <row r="52">
      <c r="A52" s="23" t="n">
        <v>1</v>
      </c>
      <c r="B52" s="23" t="inlineStr">
        <is>
          <t>Fordham @ North Dakota State</t>
        </is>
      </c>
      <c r="C52" s="23" t="inlineStr">
        <is>
          <t>0-38</t>
        </is>
      </c>
      <c r="D52" s="23" t="inlineStr">
        <is>
          <t>-41.5</t>
        </is>
      </c>
      <c r="E52" s="23" t="inlineStr">
        <is>
          <t>+38.0</t>
        </is>
      </c>
      <c r="F52" s="23" t="inlineStr">
        <is>
          <t>-40.9</t>
        </is>
      </c>
      <c r="G52" s="23" t="inlineStr">
        <is>
          <t>-0.6</t>
        </is>
      </c>
      <c r="H52" s="23" t="inlineStr">
        <is>
          <t>Home</t>
        </is>
      </c>
      <c r="I52" s="25" t="inlineStr">
        <is>
          <t>Loss (no real edge)</t>
        </is>
      </c>
      <c r="J52" s="23" t="inlineStr">
        <is>
          <t>-35.0</t>
        </is>
      </c>
      <c r="K52" s="23" t="inlineStr">
        <is>
          <t>-6.5</t>
        </is>
      </c>
      <c r="L52" s="23" t="inlineStr">
        <is>
          <t>Away</t>
        </is>
      </c>
      <c r="M52" s="24" t="inlineStr">
        <is>
          <t>Win</t>
        </is>
      </c>
      <c r="N52" s="23" t="inlineStr">
        <is>
          <t>-19.6</t>
        </is>
      </c>
      <c r="O52" s="23" t="inlineStr">
        <is>
          <t>-21.9</t>
        </is>
      </c>
      <c r="P52" s="23" t="inlineStr">
        <is>
          <t>Away</t>
        </is>
      </c>
      <c r="Q52" s="24" t="inlineStr">
        <is>
          <t>Win (seed week)</t>
        </is>
      </c>
      <c r="R52" s="23" t="inlineStr">
        <is>
          <t>No</t>
        </is>
      </c>
      <c r="S52" s="23" t="inlineStr">
        <is>
          <t>No</t>
        </is>
      </c>
      <c r="T52" s="24" t="inlineStr">
        <is>
          <t>Ridge</t>
        </is>
      </c>
      <c r="U52" s="23" t="inlineStr">
        <is>
          <t>+16.9</t>
        </is>
      </c>
      <c r="V52" s="23" t="inlineStr">
        <is>
          <t>-0.2</t>
        </is>
      </c>
      <c r="W52" s="23" t="inlineStr">
        <is>
          <t>-19.2</t>
        </is>
      </c>
    </row>
    <row r="53">
      <c r="A53" s="23" t="n">
        <v>1</v>
      </c>
      <c r="B53" s="23" t="inlineStr">
        <is>
          <t>UTEP @ Oklahoma</t>
        </is>
      </c>
      <c r="C53" s="23" t="inlineStr">
        <is>
          <t>0-51</t>
        </is>
      </c>
      <c r="D53" s="23" t="inlineStr">
        <is>
          <t>-40.8</t>
        </is>
      </c>
      <c r="E53" s="23" t="inlineStr">
        <is>
          <t>+51.0</t>
        </is>
      </c>
      <c r="F53" s="23" t="inlineStr">
        <is>
          <t>-34.8</t>
        </is>
      </c>
      <c r="G53" s="23" t="inlineStr">
        <is>
          <t>-5.9</t>
        </is>
      </c>
      <c r="H53" s="23" t="inlineStr">
        <is>
          <t>Away</t>
        </is>
      </c>
      <c r="I53" s="25" t="inlineStr">
        <is>
          <t>Loss</t>
        </is>
      </c>
      <c r="J53" s="23" t="inlineStr">
        <is>
          <t>-32.8</t>
        </is>
      </c>
      <c r="K53" s="23" t="inlineStr">
        <is>
          <t>-8.0</t>
        </is>
      </c>
      <c r="L53" s="23" t="inlineStr">
        <is>
          <t>Away</t>
        </is>
      </c>
      <c r="M53" s="25" t="inlineStr">
        <is>
          <t>Loss</t>
        </is>
      </c>
      <c r="N53" s="23" t="inlineStr">
        <is>
          <t>-44.4</t>
        </is>
      </c>
      <c r="O53" s="23" t="inlineStr">
        <is>
          <t>+3.6</t>
        </is>
      </c>
      <c r="P53" s="23" t="inlineStr">
        <is>
          <t>Home</t>
        </is>
      </c>
      <c r="Q53" s="24" t="inlineStr">
        <is>
          <t>Win (seed week)</t>
        </is>
      </c>
      <c r="R53" s="23" t="inlineStr">
        <is>
          <t>Yes</t>
        </is>
      </c>
      <c r="S53" s="23" t="inlineStr">
        <is>
          <t>No</t>
        </is>
      </c>
      <c r="T53" s="24" t="inlineStr">
        <is>
          <t>Gamma</t>
        </is>
      </c>
      <c r="U53" s="23" t="inlineStr">
        <is>
          <t>+11.0</t>
        </is>
      </c>
      <c r="V53" s="23" t="inlineStr">
        <is>
          <t>-8.2</t>
        </is>
      </c>
      <c r="W53" s="23" t="inlineStr">
        <is>
          <t>-15.6</t>
        </is>
      </c>
    </row>
    <row r="54">
      <c r="A54" s="23" t="n">
        <v>1</v>
      </c>
      <c r="B54" s="23" t="inlineStr">
        <is>
          <t>Hawai'i @ Stanford</t>
        </is>
      </c>
      <c r="C54" s="23" t="inlineStr">
        <is>
          <t>27-37</t>
        </is>
      </c>
      <c r="D54" s="23" t="inlineStr">
        <is>
          <t>-4.8</t>
        </is>
      </c>
      <c r="E54" s="23" t="inlineStr">
        <is>
          <t>+10.0</t>
        </is>
      </c>
      <c r="F54" s="23" t="inlineStr">
        <is>
          <t>-1.5</t>
        </is>
      </c>
      <c r="G54" s="23" t="inlineStr">
        <is>
          <t>-3.3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+1.1</t>
        </is>
      </c>
      <c r="K54" s="23" t="inlineStr">
        <is>
          <t>-5.8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-11.2</t>
        </is>
      </c>
      <c r="O54" s="23" t="inlineStr">
        <is>
          <t>+6.4</t>
        </is>
      </c>
      <c r="P54" s="23" t="inlineStr">
        <is>
          <t>Home</t>
        </is>
      </c>
      <c r="Q54" s="24" t="inlineStr">
        <is>
          <t>Win (seed week)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Ridge</t>
        </is>
      </c>
      <c r="U54" s="23" t="inlineStr">
        <is>
          <t>+7.7</t>
        </is>
      </c>
      <c r="V54" s="23" t="inlineStr">
        <is>
          <t>-14.0</t>
        </is>
      </c>
      <c r="W54" s="23" t="inlineStr">
        <is>
          <t>-9.2</t>
        </is>
      </c>
    </row>
    <row r="55">
      <c r="A55" s="23" t="n">
        <v>1</v>
      </c>
      <c r="B55" s="23" t="inlineStr">
        <is>
          <t>Memphis @ UNLV</t>
        </is>
      </c>
      <c r="C55" s="23" t="inlineStr">
        <is>
          <t>27-21</t>
        </is>
      </c>
      <c r="D55" s="23" t="inlineStr">
        <is>
          <t>-4.8</t>
        </is>
      </c>
      <c r="E55" s="23" t="inlineStr">
        <is>
          <t>-6.0</t>
        </is>
      </c>
      <c r="F55" s="23" t="inlineStr">
        <is>
          <t>-10.9</t>
        </is>
      </c>
      <c r="G55" s="23" t="inlineStr">
        <is>
          <t>+6.2</t>
        </is>
      </c>
      <c r="H55" s="23" t="inlineStr">
        <is>
          <t>Home</t>
        </is>
      </c>
      <c r="I55" s="25" t="inlineStr">
        <is>
          <t>Loss</t>
        </is>
      </c>
      <c r="J55" s="23" t="inlineStr">
        <is>
          <t>-7.4</t>
        </is>
      </c>
      <c r="K55" s="23" t="inlineStr">
        <is>
          <t>+2.6</t>
        </is>
      </c>
      <c r="L55" s="23" t="inlineStr">
        <is>
          <t>Home</t>
        </is>
      </c>
      <c r="M55" s="25" t="inlineStr">
        <is>
          <t>Loss</t>
        </is>
      </c>
      <c r="N55" s="23" t="inlineStr">
        <is>
          <t>+1.6</t>
        </is>
      </c>
      <c r="O55" s="23" t="inlineStr">
        <is>
          <t>-6.3</t>
        </is>
      </c>
      <c r="P55" s="23" t="inlineStr">
        <is>
          <t>Away</t>
        </is>
      </c>
      <c r="Q55" s="24" t="inlineStr">
        <is>
          <t>Win (seed week)</t>
        </is>
      </c>
      <c r="R55" s="23" t="inlineStr">
        <is>
          <t>Yes</t>
        </is>
      </c>
      <c r="S55" s="23" t="inlineStr">
        <is>
          <t>No</t>
        </is>
      </c>
      <c r="T55" s="24" t="inlineStr">
        <is>
          <t>XGBoost</t>
        </is>
      </c>
      <c r="U55" s="23" t="inlineStr">
        <is>
          <t>+13.9</t>
        </is>
      </c>
      <c r="V55" s="23" t="inlineStr">
        <is>
          <t>-11.4</t>
        </is>
      </c>
      <c r="W55" s="23" t="inlineStr">
        <is>
          <t>-15.6</t>
        </is>
      </c>
    </row>
    <row r="56">
      <c r="A56" s="23" t="n">
        <v>1</v>
      </c>
      <c r="B56" s="23" t="inlineStr">
        <is>
          <t>San José State @ USC</t>
        </is>
      </c>
      <c r="C56" s="23" t="inlineStr">
        <is>
          <t>26-42</t>
        </is>
      </c>
      <c r="D56" s="23" t="inlineStr">
        <is>
          <t>-37.2</t>
        </is>
      </c>
      <c r="E56" s="23" t="inlineStr">
        <is>
          <t>+16.0</t>
        </is>
      </c>
      <c r="F56" s="23" t="inlineStr">
        <is>
          <t>-34.6</t>
        </is>
      </c>
      <c r="G56" s="23" t="inlineStr">
        <is>
          <t>-2.7</t>
        </is>
      </c>
      <c r="H56" s="23" t="inlineStr">
        <is>
          <t>Away</t>
        </is>
      </c>
      <c r="I56" s="24" t="inlineStr">
        <is>
          <t>Win</t>
        </is>
      </c>
      <c r="J56" s="23" t="inlineStr">
        <is>
          <t>-35.3</t>
        </is>
      </c>
      <c r="K56" s="23" t="inlineStr">
        <is>
          <t>-2.0</t>
        </is>
      </c>
      <c r="L56" s="23" t="inlineStr">
        <is>
          <t>Home</t>
        </is>
      </c>
      <c r="M56" s="25" t="inlineStr">
        <is>
          <t>Loss (no real edge)</t>
        </is>
      </c>
      <c r="N56" s="23" t="inlineStr">
        <is>
          <t>-16.1</t>
        </is>
      </c>
      <c r="O56" s="23" t="inlineStr">
        <is>
          <t>-21.1</t>
        </is>
      </c>
      <c r="P56" s="23" t="inlineStr">
        <is>
          <t>Away</t>
        </is>
      </c>
      <c r="Q56" s="24" t="inlineStr">
        <is>
          <t>Win (seed week)</t>
        </is>
      </c>
      <c r="R56" s="23" t="inlineStr">
        <is>
          <t>No</t>
        </is>
      </c>
      <c r="S56" s="23" t="inlineStr">
        <is>
          <t>Yes</t>
        </is>
      </c>
      <c r="T56" s="24" t="inlineStr">
        <is>
          <t>XGBoost</t>
        </is>
      </c>
      <c r="U56" s="23" t="inlineStr">
        <is>
          <t>+11.2</t>
        </is>
      </c>
      <c r="V56" s="23" t="inlineStr">
        <is>
          <t>-13.3</t>
        </is>
      </c>
      <c r="W56" s="23" t="inlineStr">
        <is>
          <t>-36.7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2026-09-07T22:08:05Z</dcterms:modified>
  <cp:lastModifiedBy>Edward Andrewlevich</cp:lastModifiedBy>
  <cp:revision>0</cp:revision>
</cp:coreProperties>
</file>