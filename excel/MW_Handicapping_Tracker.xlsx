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3" activeTab="3" autoFilterDateGrouping="1"/>
  </bookViews>
  <sheets>
    <sheet name="Read Me" sheetId="1" state="visible" r:id="rId1"/>
    <sheet name="Settings" sheetId="2" state="visible" r:id="rId2"/>
    <sheet name="Weekly Slate" sheetId="3" state="visible" r:id="rId3"/>
    <sheet name="Bet Log" sheetId="4" state="visible" r:id="rId4"/>
    <sheet name="Team Profiles" sheetId="5" state="visible" r:id="rId5"/>
    <sheet name="Power Ratings" sheetId="6" state="visible" r:id="rId6"/>
    <sheet name="MW Team ATS" sheetId="7" state="visible" r:id="rId7"/>
    <sheet name="Strength of Record" sheetId="8" state="visible" r:id="rId8"/>
    <sheet name="National Slate" sheetId="9" state="visible" r:id="rId9"/>
    <sheet name="ACC Slate" sheetId="10" state="visible" r:id="rId10"/>
    <sheet name="American Athletic Slate" sheetId="11" state="visible" r:id="rId11"/>
    <sheet name="Big 12 Slate" sheetId="12" state="visible" r:id="rId12"/>
    <sheet name="Big Ten Slate" sheetId="13" state="visible" r:id="rId13"/>
    <sheet name="Conference USA Slate" sheetId="14" state="visible" r:id="rId14"/>
    <sheet name="FBS Independents Slate" sheetId="15" state="visible" r:id="rId15"/>
    <sheet name="Mid-American Slate" sheetId="16" state="visible" r:id="rId16"/>
    <sheet name="Mountain West Slate" sheetId="17" state="visible" r:id="rId17"/>
    <sheet name="Pac-12 Slate" sheetId="18" state="visible" r:id="rId18"/>
    <sheet name="SEC Slate" sheetId="19" state="visible" r:id="rId19"/>
    <sheet name="Sun Belt Slate" sheetId="20" state="visible" r:id="rId20"/>
    <sheet name="CLV" sheetId="21" state="visible" r:id="rId21"/>
    <sheet name="Model Comparison" sheetId="22" state="visible" r:id="rId2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3">
    <font>
      <name val="Calibri"/>
      <charset val="1"/>
      <family val="2"/>
      <color theme="1"/>
      <sz val="11"/>
    </font>
    <font>
      <name val="Arial"/>
      <charset val="1"/>
      <family val="2"/>
      <b val="1"/>
      <sz val="14"/>
    </font>
    <font>
      <name val="Arial"/>
      <charset val="1"/>
      <family val="2"/>
      <i val="1"/>
      <color rgb="FF666666"/>
      <sz val="9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rgb="FF0000FF"/>
      <sz val="10"/>
    </font>
    <font>
      <name val="Calibri"/>
      <charset val="1"/>
      <family val="2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rgb="FF0000FF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i val="1"/>
      <color rgb="FF666666"/>
      <sz val="9"/>
    </font>
    <font>
      <name val="Arial"/>
      <family val="2"/>
      <b val="1"/>
      <sz val="14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sz val="12"/>
    </font>
    <font>
      <name val="Arial"/>
      <family val="2"/>
      <b val="1"/>
      <color rgb="FF000000"/>
      <sz val="11"/>
    </font>
    <font>
      <name val="Arial"/>
      <family val="2"/>
      <i val="1"/>
      <color rgb="FF666666"/>
      <sz val="9"/>
    </font>
    <font>
      <name val="Calibri"/>
      <charset val="1"/>
      <family val="2"/>
      <sz val="8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color rgb="00000000"/>
      <sz val="11"/>
    </font>
    <font>
      <name val="Arial"/>
      <i val="1"/>
      <color rgb="00666666"/>
      <sz val="9"/>
    </font>
    <font>
      <b val="1"/>
      <sz val="13"/>
    </font>
    <font>
      <b val="1"/>
    </font>
    <font>
      <b val="1"/>
      <color rgb="00FFFFFF"/>
    </font>
    <font>
      <name val="Arial"/>
      <b val="1"/>
      <sz val="14"/>
    </font>
    <font>
      <name val="Arial"/>
      <b val="1"/>
      <color rgb="001F3864"/>
      <sz val="11"/>
    </font>
  </fonts>
  <fills count="2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7B3F00"/>
      </patternFill>
    </fill>
    <fill>
      <patternFill patternType="solid">
        <fgColor rgb="FFE7E6E6"/>
      </patternFill>
    </fill>
    <fill>
      <patternFill patternType="solid">
        <fgColor rgb="FF2F5233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7B3F00"/>
      </patternFill>
    </fill>
    <fill>
      <patternFill patternType="solid">
        <fgColor rgb="00E7E6E6"/>
      </patternFill>
    </fill>
    <fill>
      <patternFill patternType="solid">
        <fgColor rgb="002F5233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2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2" fillId="4" borderId="3" applyAlignment="1" pivotButton="0" quotePrefix="0" xfId="0">
      <alignment horizontal="center" vertical="center" wrapText="1"/>
    </xf>
    <xf numFmtId="0" fontId="13" fillId="5" borderId="0" pivotButton="0" quotePrefix="0" xfId="0"/>
    <xf numFmtId="0" fontId="13" fillId="6" borderId="0" pivotButton="0" quotePrefix="0" xfId="0"/>
    <xf numFmtId="0" fontId="17" fillId="7" borderId="0" pivotButton="0" quotePrefix="0" xfId="0"/>
    <xf numFmtId="0" fontId="17" fillId="7" borderId="0" applyAlignment="1" pivotButton="0" quotePrefix="0" xfId="0">
      <alignment horizontal="center"/>
    </xf>
    <xf numFmtId="0" fontId="19" fillId="0" borderId="0" pivotButton="0" quotePrefix="0" xfId="0"/>
    <xf numFmtId="0" fontId="18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164" fontId="18" fillId="0" borderId="0" pivotButton="0" quotePrefix="0" xfId="0"/>
    <xf numFmtId="0" fontId="17" fillId="7" borderId="0" applyAlignment="1" pivotButton="0" quotePrefix="0" xfId="0">
      <alignment horizontal="center" wrapText="1"/>
    </xf>
    <xf numFmtId="0" fontId="18" fillId="8" borderId="0" pivotButton="0" quotePrefix="0" xfId="0"/>
    <xf numFmtId="0" fontId="18" fillId="9" borderId="0" pivotButton="0" quotePrefix="0" xfId="0"/>
    <xf numFmtId="0" fontId="18" fillId="10" borderId="0" pivotButton="0" quotePrefix="0" xfId="0"/>
    <xf numFmtId="0" fontId="17" fillId="11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/>
    </xf>
    <xf numFmtId="0" fontId="18" fillId="9" borderId="0" applyAlignment="1" pivotButton="0" quotePrefix="0" xfId="0">
      <alignment horizontal="center"/>
    </xf>
    <xf numFmtId="0" fontId="18" fillId="12" borderId="0" applyAlignment="1" pivotButton="0" quotePrefix="0" xfId="0">
      <alignment horizontal="center"/>
    </xf>
    <xf numFmtId="0" fontId="17" fillId="13" borderId="0" applyAlignment="1" pivotButton="0" quotePrefix="0" xfId="0">
      <alignment horizontal="center"/>
    </xf>
    <xf numFmtId="0" fontId="23" fillId="14" borderId="0" pivotButton="0" quotePrefix="0" xfId="0"/>
    <xf numFmtId="0" fontId="23" fillId="14" borderId="0" applyAlignment="1" pivotButton="0" quotePrefix="0" xfId="0">
      <alignment horizontal="center"/>
    </xf>
    <xf numFmtId="0" fontId="25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64" fontId="24" fillId="0" borderId="0" pivotButton="0" quotePrefix="0" xfId="0"/>
    <xf numFmtId="0" fontId="23" fillId="14" borderId="0" applyAlignment="1" pivotButton="0" quotePrefix="0" xfId="0">
      <alignment horizontal="center" wrapText="1"/>
    </xf>
    <xf numFmtId="0" fontId="24" fillId="15" borderId="0" pivotButton="0" quotePrefix="0" xfId="0"/>
    <xf numFmtId="0" fontId="24" fillId="16" borderId="0" pivotButton="0" quotePrefix="0" xfId="0"/>
    <xf numFmtId="0" fontId="24" fillId="17" borderId="0" pivotButton="0" quotePrefix="0" xfId="0"/>
    <xf numFmtId="0" fontId="23" fillId="18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15" borderId="0" applyAlignment="1" pivotButton="0" quotePrefix="0" xfId="0">
      <alignment horizontal="center"/>
    </xf>
    <xf numFmtId="0" fontId="24" fillId="16" borderId="0" applyAlignment="1" pivotButton="0" quotePrefix="0" xfId="0">
      <alignment horizontal="center"/>
    </xf>
    <xf numFmtId="0" fontId="24" fillId="19" borderId="0" applyAlignment="1" pivotButton="0" quotePrefix="0" xfId="0">
      <alignment horizontal="center"/>
    </xf>
    <xf numFmtId="0" fontId="23" fillId="20" borderId="0" applyAlignment="1" pivotButton="0" quotePrefix="0" xfId="0">
      <alignment horizontal="center"/>
    </xf>
    <xf numFmtId="0" fontId="24" fillId="21" borderId="0" pivotButton="0" quotePrefix="0" xfId="0"/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29" fillId="0" borderId="0" pivotButton="0" quotePrefix="0" xfId="0"/>
    <xf numFmtId="0" fontId="30" fillId="14" borderId="0" pivotButton="0" quotePrefix="0" xfId="0"/>
    <xf numFmtId="164" fontId="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23" fillId="14" borderId="4" applyAlignment="1" pivotButton="0" quotePrefix="0" xfId="0">
      <alignment horizontal="center" vertical="center" wrapText="1"/>
    </xf>
    <xf numFmtId="0" fontId="24" fillId="22" borderId="0" pivotButton="0" quotePrefix="0" xfId="0"/>
    <xf numFmtId="0" fontId="24" fillId="23" borderId="0" pivotButton="0" quotePrefix="0" xfId="0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zoomScaleNormal="100" workbookViewId="0">
      <selection activeCell="A1" sqref="A1"/>
    </sheetView>
  </sheetViews>
  <sheetFormatPr baseColWidth="8" defaultColWidth="8.7265625" defaultRowHeight="14.5"/>
  <cols>
    <col width="110" customWidth="1" min="1" max="1"/>
  </cols>
  <sheetData>
    <row r="1" ht="18" customHeight="1">
      <c r="A1" s="1" t="inlineStr">
        <is>
          <t>Mountain West Handicapping Tracker</t>
        </is>
      </c>
    </row>
    <row r="2" ht="14.25" customHeight="1">
      <c r="A2" s="2" t="inlineStr">
        <is>
          <t>2026 Season</t>
        </is>
      </c>
    </row>
    <row r="3" ht="14.25" customHeight="1">
      <c r="A3" s="3" t="n"/>
    </row>
    <row r="4" ht="14.25" customHeight="1">
      <c r="A4" s="4" t="inlineStr">
        <is>
          <t>How this workbook is meant to be used</t>
        </is>
      </c>
    </row>
    <row r="5" ht="14.25" customHeight="1">
      <c r="A5" s="3" t="inlineStr">
        <is>
          <t>This workbook is the review/tracking cockpit -- the model itself runs in Python (see the</t>
        </is>
      </c>
    </row>
    <row r="6" ht="14.25" customHeight="1">
      <c r="A6" s="3" t="inlineStr">
        <is>
          <t>attack plan and the src/ scripts). Each week, paste that week's model output into the blue</t>
        </is>
      </c>
    </row>
    <row r="7" ht="14.25" customHeight="1">
      <c r="A7" s="3" t="inlineStr">
        <is>
          <t>cells on the Weekly Slate tab; everything else on that tab recalculates automatically.</t>
        </is>
      </c>
    </row>
    <row r="8" ht="14.25" customHeight="1">
      <c r="A8" s="3" t="n"/>
    </row>
    <row r="9" ht="14.25" customHeight="1">
      <c r="A9" s="4" t="inlineStr">
        <is>
          <t>Color legend</t>
        </is>
      </c>
    </row>
    <row r="10" ht="14.25" customHeight="1">
      <c r="A10" s="3" t="inlineStr">
        <is>
          <t xml:space="preserve">  Blue text      = cells you fill in by hand (model output, market lines, bet results)</t>
        </is>
      </c>
    </row>
    <row r="11" ht="14.25" customHeight="1">
      <c r="A11" s="3" t="inlineStr">
        <is>
          <t xml:space="preserve">  Black text      = formulas -- don't type over these, they recalculate from the blue cells</t>
        </is>
      </c>
    </row>
    <row r="12" ht="14.25" customHeight="1">
      <c r="A12" s="3" t="inlineStr">
        <is>
          <t xml:space="preserve">  Yellow fill     = key assumptions on the Settings tab (edit these once, not weekly)</t>
        </is>
      </c>
    </row>
    <row r="13" ht="14.25" customHeight="1">
      <c r="A13" s="3" t="n"/>
    </row>
    <row r="14" ht="14.25" customHeight="1">
      <c r="A14" s="4" t="inlineStr">
        <is>
          <t>Tabs</t>
        </is>
      </c>
    </row>
    <row r="15" ht="14.25" customHeight="1">
      <c r="A15" s="3" t="inlineStr">
        <is>
          <t xml:space="preserve">  Settings        = bankroll, edge thresholds, and other assumptions used across the workbook</t>
        </is>
      </c>
    </row>
    <row r="16" ht="14.25" customHeight="1">
      <c r="A16" s="3" t="inlineStr">
        <is>
          <t xml:space="preserve">  Weekly Slate    = this week's matchups: model line vs. market line, edge, and a suggested lean</t>
        </is>
      </c>
    </row>
    <row r="17" ht="14.25" customHeight="1">
      <c r="A17" s="3" t="inlineStr">
        <is>
          <t xml:space="preserve">  Bet Log         = every bet placed -- stake, line, closing line (for CLV), result, running bankroll</t>
        </is>
      </c>
    </row>
    <row r="18" ht="14.25" customHeight="1">
      <c r="A18" s="3" t="inlineStr">
        <is>
          <t xml:space="preserve">  Team Profiles   = one row per 2026 Mountain West team, pre-filled with conference history;</t>
        </is>
      </c>
    </row>
    <row r="19" ht="14.25" customHeight="1">
      <c r="A19" s="3" t="inlineStr">
        <is>
          <t xml:space="preserve">                    paste in power ratings / PPA / talent rank weekly as your pipeline produces them</t>
        </is>
      </c>
    </row>
    <row r="20" ht="14.25" customHeight="1">
      <c r="A20" s="3" t="n"/>
    </row>
    <row r="21" ht="14.25" customHeight="1">
      <c r="A21" s="3" t="inlineStr">
        <is>
          <t>This is a tracking tool, not a guarantee of profit -- see the attack plan's closing note on</t>
        </is>
      </c>
    </row>
    <row r="22" ht="14.25" customHeight="1">
      <c r="A22" s="3" t="inlineStr">
        <is>
          <t>paper-trading and bankroll discipline before staking real money.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zoomScaleNormal="100" workbookViewId="0">
      <selection activeCell="B6" sqref="B6"/>
    </sheetView>
  </sheetViews>
  <sheetFormatPr baseColWidth="8" defaultColWidth="8.7265625" defaultRowHeight="14.5"/>
  <cols>
    <col width="32" customWidth="1" min="1" max="1"/>
    <col width="12" customWidth="1" min="2" max="2"/>
    <col width="70" customWidth="1" min="3" max="3"/>
  </cols>
  <sheetData>
    <row r="1" ht="18" customHeight="1">
      <c r="A1" s="1" t="inlineStr">
        <is>
          <t>Settings &amp; Assumptions</t>
        </is>
      </c>
    </row>
    <row r="3" ht="14.25" customHeight="1">
      <c r="A3" s="5" t="inlineStr">
        <is>
          <t>Assumption</t>
        </is>
      </c>
      <c r="B3" s="5" t="inlineStr">
        <is>
          <t>Value</t>
        </is>
      </c>
      <c r="C3" s="5" t="inlineStr">
        <is>
          <t>Notes</t>
        </is>
      </c>
    </row>
    <row r="4" ht="14.25" customHeight="1">
      <c r="A4" s="6" t="inlineStr">
        <is>
          <t>Starting bankroll (units)</t>
        </is>
      </c>
      <c r="B4" s="7" t="n">
        <v>50</v>
      </c>
      <c r="C4" s="2" t="inlineStr">
        <is>
          <t>Example: 100 units. 1 unit = whatever flat stake you choose in real currency.</t>
        </is>
      </c>
    </row>
    <row r="5" ht="14.25" customHeight="1">
      <c r="A5" s="6" t="inlineStr">
        <is>
          <t>Spread edge threshold (pts)</t>
        </is>
      </c>
      <c r="B5" s="7" t="n">
        <v>2</v>
      </c>
      <c r="C5" s="2" t="inlineStr">
        <is>
          <t>Minimum |model line - market line| before a spread is flagged as a lean.</t>
        </is>
      </c>
    </row>
    <row r="6" ht="14.25" customHeight="1">
      <c r="A6" s="6" t="inlineStr">
        <is>
          <t>Total edge threshold (pts)</t>
        </is>
      </c>
      <c r="B6" s="7" t="n">
        <v>2</v>
      </c>
      <c r="C6" s="2" t="inlineStr">
        <is>
          <t>Minimum |model total - market total| before a total is flagged as a lean.</t>
        </is>
      </c>
    </row>
    <row r="7" ht="14.25" customHeight="1">
      <c r="A7" s="6" t="inlineStr">
        <is>
          <t>Standard vig odds (American)</t>
        </is>
      </c>
      <c r="B7" s="7" t="n">
        <v>-110</v>
      </c>
      <c r="C7" s="2" t="inlineStr">
        <is>
          <t>Reference only -- breakeven win rate at -110 is 52.4%.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topLeftCell="A3" zoomScaleNormal="100" workbookViewId="0">
      <selection activeCell="D2" sqref="D2"/>
    </sheetView>
  </sheetViews>
  <sheetFormatPr baseColWidth="8" defaultColWidth="8.7265625" defaultRowHeight="14.5"/>
  <cols>
    <col width="6" customWidth="1" min="1" max="1"/>
    <col width="11" customWidth="1" min="2" max="2"/>
    <col width="20.54296875" customWidth="1" min="3" max="3"/>
    <col width="18" customWidth="1" min="4" max="4"/>
    <col width="16" customWidth="1" min="5" max="6"/>
    <col width="12.7265625" customWidth="1" min="7" max="7"/>
    <col width="7.54296875" customWidth="1" min="8" max="8"/>
    <col width="11" customWidth="1" min="9" max="10"/>
    <col width="12" customWidth="1" min="11" max="11"/>
    <col width="5.54296875" customWidth="1" min="12" max="12"/>
    <col width="14.26953125" customWidth="1" min="13" max="14"/>
    <col width="30" customWidth="1" min="15" max="15"/>
    <col width="16" customWidth="1" min="16" max="16"/>
    <col width="17" customWidth="1" min="18" max="18"/>
  </cols>
  <sheetData>
    <row r="1" ht="25.5" customHeight="1">
      <c r="A1" s="5" t="inlineStr">
        <is>
          <t>Week</t>
        </is>
      </c>
      <c r="B1" s="5" t="inlineStr">
        <is>
          <t>Date</t>
        </is>
      </c>
      <c r="C1" s="5" t="inlineStr">
        <is>
          <t>Away Team</t>
        </is>
      </c>
      <c r="D1" s="5" t="inlineStr">
        <is>
          <t>Home Team</t>
        </is>
      </c>
      <c r="E1" s="5" t="inlineStr">
        <is>
          <t>Model Line (Home)</t>
        </is>
      </c>
      <c r="F1" s="5" t="inlineStr">
        <is>
          <t>Market Line (Home)</t>
        </is>
      </c>
      <c r="G1" s="5" t="inlineStr">
        <is>
          <t>Spread Edge (pts)</t>
        </is>
      </c>
      <c r="H1" s="5" t="inlineStr">
        <is>
          <t>Spread Lean</t>
        </is>
      </c>
      <c r="I1" s="5" t="inlineStr">
        <is>
          <t>Model Total</t>
        </is>
      </c>
      <c r="J1" s="5" t="inlineStr">
        <is>
          <t>Market Total</t>
        </is>
      </c>
      <c r="K1" s="5" t="inlineStr">
        <is>
          <t>Total Edge (pts)</t>
        </is>
      </c>
      <c r="L1" s="5" t="inlineStr">
        <is>
          <t>Total Lean</t>
        </is>
      </c>
      <c r="M1" s="5" t="inlineStr">
        <is>
          <t>Suggested Bet (Spread)</t>
        </is>
      </c>
      <c r="N1" s="5" t="inlineStr">
        <is>
          <t>Suggested Bet (Total)</t>
        </is>
      </c>
      <c r="O1" s="5" t="inlineStr">
        <is>
          <t>Qualitative Notes</t>
        </is>
      </c>
      <c r="P1" s="5" t="inlineStr">
        <is>
          <t>Final Decision</t>
        </is>
      </c>
      <c r="R1" s="8" t="inlineStr">
        <is>
          <t>MW WEST Teams</t>
        </is>
      </c>
    </row>
    <row r="2" ht="14.25" customHeight="1">
      <c r="A2" t="n">
        <v>9</v>
      </c>
      <c r="B2" t="inlineStr">
        <is>
          <t>2026-10-31</t>
        </is>
      </c>
      <c r="C2" t="inlineStr">
        <is>
          <t>UConn</t>
        </is>
      </c>
      <c r="D2" t="inlineStr">
        <is>
          <t>Air Force</t>
        </is>
      </c>
      <c r="E2" t="n">
        <v>-5.2</v>
      </c>
      <c r="F2" t="n">
        <v>-3</v>
      </c>
      <c r="G2" s="6">
        <f>F2-E2</f>
        <v/>
      </c>
      <c r="H2" s="6">
        <f>IF(G2=0,"Pick'em",IF(G2&gt;0,"Home","Away"))</f>
        <v/>
      </c>
      <c r="I2" t="n">
        <v>53.2</v>
      </c>
      <c r="J2" t="n">
        <v>53.5</v>
      </c>
      <c r="K2" s="6">
        <f>I2-J2</f>
        <v/>
      </c>
      <c r="L2" s="6">
        <f>IF(K2=0,"Push",IF(K2&gt;0,"Over","Under"))</f>
        <v/>
      </c>
      <c r="M2" s="6">
        <f>IF(ABS(G2)&gt;=Settings!$B$5,H2,IF(F2=0,"Pick'em",IF(F2&lt;0,"Home (auto)","Away (auto)")))</f>
        <v/>
      </c>
      <c r="N2" s="6">
        <f>IF(ABS(K2)&gt;=Settings!$B$6,L2,IF(K2=0,"Push",L2&amp;" (auto)"))</f>
        <v/>
      </c>
      <c r="O2" s="9" t="n"/>
      <c r="P2" s="9" t="n"/>
    </row>
    <row r="3" ht="14.25" customHeight="1">
      <c r="A3" t="n">
        <v>9</v>
      </c>
      <c r="B3" t="inlineStr">
        <is>
          <t>2026-10-31</t>
        </is>
      </c>
      <c r="C3" t="inlineStr">
        <is>
          <t>UTEP</t>
        </is>
      </c>
      <c r="D3" t="inlineStr">
        <is>
          <t>North Dakota State</t>
        </is>
      </c>
      <c r="E3" t="n">
        <v>-36</v>
      </c>
      <c r="F3" t="n">
        <v>-26.5</v>
      </c>
      <c r="G3" s="6">
        <f>F3-E3</f>
        <v/>
      </c>
      <c r="H3" s="6">
        <f>IF(G3=0,"Pick'em",IF(G3&gt;0,"Home","Away"))</f>
        <v/>
      </c>
      <c r="I3" t="n">
        <v>43.3</v>
      </c>
      <c r="J3" t="n">
        <v>44.5</v>
      </c>
      <c r="K3" s="6">
        <f>I3-J3</f>
        <v/>
      </c>
      <c r="L3" s="6">
        <f>IF(K3=0,"Push",IF(K3&gt;0,"Over","Under"))</f>
        <v/>
      </c>
      <c r="M3" s="6">
        <f>IF(ABS(G3)&gt;=Settings!$B$5,H3,IF(F3=0,"Pick'em",IF(F3&lt;0,"Home (auto)","Away (auto)")))</f>
        <v/>
      </c>
      <c r="N3" s="6">
        <f>IF(ABS(K3)&gt;=Settings!$B$6,L3,IF(K3=0,"Push",L3&amp;" (auto)"))</f>
        <v/>
      </c>
    </row>
    <row r="4" ht="14.25" customHeight="1">
      <c r="A4" t="n">
        <v>9</v>
      </c>
      <c r="B4" t="inlineStr">
        <is>
          <t>2026-10-31</t>
        </is>
      </c>
      <c r="C4" t="inlineStr">
        <is>
          <t>New Mexico</t>
        </is>
      </c>
      <c r="D4" t="inlineStr">
        <is>
          <t>San José State</t>
        </is>
      </c>
      <c r="E4" t="n">
        <v>14.9</v>
      </c>
      <c r="F4" t="n">
        <v>14.5</v>
      </c>
      <c r="G4" s="6">
        <f>F4-E4</f>
        <v/>
      </c>
      <c r="H4" s="6">
        <f>IF(G4=0,"Pick'em",IF(G4&gt;0,"Home","Away"))</f>
        <v/>
      </c>
      <c r="I4" t="n">
        <v>45.6</v>
      </c>
      <c r="J4" t="n">
        <v>41.5</v>
      </c>
      <c r="K4" s="6">
        <f>I4-J4</f>
        <v/>
      </c>
      <c r="L4" s="6">
        <f>IF(K4=0,"Push",IF(K4&gt;0,"Over","Under"))</f>
        <v/>
      </c>
      <c r="M4" s="6">
        <f>IF(ABS(G4)&gt;=Settings!$B$5,H4,IF(F4=0,"Pick'em",IF(F4&lt;0,"Home (auto)","Away (auto)")))</f>
        <v/>
      </c>
      <c r="N4" s="6">
        <f>IF(ABS(K4)&gt;=Settings!$B$6,L4,IF(K4=0,"Push",L4&amp;" (auto)"))</f>
        <v/>
      </c>
    </row>
    <row r="5" ht="14.25" customHeight="1">
      <c r="A5" t="n">
        <v>9</v>
      </c>
      <c r="B5" t="inlineStr">
        <is>
          <t>2026-10-31</t>
        </is>
      </c>
      <c r="C5" t="inlineStr">
        <is>
          <t>Nevada</t>
        </is>
      </c>
      <c r="D5" t="inlineStr">
        <is>
          <t>UCLA</t>
        </is>
      </c>
      <c r="E5" t="n">
        <v>-21.2</v>
      </c>
      <c r="F5" t="n">
        <v>-22.5</v>
      </c>
      <c r="G5" s="6">
        <f>F5-E5</f>
        <v/>
      </c>
      <c r="H5" s="6">
        <f>IF(G5=0,"Pick'em",IF(G5&gt;0,"Home","Away"))</f>
        <v/>
      </c>
      <c r="I5" t="n">
        <v>43.5</v>
      </c>
      <c r="J5" t="n">
        <v>44.5</v>
      </c>
      <c r="K5" s="6">
        <f>I5-J5</f>
        <v/>
      </c>
      <c r="L5" s="6">
        <f>IF(K5=0,"Push",IF(K5&gt;0,"Over","Under"))</f>
        <v/>
      </c>
      <c r="M5" s="6">
        <f>IF(ABS(G5)&gt;=Settings!$B$5,H5,IF(F5=0,"Pick'em",IF(F5&lt;0,"Home (auto)","Away (auto)")))</f>
        <v/>
      </c>
      <c r="N5" s="6">
        <f>IF(ABS(K5)&gt;=Settings!$B$6,L5,IF(K5=0,"Push",L5&amp;" (auto)"))</f>
        <v/>
      </c>
      <c r="R5" s="6" t="inlineStr">
        <is>
          <t>Air Force</t>
        </is>
      </c>
    </row>
    <row r="6" ht="14.25" customHeight="1">
      <c r="A6" t="n">
        <v>9</v>
      </c>
      <c r="B6" t="inlineStr">
        <is>
          <t>2026-11-01</t>
        </is>
      </c>
      <c r="C6" t="inlineStr">
        <is>
          <t>Northern Illinois</t>
        </is>
      </c>
      <c r="D6" t="inlineStr">
        <is>
          <t>UNLV</t>
        </is>
      </c>
      <c r="E6" t="n">
        <v>-27.9</v>
      </c>
      <c r="F6" t="n">
        <v>-24.5</v>
      </c>
      <c r="G6" s="6">
        <f>F6-E6</f>
        <v/>
      </c>
      <c r="H6" s="6">
        <f>IF(G6=0,"Pick'em",IF(G6&gt;0,"Home","Away"))</f>
        <v/>
      </c>
      <c r="I6" t="n">
        <v>44.4</v>
      </c>
      <c r="J6" t="n">
        <v>52.5</v>
      </c>
      <c r="K6" s="6">
        <f>I6-J6</f>
        <v/>
      </c>
      <c r="L6" s="6">
        <f>IF(K6=0,"Push",IF(K6&gt;0,"Over","Under"))</f>
        <v/>
      </c>
      <c r="M6" s="6">
        <f>IF(ABS(G6)&gt;=Settings!$B$5,H6,IF(F6=0,"Pick'em",IF(F6&lt;0,"Home (auto)","Away (auto)")))</f>
        <v/>
      </c>
      <c r="N6" s="6">
        <f>IF(ABS(K6)&gt;=Settings!$B$6,L6,IF(K6=0,"Push",L6&amp;" (auto)"))</f>
        <v/>
      </c>
      <c r="R6" s="6" t="inlineStr">
        <is>
          <t>Hawai'i</t>
        </is>
      </c>
    </row>
    <row r="7" ht="14.25" customHeight="1">
      <c r="A7" s="10" t="n">
        <v>8</v>
      </c>
      <c r="B7" t="inlineStr">
        <is>
          <t>2026-10-24</t>
        </is>
      </c>
      <c r="C7" s="10" t="inlineStr">
        <is>
          <t>San José State</t>
        </is>
      </c>
      <c r="D7" s="10" t="inlineStr">
        <is>
          <t>Nevada</t>
        </is>
      </c>
      <c r="E7" s="10" t="n">
        <v>-7.6</v>
      </c>
      <c r="F7" s="10" t="n">
        <v>-6.8</v>
      </c>
      <c r="G7" s="10">
        <f>F7-E7</f>
        <v/>
      </c>
      <c r="H7" s="10">
        <f>IF(G7=0,"Pick'em",IF(G7&gt;0,"Home","Away"))</f>
        <v/>
      </c>
      <c r="I7" s="10" t="n">
        <v>46.8</v>
      </c>
      <c r="J7" s="10" t="n">
        <v>46.5</v>
      </c>
      <c r="K7" s="10">
        <f>I7-J7</f>
        <v/>
      </c>
      <c r="L7" s="10">
        <f>IF(K7=0,"Push",IF(K7&gt;0,"Over","Under"))</f>
        <v/>
      </c>
      <c r="M7" s="10">
        <f>IF(ABS(G7)&gt;=Settings!$B$5,H7,IF(F7=0,"Pick'em",IF(F7&lt;0,"Home (auto)","Away (auto)")))</f>
        <v/>
      </c>
      <c r="N7" s="10">
        <f>IF(ABS(K7)&gt;=Settings!$B$6,L7,IF(K7=0,"Push",L7&amp;" (auto)"))</f>
        <v/>
      </c>
      <c r="R7" s="6" t="inlineStr">
        <is>
          <t>Nevada</t>
        </is>
      </c>
    </row>
    <row r="8" ht="14.25" customHeight="1">
      <c r="A8" t="n">
        <v>8</v>
      </c>
      <c r="B8" t="inlineStr">
        <is>
          <t>2026-10-24</t>
        </is>
      </c>
      <c r="C8" t="inlineStr">
        <is>
          <t>Hawai'i</t>
        </is>
      </c>
      <c r="D8" t="inlineStr">
        <is>
          <t>Northern Illinois</t>
        </is>
      </c>
      <c r="E8" t="n">
        <v>6.1</v>
      </c>
      <c r="F8" t="n">
        <v>4</v>
      </c>
      <c r="G8" s="6">
        <f>F8-E8</f>
        <v/>
      </c>
      <c r="H8" s="6">
        <f>IF(G8=0,"Pick'em",IF(G8&gt;0,"Home","Away"))</f>
        <v/>
      </c>
      <c r="I8" t="n">
        <v>43.8</v>
      </c>
      <c r="J8" t="n">
        <v>47.5</v>
      </c>
      <c r="K8" s="6">
        <f>I8-J8</f>
        <v/>
      </c>
      <c r="L8" s="6">
        <f>IF(K8=0,"Push",IF(K8&gt;0,"Over","Under"))</f>
        <v/>
      </c>
      <c r="M8" s="6">
        <f>IF(ABS(G8)&gt;=Settings!$B$5,H8,IF(F8=0,"Pick'em",IF(F8&lt;0,"Home (auto)","Away (auto)")))</f>
        <v/>
      </c>
      <c r="N8" s="6">
        <f>IF(ABS(K8)&gt;=Settings!$B$6,L8,IF(K8=0,"Push",L8&amp;" (auto)"))</f>
        <v/>
      </c>
      <c r="R8" s="6" t="inlineStr">
        <is>
          <t>New Mexico</t>
        </is>
      </c>
    </row>
    <row r="9" ht="14.25" customHeight="1">
      <c r="A9" t="n">
        <v>8</v>
      </c>
      <c r="B9" t="inlineStr">
        <is>
          <t>2026-10-24</t>
        </is>
      </c>
      <c r="C9" t="inlineStr">
        <is>
          <t>Air Force</t>
        </is>
      </c>
      <c r="D9" t="inlineStr">
        <is>
          <t>Wyoming</t>
        </is>
      </c>
      <c r="E9" t="n">
        <v>7.4</v>
      </c>
      <c r="F9" t="n">
        <v>5.5</v>
      </c>
      <c r="G9" s="6">
        <f>F9-E9</f>
        <v/>
      </c>
      <c r="H9" s="6">
        <f>IF(G9=0,"Pick'em",IF(G9&gt;0,"Home","Away"))</f>
        <v/>
      </c>
      <c r="I9" t="n">
        <v>47.7</v>
      </c>
      <c r="J9" t="n">
        <v>46.5</v>
      </c>
      <c r="K9" s="6">
        <f>I9-J9</f>
        <v/>
      </c>
      <c r="L9" s="6">
        <f>IF(K9=0,"Push",IF(K9&gt;0,"Over","Under"))</f>
        <v/>
      </c>
      <c r="M9" s="6">
        <f>IF(ABS(G9)&gt;=Settings!$B$5,H9,IF(F9=0,"Pick'em",IF(F9&lt;0,"Home (auto)","Away (auto)")))</f>
        <v/>
      </c>
      <c r="N9" s="6">
        <f>IF(ABS(K9)&gt;=Settings!$B$6,L9,IF(K9=0,"Push",L9&amp;" (auto)"))</f>
        <v/>
      </c>
      <c r="R9" s="6" t="inlineStr">
        <is>
          <t>North Dakota State</t>
        </is>
      </c>
    </row>
    <row r="10" ht="14.25" customHeight="1">
      <c r="A10" t="n">
        <v>8</v>
      </c>
      <c r="B10" t="inlineStr">
        <is>
          <t>2026-10-25</t>
        </is>
      </c>
      <c r="C10" t="inlineStr">
        <is>
          <t>North Dakota State</t>
        </is>
      </c>
      <c r="D10" t="inlineStr">
        <is>
          <t>New Mexico</t>
        </is>
      </c>
      <c r="E10" t="n">
        <v>-2.4</v>
      </c>
      <c r="F10" t="n">
        <v>-4.5</v>
      </c>
      <c r="G10" s="6">
        <f>F10-E10</f>
        <v/>
      </c>
      <c r="H10" s="6">
        <f>IF(G10=0,"Pick'em",IF(G10&gt;0,"Home","Away"))</f>
        <v/>
      </c>
      <c r="I10" t="n">
        <v>42.5</v>
      </c>
      <c r="J10" t="n">
        <v>40.5</v>
      </c>
      <c r="K10" s="6">
        <f>I10-J10</f>
        <v/>
      </c>
      <c r="L10" s="6">
        <f>IF(K10=0,"Push",IF(K10&gt;0,"Over","Under"))</f>
        <v/>
      </c>
      <c r="M10" s="6">
        <f>IF(ABS(G10)&gt;=Settings!$B$5,H10,IF(F10=0,"Pick'em",IF(F10&lt;0,"Home (auto)","Away (auto)")))</f>
        <v/>
      </c>
      <c r="N10" s="6">
        <f>IF(ABS(K10)&gt;=Settings!$B$6,L10,IF(K10=0,"Push",L10&amp;" (auto)"))</f>
        <v/>
      </c>
      <c r="R10" s="6" t="inlineStr">
        <is>
          <t>Northern Illinois</t>
        </is>
      </c>
    </row>
    <row r="11" ht="14.25" customHeight="1">
      <c r="A11" t="n">
        <v>7</v>
      </c>
      <c r="B11" t="inlineStr">
        <is>
          <t>2026-10-17</t>
        </is>
      </c>
      <c r="C11" t="inlineStr">
        <is>
          <t>UNLV</t>
        </is>
      </c>
      <c r="D11" t="inlineStr">
        <is>
          <t>Air Force</t>
        </is>
      </c>
      <c r="E11" t="n">
        <v>0.2</v>
      </c>
      <c r="F11" t="n">
        <v>1.2</v>
      </c>
      <c r="G11" s="6">
        <f>F11-E11</f>
        <v/>
      </c>
      <c r="H11" s="6">
        <f>IF(G11=0,"Pick'em",IF(G11&gt;0,"Home","Away"))</f>
        <v/>
      </c>
      <c r="I11" t="n">
        <v>47.2</v>
      </c>
      <c r="J11" t="n">
        <v>48.5</v>
      </c>
      <c r="K11" s="6">
        <f>I11-J11</f>
        <v/>
      </c>
      <c r="L11" s="6">
        <f>IF(K11=0,"Push",IF(K11&gt;0,"Over","Under"))</f>
        <v/>
      </c>
      <c r="M11" s="6">
        <f>IF(ABS(G11)&gt;=Settings!$B$5,H11,IF(F11=0,"Pick'em",IF(F11&lt;0,"Home (auto)","Away (auto)")))</f>
        <v/>
      </c>
      <c r="N11" s="6">
        <f>IF(ABS(K11)&gt;=Settings!$B$6,L11,IF(K11=0,"Push",L11&amp;" (auto)"))</f>
        <v/>
      </c>
      <c r="R11" s="6" t="inlineStr">
        <is>
          <t>San José State</t>
        </is>
      </c>
    </row>
    <row r="12" ht="14.25" customHeight="1">
      <c r="A12" t="n">
        <v>7</v>
      </c>
      <c r="B12" t="inlineStr">
        <is>
          <t>2026-10-17</t>
        </is>
      </c>
      <c r="C12" t="inlineStr">
        <is>
          <t>Nevada</t>
        </is>
      </c>
      <c r="D12" t="inlineStr">
        <is>
          <t>North Dakota State</t>
        </is>
      </c>
      <c r="E12" t="n">
        <v>-24.6</v>
      </c>
      <c r="F12" t="n">
        <v>-14.8</v>
      </c>
      <c r="G12" s="6">
        <f>F12-E12</f>
        <v/>
      </c>
      <c r="H12" s="6">
        <f>IF(G12=0,"Pick'em",IF(G12&gt;0,"Home","Away"))</f>
        <v/>
      </c>
      <c r="I12" t="n">
        <v>45.1</v>
      </c>
      <c r="J12" t="n">
        <v>42.5</v>
      </c>
      <c r="K12" s="6">
        <f>I12-J12</f>
        <v/>
      </c>
      <c r="L12" s="6">
        <f>IF(K12=0,"Push",IF(K12&gt;0,"Over","Under"))</f>
        <v/>
      </c>
      <c r="M12" s="6">
        <f>IF(ABS(G12)&gt;=Settings!$B$5,H12,IF(F12=0,"Pick'em",IF(F12&lt;0,"Home (auto)","Away (auto)")))</f>
        <v/>
      </c>
      <c r="N12" s="6">
        <f>IF(ABS(K12)&gt;=Settings!$B$6,L12,IF(K12=0,"Push",L12&amp;" (auto)"))</f>
        <v/>
      </c>
      <c r="R12" s="6" t="inlineStr">
        <is>
          <t>UNLV</t>
        </is>
      </c>
    </row>
    <row r="13" ht="14.25" customHeight="1">
      <c r="A13" t="n">
        <v>7</v>
      </c>
      <c r="B13" t="inlineStr">
        <is>
          <t>2026-10-17</t>
        </is>
      </c>
      <c r="C13" t="inlineStr">
        <is>
          <t>Northern Illinois</t>
        </is>
      </c>
      <c r="D13" t="inlineStr">
        <is>
          <t>Wyoming</t>
        </is>
      </c>
      <c r="E13" t="n">
        <v>-11.2</v>
      </c>
      <c r="F13" t="n">
        <v>-7.8</v>
      </c>
      <c r="G13" s="6">
        <f>F13-E13</f>
        <v/>
      </c>
      <c r="H13" s="6">
        <f>IF(G13=0,"Pick'em",IF(G13&gt;0,"Home","Away"))</f>
        <v/>
      </c>
      <c r="I13" t="n">
        <v>40.3</v>
      </c>
      <c r="J13" t="n">
        <v>40.5</v>
      </c>
      <c r="K13" s="6">
        <f>I13-J13</f>
        <v/>
      </c>
      <c r="L13" s="6">
        <f>IF(K13=0,"Push",IF(K13&gt;0,"Over","Under"))</f>
        <v/>
      </c>
      <c r="M13" s="6">
        <f>IF(ABS(G13)&gt;=Settings!$B$5,H13,IF(F13=0,"Pick'em",IF(F13&lt;0,"Home (auto)","Away (auto)")))</f>
        <v/>
      </c>
      <c r="N13" s="6">
        <f>IF(ABS(K13)&gt;=Settings!$B$6,L13,IF(K13=0,"Push",L13&amp;" (auto)"))</f>
        <v/>
      </c>
    </row>
    <row r="14" ht="14.25" customHeight="1">
      <c r="A14" t="n">
        <v>7</v>
      </c>
      <c r="B14" t="inlineStr">
        <is>
          <t>2026-10-18</t>
        </is>
      </c>
      <c r="C14" t="inlineStr">
        <is>
          <t>New Mexico</t>
        </is>
      </c>
      <c r="D14" t="inlineStr">
        <is>
          <t>Hawai'i</t>
        </is>
      </c>
      <c r="E14" t="n">
        <v>18.5</v>
      </c>
      <c r="F14" t="n">
        <v>15.5</v>
      </c>
      <c r="G14" s="6">
        <f>F14-E14</f>
        <v/>
      </c>
      <c r="H14" s="6">
        <f>IF(G14=0,"Pick'em",IF(G14&gt;0,"Home","Away"))</f>
        <v/>
      </c>
      <c r="I14" t="n">
        <v>45.4</v>
      </c>
      <c r="J14" t="n">
        <v>44.5</v>
      </c>
      <c r="K14" s="6">
        <f>I14-J14</f>
        <v/>
      </c>
      <c r="L14" s="6">
        <f>IF(K14=0,"Push",IF(K14&gt;0,"Over","Under"))</f>
        <v/>
      </c>
      <c r="M14" s="6">
        <f>IF(ABS(G14)&gt;=Settings!$B$5,H14,IF(F14=0,"Pick'em",IF(F14&lt;0,"Home (auto)","Away (auto)")))</f>
        <v/>
      </c>
      <c r="N14" s="6">
        <f>IF(ABS(K14)&gt;=Settings!$B$6,L14,IF(K14=0,"Push",L14&amp;" (auto)"))</f>
        <v/>
      </c>
    </row>
    <row r="15" ht="14.25" customHeight="1">
      <c r="A15" t="n">
        <v>7</v>
      </c>
      <c r="B15" t="inlineStr">
        <is>
          <t>2026-10-18</t>
        </is>
      </c>
      <c r="C15" t="inlineStr">
        <is>
          <t>San José State</t>
        </is>
      </c>
      <c r="D15" t="inlineStr">
        <is>
          <t>UTEP</t>
        </is>
      </c>
      <c r="E15" t="n">
        <v>8.800000000000001</v>
      </c>
      <c r="F15" t="n">
        <v>7.2</v>
      </c>
      <c r="G15" s="6">
        <f>F15-E15</f>
        <v/>
      </c>
      <c r="H15" s="6">
        <f>IF(G15=0,"Pick'em",IF(G15&gt;0,"Home","Away"))</f>
        <v/>
      </c>
      <c r="I15" t="n">
        <v>46.5</v>
      </c>
      <c r="J15" t="n">
        <v>46.8</v>
      </c>
      <c r="K15" s="6">
        <f>I15-J15</f>
        <v/>
      </c>
      <c r="L15" s="6">
        <f>IF(K15=0,"Push",IF(K15&gt;0,"Over","Under"))</f>
        <v/>
      </c>
      <c r="M15" s="6">
        <f>IF(ABS(G15)&gt;=Settings!$B$5,H15,IF(F15=0,"Pick'em",IF(F15&lt;0,"Home (auto)","Away (auto)")))</f>
        <v/>
      </c>
      <c r="N15" s="6">
        <f>IF(ABS(K15)&gt;=Settings!$B$6,L15,IF(K15=0,"Push",L15&amp;" (auto)"))</f>
        <v/>
      </c>
    </row>
    <row r="16" ht="14.25" customHeight="1">
      <c r="A16" t="n">
        <v>6</v>
      </c>
      <c r="B16" t="inlineStr">
        <is>
          <t>2026-10-10</t>
        </is>
      </c>
      <c r="C16" t="inlineStr">
        <is>
          <t>Air Force</t>
        </is>
      </c>
      <c r="D16" t="inlineStr">
        <is>
          <t>Northern Illinois</t>
        </is>
      </c>
      <c r="E16" t="n">
        <v>14.9</v>
      </c>
      <c r="F16" t="n">
        <v>7.5</v>
      </c>
      <c r="G16" s="6">
        <f>F16-E16</f>
        <v/>
      </c>
      <c r="H16" s="6">
        <f>IF(G16=0,"Pick'em",IF(G16&gt;0,"Home","Away"))</f>
        <v/>
      </c>
      <c r="I16" t="n">
        <v>41.2</v>
      </c>
      <c r="J16" t="n">
        <v>46.8</v>
      </c>
      <c r="K16" s="6">
        <f>I16-J16</f>
        <v/>
      </c>
      <c r="L16" s="6">
        <f>IF(K16=0,"Push",IF(K16&gt;0,"Over","Under"))</f>
        <v/>
      </c>
      <c r="M16" s="6">
        <f>IF(ABS(G16)&gt;=Settings!$B$5,H16,IF(F16=0,"Pick'em",IF(F16&lt;0,"Home (auto)","Away (auto)")))</f>
        <v/>
      </c>
      <c r="N16" s="6">
        <f>IF(ABS(K16)&gt;=Settings!$B$6,L16,IF(K16=0,"Push",L16&amp;" (auto)"))</f>
        <v/>
      </c>
    </row>
    <row r="17" ht="14.25" customHeight="1">
      <c r="A17" t="n">
        <v>6</v>
      </c>
      <c r="B17" t="inlineStr">
        <is>
          <t>2026-10-10</t>
        </is>
      </c>
      <c r="C17" t="inlineStr">
        <is>
          <t>Wyoming</t>
        </is>
      </c>
      <c r="D17" t="inlineStr">
        <is>
          <t>San José State</t>
        </is>
      </c>
      <c r="E17" t="n">
        <v>-4.4</v>
      </c>
      <c r="F17" t="n">
        <v>-4.5</v>
      </c>
      <c r="G17" s="6">
        <f>F17-E17</f>
        <v/>
      </c>
      <c r="H17" s="6">
        <f>IF(G17=0,"Pick'em",IF(G17&gt;0,"Home","Away"))</f>
        <v/>
      </c>
      <c r="I17" t="n">
        <v>45.6</v>
      </c>
      <c r="J17" t="n">
        <v>42.5</v>
      </c>
      <c r="K17" s="6">
        <f>I17-J17</f>
        <v/>
      </c>
      <c r="L17" s="6">
        <f>IF(K17=0,"Push",IF(K17&gt;0,"Over","Under"))</f>
        <v/>
      </c>
      <c r="M17" s="6">
        <f>IF(ABS(G17)&gt;=Settings!$B$5,H17,IF(F17=0,"Pick'em",IF(F17&lt;0,"Home (auto)","Away (auto)")))</f>
        <v/>
      </c>
      <c r="N17" s="6">
        <f>IF(ABS(K17)&gt;=Settings!$B$6,L17,IF(K17=0,"Push",L17&amp;" (auto)"))</f>
        <v/>
      </c>
    </row>
    <row r="18" ht="14.25" customHeight="1">
      <c r="A18" t="n">
        <v>6</v>
      </c>
      <c r="B18" t="inlineStr">
        <is>
          <t>2026-10-10</t>
        </is>
      </c>
      <c r="C18" t="inlineStr">
        <is>
          <t>North Dakota State</t>
        </is>
      </c>
      <c r="D18" t="inlineStr">
        <is>
          <t>UNLV</t>
        </is>
      </c>
      <c r="E18" t="n">
        <v>11.7</v>
      </c>
      <c r="F18" t="n">
        <v>3</v>
      </c>
      <c r="G18" s="6">
        <f>F18-E18</f>
        <v/>
      </c>
      <c r="H18" s="6">
        <f>IF(G18=0,"Pick'em",IF(G18&gt;0,"Home","Away"))</f>
        <v/>
      </c>
      <c r="I18" t="n">
        <v>43.9</v>
      </c>
      <c r="J18" t="n">
        <v>47.5</v>
      </c>
      <c r="K18" s="6">
        <f>I18-J18</f>
        <v/>
      </c>
      <c r="L18" s="6">
        <f>IF(K18=0,"Push",IF(K18&gt;0,"Over","Under"))</f>
        <v/>
      </c>
      <c r="M18" s="6">
        <f>IF(ABS(G18)&gt;=Settings!$B$5,H18,IF(F18=0,"Pick'em",IF(F18&lt;0,"Home (auto)","Away (auto)")))</f>
        <v/>
      </c>
      <c r="N18" s="6">
        <f>IF(ABS(K18)&gt;=Settings!$B$6,L18,IF(K18=0,"Push",L18&amp;" (auto)"))</f>
        <v/>
      </c>
    </row>
    <row r="19" ht="14.25" customHeight="1">
      <c r="A19" t="n">
        <v>6</v>
      </c>
      <c r="B19" t="inlineStr">
        <is>
          <t>2026-10-10</t>
        </is>
      </c>
      <c r="C19" t="inlineStr">
        <is>
          <t>Nevada</t>
        </is>
      </c>
      <c r="D19" t="inlineStr">
        <is>
          <t>UTEP</t>
        </is>
      </c>
      <c r="E19" t="n">
        <v>9.800000000000001</v>
      </c>
      <c r="F19" t="n">
        <v>9.800000000000001</v>
      </c>
      <c r="G19" s="6">
        <f>F19-E19</f>
        <v/>
      </c>
      <c r="H19" s="6">
        <f>IF(G19=0,"Pick'em",IF(G19&gt;0,"Home","Away"))</f>
        <v/>
      </c>
      <c r="I19" t="n">
        <v>45</v>
      </c>
      <c r="J19" t="n">
        <v>49.5</v>
      </c>
      <c r="K19" s="6">
        <f>I19-J19</f>
        <v/>
      </c>
      <c r="L19" s="6">
        <f>IF(K19=0,"Push",IF(K19&gt;0,"Over","Under"))</f>
        <v/>
      </c>
      <c r="M19" s="6">
        <f>IF(ABS(G19)&gt;=Settings!$B$5,H19,IF(F19=0,"Pick'em",IF(F19&lt;0,"Home (auto)","Away (auto)")))</f>
        <v/>
      </c>
      <c r="N19" s="6">
        <f>IF(ABS(K19)&gt;=Settings!$B$6,L19,IF(K19=0,"Push",L19&amp;" (auto)"))</f>
        <v/>
      </c>
    </row>
    <row r="20" ht="14.25" customHeight="1">
      <c r="A20" t="n">
        <v>6</v>
      </c>
      <c r="B20" t="inlineStr">
        <is>
          <t>2026-10-11</t>
        </is>
      </c>
      <c r="C20" t="inlineStr">
        <is>
          <t>Hawai'i</t>
        </is>
      </c>
      <c r="D20" t="inlineStr">
        <is>
          <t>Arizona State</t>
        </is>
      </c>
      <c r="E20" t="n">
        <v>-14.4</v>
      </c>
      <c r="F20" t="n">
        <v>-20.8</v>
      </c>
      <c r="G20" s="6">
        <f>F20-E20</f>
        <v/>
      </c>
      <c r="H20" s="6">
        <f>IF(G20=0,"Pick'em",IF(G20&gt;0,"Home","Away"))</f>
        <v/>
      </c>
      <c r="I20" t="n">
        <v>47.8</v>
      </c>
      <c r="J20" t="n">
        <v>50.5</v>
      </c>
      <c r="K20" s="6">
        <f>I20-J20</f>
        <v/>
      </c>
      <c r="L20" s="6">
        <f>IF(K20=0,"Push",IF(K20&gt;0,"Over","Under"))</f>
        <v/>
      </c>
      <c r="M20" s="6">
        <f>IF(ABS(G20)&gt;=Settings!$B$5,H20,IF(F20=0,"Pick'em",IF(F20&lt;0,"Home (auto)","Away (auto)")))</f>
        <v/>
      </c>
      <c r="N20" s="6">
        <f>IF(ABS(K20)&gt;=Settings!$B$6,L20,IF(K20=0,"Push",L20&amp;" (auto)"))</f>
        <v/>
      </c>
    </row>
    <row r="21" ht="14.25" customHeight="1">
      <c r="A21" t="n">
        <v>5</v>
      </c>
      <c r="B21" t="inlineStr">
        <is>
          <t>2026-10-03</t>
        </is>
      </c>
      <c r="C21" t="inlineStr">
        <is>
          <t>Navy</t>
        </is>
      </c>
      <c r="D21" t="inlineStr">
        <is>
          <t>Air Force</t>
        </is>
      </c>
      <c r="E21" t="n">
        <v>5</v>
      </c>
      <c r="F21" t="n">
        <v>-2.8</v>
      </c>
      <c r="G21" s="6">
        <f>F21-E21</f>
        <v/>
      </c>
      <c r="H21" s="6">
        <f>IF(G21=0,"Pick'em",IF(G21&gt;0,"Home","Away"))</f>
        <v/>
      </c>
      <c r="I21" t="n">
        <v>55.1</v>
      </c>
      <c r="J21" t="n">
        <v>45.2</v>
      </c>
      <c r="K21" s="6">
        <f>I21-J21</f>
        <v/>
      </c>
      <c r="L21" s="6">
        <f>IF(K21=0,"Push",IF(K21&gt;0,"Over","Under"))</f>
        <v/>
      </c>
      <c r="M21" s="6">
        <f>IF(ABS(G21)&gt;=Settings!$B$5,H21,IF(F21=0,"Pick'em",IF(F21&lt;0,"Home (auto)","Away (auto)")))</f>
        <v/>
      </c>
      <c r="N21" s="6">
        <f>IF(ABS(K21)&gt;=Settings!$B$6,L21,IF(K21=0,"Push",L21&amp;" (auto)"))</f>
        <v/>
      </c>
    </row>
    <row r="22" ht="14.25" customHeight="1">
      <c r="A22" t="n">
        <v>5</v>
      </c>
      <c r="B22" t="inlineStr">
        <is>
          <t>2026-10-03</t>
        </is>
      </c>
      <c r="C22" t="inlineStr">
        <is>
          <t>UTEP</t>
        </is>
      </c>
      <c r="D22" t="inlineStr">
        <is>
          <t>New Mexico</t>
        </is>
      </c>
      <c r="E22" t="n">
        <v>-32.3</v>
      </c>
      <c r="F22" t="n">
        <v>-23.2</v>
      </c>
      <c r="G22" s="6">
        <f>F22-E22</f>
        <v/>
      </c>
      <c r="H22" s="6">
        <f>IF(G22=0,"Pick'em",IF(G22&gt;0,"Home","Away"))</f>
        <v/>
      </c>
      <c r="I22" t="n">
        <v>43.7</v>
      </c>
      <c r="J22" t="n">
        <v>47.8</v>
      </c>
      <c r="K22" s="6">
        <f>I22-J22</f>
        <v/>
      </c>
      <c r="L22" s="6">
        <f>IF(K22=0,"Push",IF(K22&gt;0,"Over","Under"))</f>
        <v/>
      </c>
      <c r="M22" s="6">
        <f>IF(ABS(G22)&gt;=Settings!$B$5,H22,IF(F22=0,"Pick'em",IF(F22&lt;0,"Home (auto)","Away (auto)")))</f>
        <v/>
      </c>
      <c r="N22" s="6">
        <f>IF(ABS(K22)&gt;=Settings!$B$6,L22,IF(K22=0,"Push",L22&amp;" (auto)"))</f>
        <v/>
      </c>
    </row>
    <row r="23" ht="14.25" customHeight="1">
      <c r="A23" t="n">
        <v>5</v>
      </c>
      <c r="B23" t="inlineStr">
        <is>
          <t>2026-10-03</t>
        </is>
      </c>
      <c r="C23" t="inlineStr">
        <is>
          <t>Wyoming</t>
        </is>
      </c>
      <c r="D23" t="inlineStr">
        <is>
          <t>North Dakota State</t>
        </is>
      </c>
      <c r="E23" t="n">
        <v>-30.4</v>
      </c>
      <c r="F23" t="n">
        <v>-17.2</v>
      </c>
      <c r="G23" s="6">
        <f>F23-E23</f>
        <v/>
      </c>
      <c r="H23" s="6">
        <f>IF(G23=0,"Pick'em",IF(G23&gt;0,"Home","Away"))</f>
        <v/>
      </c>
      <c r="I23" t="n">
        <v>46.7</v>
      </c>
      <c r="J23" t="n">
        <v>44.5</v>
      </c>
      <c r="K23" s="6">
        <f>I23-J23</f>
        <v/>
      </c>
      <c r="L23" s="6">
        <f>IF(K23=0,"Push",IF(K23&gt;0,"Over","Under"))</f>
        <v/>
      </c>
      <c r="M23" s="6">
        <f>IF(ABS(G23)&gt;=Settings!$B$5,H23,IF(F23=0,"Pick'em",IF(F23&lt;0,"Home (auto)","Away (auto)")))</f>
        <v/>
      </c>
      <c r="N23" s="6">
        <f>IF(ABS(K23)&gt;=Settings!$B$6,L23,IF(K23=0,"Push",L23&amp;" (auto)"))</f>
        <v/>
      </c>
    </row>
    <row r="24" ht="14.25" customHeight="1">
      <c r="A24" t="n">
        <v>5</v>
      </c>
      <c r="B24" t="inlineStr">
        <is>
          <t>2026-10-03</t>
        </is>
      </c>
      <c r="C24" t="inlineStr">
        <is>
          <t>California</t>
        </is>
      </c>
      <c r="D24" t="inlineStr">
        <is>
          <t>UNLV</t>
        </is>
      </c>
      <c r="E24" t="n">
        <v>-5.9</v>
      </c>
      <c r="F24" t="n">
        <v>-1.8</v>
      </c>
      <c r="G24" s="6">
        <f>F24-E24</f>
        <v/>
      </c>
      <c r="H24" s="6">
        <f>IF(G24=0,"Pick'em",IF(G24&gt;0,"Home","Away"))</f>
        <v/>
      </c>
      <c r="I24" t="n">
        <v>45.6</v>
      </c>
      <c r="J24" t="n">
        <v>52.2</v>
      </c>
      <c r="K24" s="6">
        <f>I24-J24</f>
        <v/>
      </c>
      <c r="L24" s="6">
        <f>IF(K24=0,"Push",IF(K24&gt;0,"Over","Under"))</f>
        <v/>
      </c>
      <c r="M24" s="6">
        <f>IF(ABS(G24)&gt;=Settings!$B$5,H24,IF(F24=0,"Pick'em",IF(F24&lt;0,"Home (auto)","Away (auto)")))</f>
        <v/>
      </c>
      <c r="N24" s="6">
        <f>IF(ABS(K24)&gt;=Settings!$B$6,L24,IF(K24=0,"Push",L24&amp;" (auto)"))</f>
        <v/>
      </c>
    </row>
    <row r="25" ht="14.25" customHeight="1">
      <c r="A25" t="n">
        <v>5</v>
      </c>
      <c r="B25" t="inlineStr">
        <is>
          <t>2026-10-04</t>
        </is>
      </c>
      <c r="C25" t="inlineStr">
        <is>
          <t>San José State</t>
        </is>
      </c>
      <c r="D25" t="inlineStr">
        <is>
          <t>Hawai'i</t>
        </is>
      </c>
      <c r="E25" t="n">
        <v>-6.9</v>
      </c>
      <c r="F25" t="n">
        <v>-2.8</v>
      </c>
      <c r="G25" s="6">
        <f>F25-E25</f>
        <v/>
      </c>
      <c r="H25" s="6">
        <f>IF(G25=0,"Pick'em",IF(G25&gt;0,"Home","Away"))</f>
        <v/>
      </c>
      <c r="I25" t="n">
        <v>48.5</v>
      </c>
      <c r="J25" t="n">
        <v>51.2</v>
      </c>
      <c r="K25" s="6">
        <f>I25-J25</f>
        <v/>
      </c>
      <c r="L25" s="6">
        <f>IF(K25=0,"Push",IF(K25&gt;0,"Over","Under"))</f>
        <v/>
      </c>
      <c r="M25" s="6">
        <f>IF(ABS(G25)&gt;=Settings!$B$5,H25,IF(F25=0,"Pick'em",IF(F25&lt;0,"Home (auto)","Away (auto)")))</f>
        <v/>
      </c>
      <c r="N25" s="6">
        <f>IF(ABS(K25)&gt;=Settings!$B$6,L25,IF(K25=0,"Push",L25&amp;" (auto)"))</f>
        <v/>
      </c>
    </row>
    <row r="26" ht="14.25" customHeight="1">
      <c r="G26" s="6" t="n"/>
      <c r="H26" s="6" t="n"/>
      <c r="K26" s="6" t="n"/>
      <c r="L26" s="6" t="n"/>
      <c r="M26" s="6" t="n"/>
      <c r="N26" s="6" t="n"/>
    </row>
    <row r="27" ht="14.25" customHeight="1">
      <c r="G27" s="6" t="n"/>
      <c r="H27" s="6" t="n"/>
      <c r="K27" s="6" t="n"/>
      <c r="L27" s="6" t="n"/>
      <c r="M27" s="6" t="n"/>
      <c r="N27" s="6" t="n"/>
    </row>
    <row r="28" ht="14.25" customHeight="1">
      <c r="G28" s="6" t="n"/>
      <c r="H28" s="6" t="n"/>
      <c r="K28" s="6" t="n"/>
      <c r="L28" s="6" t="n"/>
      <c r="M28" s="6" t="n"/>
      <c r="N28" s="6" t="n"/>
    </row>
    <row r="29" ht="14.25" customHeight="1">
      <c r="G29" s="6" t="n"/>
      <c r="H29" s="6" t="n"/>
      <c r="K29" s="6" t="n"/>
      <c r="L29" s="6" t="n"/>
      <c r="M29" s="6" t="n"/>
      <c r="N29" s="6" t="n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</sheetData>
  <conditionalFormatting sqref="C2:C500">
    <cfRule type="expression" priority="2" dxfId="0">
      <formula>AND(OR($G2&lt;=-7,$G2&gt;=7),$H2="Away")</formula>
    </cfRule>
  </conditionalFormatting>
  <conditionalFormatting sqref="D2:D500">
    <cfRule type="expression" priority="3" dxfId="0">
      <formula>AND(OR($G2&lt;=-7,$G2&gt;=7),$H2="Home")</formula>
    </cfRule>
  </conditionalFormatting>
  <conditionalFormatting sqref="E2:F500">
    <cfRule type="expression" priority="4" dxfId="0">
      <formula>OR($G2&lt;=-7,$G2&gt;=7)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3"/>
  <sheetViews>
    <sheetView showGridLines="0" tabSelected="1" topLeftCell="C1" zoomScaleNormal="100" workbookViewId="0">
      <selection activeCell="M2" sqref="M2:M500"/>
    </sheetView>
  </sheetViews>
  <sheetFormatPr baseColWidth="8" defaultColWidth="8.7265625" defaultRowHeight="14.5"/>
  <cols>
    <col width="11" customWidth="1" min="1" max="1"/>
    <col width="6" customWidth="1" min="2" max="2"/>
    <col width="37.453125" customWidth="1" min="3" max="3"/>
    <col width="10" customWidth="1" min="4" max="4"/>
    <col width="22.26953125" customWidth="1" min="5" max="5"/>
    <col width="11" customWidth="1" min="6" max="6"/>
    <col width="14" customWidth="1" min="7" max="7"/>
    <col width="12" customWidth="1" min="8" max="9"/>
    <col width="10" customWidth="1" min="10" max="10"/>
    <col width="9" customWidth="1" min="11" max="11"/>
    <col width="14" customWidth="1" min="12" max="12"/>
    <col width="15" customWidth="1" min="13" max="13"/>
  </cols>
  <sheetData>
    <row r="1" ht="25.5" customHeight="1">
      <c r="A1" s="5" t="inlineStr">
        <is>
          <t>Date</t>
        </is>
      </c>
      <c r="B1" s="5" t="inlineStr">
        <is>
          <t>Week</t>
        </is>
      </c>
      <c r="C1" s="5" t="inlineStr">
        <is>
          <t>Matchup</t>
        </is>
      </c>
      <c r="D1" s="5" t="inlineStr">
        <is>
          <t>Bet Type</t>
        </is>
      </c>
      <c r="E1" s="5" t="inlineStr">
        <is>
          <t>Side</t>
        </is>
      </c>
      <c r="F1" s="5" t="inlineStr">
        <is>
          <t>Line Taken</t>
        </is>
      </c>
      <c r="G1" s="5" t="inlineStr">
        <is>
          <t>Odds (American)</t>
        </is>
      </c>
      <c r="H1" s="5" t="inlineStr">
        <is>
          <t>Stake (units)</t>
        </is>
      </c>
      <c r="I1" s="5" t="inlineStr">
        <is>
          <t>Closing Line</t>
        </is>
      </c>
      <c r="J1" s="5" t="inlineStr">
        <is>
          <t>CLV (pts)</t>
        </is>
      </c>
      <c r="K1" s="5" t="inlineStr">
        <is>
          <t>Result</t>
        </is>
      </c>
      <c r="L1" s="5" t="inlineStr">
        <is>
          <t>Units Won/Lost</t>
        </is>
      </c>
      <c r="M1" s="5" t="inlineStr">
        <is>
          <t>Running Bankroll</t>
        </is>
      </c>
    </row>
    <row r="2" ht="14.25" customHeight="1">
      <c r="A2" t="inlineStr">
        <is>
          <t>2026-08-29</t>
        </is>
      </c>
      <c r="B2" t="n">
        <v>1</v>
      </c>
      <c r="C2" t="inlineStr">
        <is>
          <t>Jacksonville State @ North Dakota State</t>
        </is>
      </c>
      <c r="D2" t="inlineStr">
        <is>
          <t>Spread</t>
        </is>
      </c>
      <c r="E2" t="inlineStr">
        <is>
          <t>North Dakota State</t>
        </is>
      </c>
      <c r="F2" t="n">
        <v>-7.5</v>
      </c>
      <c r="G2" t="n">
        <v>100</v>
      </c>
      <c r="H2" t="n">
        <v>1</v>
      </c>
      <c r="I2" t="n">
        <v>-7</v>
      </c>
      <c r="J2" s="6">
        <f>IF(I2="","",I2-F2)</f>
        <v/>
      </c>
      <c r="K2" t="inlineStr">
        <is>
          <t>W</t>
        </is>
      </c>
      <c r="L2" s="11">
        <f>IF(K2="W",IF(G2&lt;0,H2*100/ABS(G2),H2*G2/100),IF(K2="L",-H2,0))</f>
        <v/>
      </c>
      <c r="M2" s="11">
        <f>Settings!$B$4+SUM(L$2:L2)</f>
        <v/>
      </c>
    </row>
    <row r="3" ht="14.25" customHeight="1">
      <c r="A3" t="inlineStr">
        <is>
          <t>2026-08-29</t>
        </is>
      </c>
      <c r="B3" t="n">
        <v>1</v>
      </c>
      <c r="C3" t="inlineStr">
        <is>
          <t>Jacksonville State @ North Dakota State</t>
        </is>
      </c>
      <c r="D3" t="inlineStr">
        <is>
          <t>Moneyline</t>
        </is>
      </c>
      <c r="E3" t="inlineStr">
        <is>
          <t>North Dakota State</t>
        </is>
      </c>
      <c r="G3" t="n">
        <v>-285</v>
      </c>
      <c r="H3" t="n">
        <v>5</v>
      </c>
      <c r="J3" s="6">
        <f>IF(I3="","",I3-F3)</f>
        <v/>
      </c>
      <c r="K3" t="inlineStr">
        <is>
          <t>W</t>
        </is>
      </c>
      <c r="L3" s="11">
        <f>IF(K3="W",IF(G3&lt;0,H3*100/ABS(G3),H3*G3/100),IF(K3="L",-H3,0))</f>
        <v/>
      </c>
      <c r="M3" s="11">
        <f>Settings!$B$4+SUM(L$2:L3)</f>
        <v/>
      </c>
    </row>
    <row r="4" ht="14.25" customHeight="1">
      <c r="A4" t="inlineStr">
        <is>
          <t>2026-08-29</t>
        </is>
      </c>
      <c r="B4" t="n">
        <v>1</v>
      </c>
      <c r="C4" t="inlineStr">
        <is>
          <t>Memphis @ UNLV</t>
        </is>
      </c>
      <c r="D4" t="inlineStr">
        <is>
          <t>Moneyline</t>
        </is>
      </c>
      <c r="E4" t="inlineStr">
        <is>
          <t>UNLV</t>
        </is>
      </c>
      <c r="G4" t="n">
        <v>-178</v>
      </c>
      <c r="H4" t="n">
        <v>5</v>
      </c>
      <c r="J4" s="6">
        <f>IF(I4="","",I4-F4)</f>
        <v/>
      </c>
      <c r="K4" t="inlineStr">
        <is>
          <t>L</t>
        </is>
      </c>
      <c r="L4" s="11">
        <f>IF(K4="W",IF(G4&lt;0,H4*100/ABS(G4),H4*G4/100),IF(K4="L",-H4,0))</f>
        <v/>
      </c>
      <c r="M4" s="11">
        <f>Settings!$B$4+SUM(L$2:L4)</f>
        <v/>
      </c>
    </row>
    <row r="5" ht="14.25" customHeight="1">
      <c r="A5" t="inlineStr">
        <is>
          <t>2026-08-29</t>
        </is>
      </c>
      <c r="B5" t="n">
        <v>1</v>
      </c>
      <c r="C5" t="inlineStr">
        <is>
          <t>Jacksonville State @ North Dakota State,Memphis @ UNLV</t>
        </is>
      </c>
      <c r="D5" t="inlineStr">
        <is>
          <t>ML Parlay</t>
        </is>
      </c>
      <c r="E5" t="inlineStr">
        <is>
          <t>North Dakota State / UNLV</t>
        </is>
      </c>
      <c r="G5" t="n">
        <v>110</v>
      </c>
      <c r="H5" t="n">
        <v>3</v>
      </c>
      <c r="J5" s="6">
        <f>IF(I5="","",I5-F5)</f>
        <v/>
      </c>
      <c r="K5" t="inlineStr">
        <is>
          <t>L</t>
        </is>
      </c>
      <c r="L5" s="11">
        <f>IF(K5="W",IF(G5&lt;0,H5*100/ABS(G5),H5*G5/100),IF(K5="L",-H5,0))</f>
        <v/>
      </c>
      <c r="M5" s="11">
        <f>Settings!$B$4+SUM(L$2:L5)</f>
        <v/>
      </c>
    </row>
    <row r="6" ht="14.25" customHeight="1">
      <c r="A6" t="inlineStr">
        <is>
          <t>2026-09-04</t>
        </is>
      </c>
      <c r="B6" t="n">
        <v>1</v>
      </c>
      <c r="C6" t="inlineStr">
        <is>
          <t>San José State @ Eastern Michigan</t>
        </is>
      </c>
      <c r="D6" t="inlineStr">
        <is>
          <t>Spread</t>
        </is>
      </c>
      <c r="E6" t="inlineStr">
        <is>
          <t>Eastern Michigan</t>
        </is>
      </c>
      <c r="F6" t="n">
        <v>-3.5</v>
      </c>
      <c r="G6" t="n">
        <v>-110</v>
      </c>
      <c r="H6" t="n">
        <v>2</v>
      </c>
      <c r="I6" t="n">
        <v>-1.5</v>
      </c>
      <c r="J6" s="6">
        <f>IF(I6="","",I6-F6)</f>
        <v/>
      </c>
      <c r="K6" t="inlineStr">
        <is>
          <t>L</t>
        </is>
      </c>
      <c r="L6" s="11">
        <f>IF(K6="W",IF(G6&lt;0,H6*100/ABS(G6),H6*G6/100),IF(K6="L",-H6,0))</f>
        <v/>
      </c>
      <c r="M6" s="11">
        <f>Settings!$B$4+SUM(L$2:L6)</f>
        <v/>
      </c>
    </row>
    <row r="7" ht="14.25" customHeight="1">
      <c r="A7" s="10" t="inlineStr">
        <is>
          <t>2026-09-05</t>
        </is>
      </c>
      <c r="B7" t="n">
        <v>1</v>
      </c>
      <c r="C7" t="inlineStr">
        <is>
          <t>San José State @ Eastern Michigan, Wyoming at Colorado State</t>
        </is>
      </c>
      <c r="D7" t="inlineStr">
        <is>
          <t>ML Parlay</t>
        </is>
      </c>
      <c r="E7" t="inlineStr">
        <is>
          <t>Eastern Michigan, Colorado State</t>
        </is>
      </c>
      <c r="G7" t="n">
        <v>149</v>
      </c>
      <c r="H7" t="n">
        <v>2</v>
      </c>
      <c r="J7" s="6">
        <f>IF(I7="","",I7-F7)</f>
        <v/>
      </c>
      <c r="K7" t="inlineStr">
        <is>
          <t>L</t>
        </is>
      </c>
      <c r="L7" s="11">
        <f>IF(K7="W",IF(G7&lt;0,H7*100/ABS(G7),H7*G7/100),IF(K7="L",-H7,0))</f>
        <v/>
      </c>
      <c r="M7" s="11">
        <f>Settings!$B$4+SUM(L$2:L7)</f>
        <v/>
      </c>
    </row>
    <row r="8" ht="14.25" customHeight="1">
      <c r="A8" s="10" t="inlineStr">
        <is>
          <t>2026-09-05</t>
        </is>
      </c>
      <c r="B8" t="n">
        <v>1</v>
      </c>
      <c r="C8" t="inlineStr">
        <is>
          <t>Wyoming @  Colorado State</t>
        </is>
      </c>
      <c r="D8" t="inlineStr">
        <is>
          <t>Spread</t>
        </is>
      </c>
      <c r="E8" t="inlineStr">
        <is>
          <t>Colorado State</t>
        </is>
      </c>
      <c r="F8" t="n">
        <v>-2.5</v>
      </c>
      <c r="G8" t="n">
        <v>-110</v>
      </c>
      <c r="H8" t="n">
        <v>2</v>
      </c>
      <c r="I8" t="n">
        <v>-3</v>
      </c>
      <c r="J8" s="6">
        <f>IF(I8="","",I8-F8)</f>
        <v/>
      </c>
      <c r="K8" t="inlineStr">
        <is>
          <t>W</t>
        </is>
      </c>
      <c r="L8" s="11">
        <f>IF(K8="W",IF(G8&lt;0,H8*100/ABS(G8),H8*G8/100),IF(K8="L",-H8,0))</f>
        <v/>
      </c>
      <c r="M8" s="11">
        <f>Settings!$B$4+SUM(L$2:L8)</f>
        <v/>
      </c>
    </row>
    <row r="9" ht="14.25" customHeight="1">
      <c r="A9" s="10" t="inlineStr">
        <is>
          <t>2026-09-05</t>
        </is>
      </c>
      <c r="B9" t="n">
        <v>1</v>
      </c>
      <c r="C9" t="inlineStr">
        <is>
          <t>Wyoming @  Colorado State</t>
        </is>
      </c>
      <c r="D9" t="inlineStr">
        <is>
          <t>Moneyline</t>
        </is>
      </c>
      <c r="E9" t="inlineStr">
        <is>
          <t>Colorado State</t>
        </is>
      </c>
      <c r="G9" t="n">
        <v>-145</v>
      </c>
      <c r="H9" t="n">
        <v>2</v>
      </c>
      <c r="J9" s="6">
        <f>IF(I9="","",I9-F9)</f>
        <v/>
      </c>
      <c r="K9" t="inlineStr">
        <is>
          <t>W</t>
        </is>
      </c>
      <c r="L9" s="11">
        <f>IF(K9="W",IF(G9&lt;0,H9*100/ABS(G9),H9*G9/100),IF(K9="L",-H9,0))</f>
        <v/>
      </c>
      <c r="M9" s="11">
        <f>Settings!$B$4+SUM(L$2:L9)</f>
        <v/>
      </c>
    </row>
    <row r="10" ht="14.25" customHeight="1">
      <c r="A10" s="10" t="inlineStr">
        <is>
          <t>2026-09-05</t>
        </is>
      </c>
      <c r="B10" t="n">
        <v>1</v>
      </c>
      <c r="C10" t="inlineStr">
        <is>
          <t>Central Michigan @ New Mexico</t>
        </is>
      </c>
      <c r="D10" t="inlineStr">
        <is>
          <t>Spread</t>
        </is>
      </c>
      <c r="E10" t="inlineStr">
        <is>
          <t>New Mexico</t>
        </is>
      </c>
      <c r="F10" t="n">
        <v>-12.5</v>
      </c>
      <c r="G10" t="n">
        <v>-110</v>
      </c>
      <c r="H10" t="n">
        <v>5</v>
      </c>
      <c r="I10" t="n">
        <v>-10</v>
      </c>
      <c r="J10" s="6">
        <f>IF(I10="","",I10-F10)</f>
        <v/>
      </c>
      <c r="K10" t="inlineStr">
        <is>
          <t>W</t>
        </is>
      </c>
      <c r="L10" s="11">
        <f>IF(K10="W",IF(G10&lt;0,H10*100/ABS(G10),H10*G10/100),IF(K10="L",-H10,0))</f>
        <v/>
      </c>
      <c r="M10" s="11">
        <f>Settings!$B$4+SUM(L$2:L10)</f>
        <v/>
      </c>
    </row>
    <row r="11" ht="14.25" customHeight="1">
      <c r="A11" s="10" t="inlineStr">
        <is>
          <t>2026-09-07</t>
        </is>
      </c>
      <c r="B11" t="n">
        <v>1</v>
      </c>
      <c r="C11" t="inlineStr">
        <is>
          <t>SMU @ Florida State</t>
        </is>
      </c>
      <c r="D11" t="inlineStr">
        <is>
          <t>Spread</t>
        </is>
      </c>
      <c r="E11" t="inlineStr">
        <is>
          <t>SMU</t>
        </is>
      </c>
      <c r="F11" t="n">
        <v>-2.5</v>
      </c>
      <c r="G11" t="n">
        <v>-122</v>
      </c>
      <c r="H11" t="n">
        <v>2</v>
      </c>
      <c r="I11" t="n">
        <v>-3</v>
      </c>
      <c r="J11" s="6">
        <f>IF(I11="","",I11-F11)</f>
        <v/>
      </c>
      <c r="K11" t="inlineStr">
        <is>
          <t>W</t>
        </is>
      </c>
      <c r="L11" s="11">
        <f>IF(K11="W",IF(G11&lt;0,H11*100/ABS(G11),H11*G11/100),IF(K11="L",-H11,0))</f>
        <v/>
      </c>
      <c r="M11" s="11">
        <f>Settings!$B$4+SUM(L$2:L11)</f>
        <v/>
      </c>
    </row>
    <row r="12" ht="14.25" customHeight="1">
      <c r="A12" s="10" t="inlineStr">
        <is>
          <t>2026-09-07</t>
        </is>
      </c>
      <c r="B12" t="n">
        <v>1</v>
      </c>
      <c r="C12" t="inlineStr">
        <is>
          <t>SMU @ Florida State</t>
        </is>
      </c>
      <c r="D12" t="inlineStr">
        <is>
          <t>Spread</t>
        </is>
      </c>
      <c r="E12" t="inlineStr">
        <is>
          <t>Florida State</t>
        </is>
      </c>
      <c r="F12" t="n">
        <v>10.5</v>
      </c>
      <c r="G12" t="n">
        <v>-118</v>
      </c>
      <c r="H12" t="n">
        <v>3</v>
      </c>
      <c r="I12" t="n">
        <v>3</v>
      </c>
      <c r="J12" s="6">
        <f>IF(I12="","",I12-F12)</f>
        <v/>
      </c>
      <c r="K12" t="inlineStr">
        <is>
          <t>W</t>
        </is>
      </c>
      <c r="L12" s="11">
        <f>IF(K12="W",IF(G12&lt;0,H12*100/ABS(G12),H12*G12/100),IF(K12="L",-H12,0))</f>
        <v/>
      </c>
      <c r="M12" s="11">
        <f>Settings!$B$4+SUM(L$2:L12)</f>
        <v/>
      </c>
    </row>
    <row r="13" ht="14.25" customHeight="1">
      <c r="A13" s="10" t="inlineStr">
        <is>
          <t>2026-09-07</t>
        </is>
      </c>
      <c r="B13" t="n">
        <v>1</v>
      </c>
      <c r="C13" t="inlineStr">
        <is>
          <t>SMU @ Florida State</t>
        </is>
      </c>
      <c r="D13" t="inlineStr">
        <is>
          <t>Moneyline</t>
        </is>
      </c>
      <c r="E13" t="inlineStr">
        <is>
          <t>Florida State</t>
        </is>
      </c>
      <c r="G13" t="n">
        <v>265</v>
      </c>
      <c r="H13" t="n">
        <v>1</v>
      </c>
      <c r="J13" s="6">
        <f>IF(I13="","",I13-F13)</f>
        <v/>
      </c>
      <c r="K13" t="inlineStr">
        <is>
          <t>L</t>
        </is>
      </c>
      <c r="L13" s="11">
        <f>IF(K13="W",IF(G13&lt;0,H13*100/ABS(G13),H13*G13/100),IF(K13="L",-H13,0))</f>
        <v/>
      </c>
      <c r="M13" s="11">
        <f>Settings!$B$4+SUM(L$2:L13)</f>
        <v/>
      </c>
    </row>
    <row r="14" ht="14.25" customHeight="1">
      <c r="A14" s="10" t="inlineStr">
        <is>
          <t>2026-09-06</t>
        </is>
      </c>
      <c r="B14" t="n">
        <v>1</v>
      </c>
      <c r="C14" t="inlineStr">
        <is>
          <t>Louisville @ Ole Miss</t>
        </is>
      </c>
      <c r="D14" t="inlineStr">
        <is>
          <t>Spread</t>
        </is>
      </c>
      <c r="E14" t="inlineStr">
        <is>
          <t>Louisville</t>
        </is>
      </c>
      <c r="F14" t="n">
        <v>6.5</v>
      </c>
      <c r="G14" t="n">
        <v>-108</v>
      </c>
      <c r="H14" t="n">
        <v>3</v>
      </c>
      <c r="I14" t="n">
        <v>6.5</v>
      </c>
      <c r="J14" s="6">
        <f>IF(I14="","",I14-F14)</f>
        <v/>
      </c>
      <c r="K14" t="inlineStr">
        <is>
          <t>W</t>
        </is>
      </c>
      <c r="L14" s="11">
        <f>IF(K14="W",IF(G14&lt;0,H14*100/ABS(G14),H14*G14/100),IF(K14="L",-H14,0))</f>
        <v/>
      </c>
      <c r="M14" s="11">
        <f>Settings!$B$4+SUM(L$2:L14)</f>
        <v/>
      </c>
    </row>
    <row r="15" ht="14.25" customHeight="1">
      <c r="A15" s="10" t="inlineStr">
        <is>
          <t>2026-09-06</t>
        </is>
      </c>
      <c r="B15" t="n">
        <v>1</v>
      </c>
      <c r="C15" t="inlineStr">
        <is>
          <t>Louisville @ Ole Miss</t>
        </is>
      </c>
      <c r="D15" t="inlineStr">
        <is>
          <t>Spread</t>
        </is>
      </c>
      <c r="E15" t="inlineStr">
        <is>
          <t>Louisville</t>
        </is>
      </c>
      <c r="F15" t="n">
        <v>7.5</v>
      </c>
      <c r="G15" t="n">
        <v>114</v>
      </c>
      <c r="H15" t="n">
        <v>3</v>
      </c>
      <c r="I15" t="n">
        <v>6.5</v>
      </c>
      <c r="J15" s="6">
        <f>IF(I15="","",I15-F15)</f>
        <v/>
      </c>
      <c r="K15" t="inlineStr">
        <is>
          <t>W</t>
        </is>
      </c>
      <c r="L15" s="11">
        <f>IF(K15="W",IF(G15&lt;0,H15*100/ABS(G15),H15*G15/100),IF(K15="L",-H15,0))</f>
        <v/>
      </c>
      <c r="M15" s="11">
        <f>Settings!$B$4+SUM(L$2:L15)</f>
        <v/>
      </c>
    </row>
    <row r="16" ht="14.25" customHeight="1">
      <c r="A16" s="10" t="inlineStr">
        <is>
          <t>2026-09-06</t>
        </is>
      </c>
      <c r="B16" t="n">
        <v>1</v>
      </c>
      <c r="C16" t="inlineStr">
        <is>
          <t>Wisconsin @ Notre Dame</t>
        </is>
      </c>
      <c r="D16" t="inlineStr">
        <is>
          <t>Spread</t>
        </is>
      </c>
      <c r="E16" t="inlineStr">
        <is>
          <t>Wisconsin</t>
        </is>
      </c>
      <c r="F16" t="n">
        <v>14.5</v>
      </c>
      <c r="G16" t="n">
        <v>-132</v>
      </c>
      <c r="H16" t="n">
        <v>3</v>
      </c>
      <c r="I16" t="n">
        <v>21</v>
      </c>
      <c r="J16" s="6">
        <f>IF(I16="","",I16-F16)</f>
        <v/>
      </c>
      <c r="K16" t="inlineStr">
        <is>
          <t>L</t>
        </is>
      </c>
      <c r="L16" s="11">
        <f>IF(K16="W",IF(G16&lt;0,H16*100/ABS(G16),H16*G16/100),IF(K16="L",-H16,0))</f>
        <v/>
      </c>
      <c r="M16" s="11">
        <f>Settings!$B$4+SUM(L$2:L16)</f>
        <v/>
      </c>
    </row>
    <row r="17" ht="14.25" customHeight="1">
      <c r="A17" s="10" t="inlineStr">
        <is>
          <t>2026-09-05</t>
        </is>
      </c>
      <c r="B17" t="n">
        <v>1</v>
      </c>
      <c r="C17" t="inlineStr">
        <is>
          <t>Clemson @ LSU</t>
        </is>
      </c>
      <c r="D17" t="inlineStr">
        <is>
          <t>Spread</t>
        </is>
      </c>
      <c r="E17" t="inlineStr">
        <is>
          <t>Clemson</t>
        </is>
      </c>
      <c r="F17" t="n">
        <v>28.5</v>
      </c>
      <c r="G17" t="n">
        <v>-138</v>
      </c>
      <c r="H17" t="n">
        <v>7.5</v>
      </c>
      <c r="I17" t="n">
        <v>10</v>
      </c>
      <c r="J17" s="6">
        <f>IF(I17="","",I17-F17)</f>
        <v/>
      </c>
      <c r="K17" t="inlineStr">
        <is>
          <t>L</t>
        </is>
      </c>
      <c r="L17" s="11">
        <f>IF(K17="W",IF(G17&lt;0,H17*100/ABS(G17),H17*G17/100),IF(K17="L",-H17,0))</f>
        <v/>
      </c>
      <c r="M17" s="11">
        <f>Settings!$B$4+SUM(L$2:L17)</f>
        <v/>
      </c>
    </row>
    <row r="18" ht="14.25" customHeight="1">
      <c r="A18" s="10" t="inlineStr">
        <is>
          <t>2026-09-05</t>
        </is>
      </c>
      <c r="B18" t="n">
        <v>1</v>
      </c>
      <c r="C18" t="inlineStr">
        <is>
          <t>Clemson @ LSU</t>
        </is>
      </c>
      <c r="D18" t="inlineStr">
        <is>
          <t>Spread</t>
        </is>
      </c>
      <c r="E18" t="inlineStr">
        <is>
          <t>Clemson</t>
        </is>
      </c>
      <c r="F18" t="n">
        <v>10.5</v>
      </c>
      <c r="G18" t="n">
        <v>-118</v>
      </c>
      <c r="H18" t="n">
        <v>2.5</v>
      </c>
      <c r="I18" t="n">
        <v>10</v>
      </c>
      <c r="J18" s="6">
        <f>IF(I18="","",I18-F18)</f>
        <v/>
      </c>
      <c r="K18" t="inlineStr">
        <is>
          <t>L</t>
        </is>
      </c>
      <c r="L18" s="11">
        <f>IF(K18="W",IF(G18&lt;0,H18*100/ABS(G18),H18*G18/100),IF(K18="L",-H18,0))</f>
        <v/>
      </c>
      <c r="M18" s="11">
        <f>Settings!$B$4+SUM(L$2:L18)</f>
        <v/>
      </c>
    </row>
    <row r="19" ht="14.25" customHeight="1">
      <c r="A19" s="10" t="inlineStr">
        <is>
          <t>2026-09-05</t>
        </is>
      </c>
      <c r="B19" t="n">
        <v>1</v>
      </c>
      <c r="C19" t="inlineStr">
        <is>
          <t>Western Michigan @ Michigan</t>
        </is>
      </c>
      <c r="D19" t="inlineStr">
        <is>
          <t>Moneyline</t>
        </is>
      </c>
      <c r="E19" t="inlineStr">
        <is>
          <t>Michigan</t>
        </is>
      </c>
      <c r="G19" t="n">
        <v>146</v>
      </c>
      <c r="H19" t="n">
        <v>11.5</v>
      </c>
      <c r="J19" s="6">
        <f>IF(I19="","",I19-F19)</f>
        <v/>
      </c>
      <c r="K19" t="inlineStr">
        <is>
          <t>W</t>
        </is>
      </c>
      <c r="L19" s="11">
        <f>IF(K19="W",IF(G19&lt;0,H19*100/ABS(G19),H19*G19/100),IF(K19="L",-H19,0))</f>
        <v/>
      </c>
      <c r="M19" s="11">
        <f>Settings!$B$4+SUM(L$2:L19)</f>
        <v/>
      </c>
    </row>
    <row r="20" ht="14.25" customHeight="1">
      <c r="A20" s="10" t="inlineStr">
        <is>
          <t>2026-09-05</t>
        </is>
      </c>
      <c r="B20" t="n">
        <v>1</v>
      </c>
      <c r="C20" t="inlineStr">
        <is>
          <t>Boise State @ Oregon</t>
        </is>
      </c>
      <c r="D20" t="inlineStr">
        <is>
          <t>Spread</t>
        </is>
      </c>
      <c r="E20" t="inlineStr">
        <is>
          <t>Boise State</t>
        </is>
      </c>
      <c r="F20" t="n">
        <v>6.5</v>
      </c>
      <c r="G20" t="n">
        <v>108</v>
      </c>
      <c r="H20" t="n">
        <v>3</v>
      </c>
      <c r="I20" t="n">
        <v>25</v>
      </c>
      <c r="J20" s="6">
        <f>IF(I20="","",I20-F20)</f>
        <v/>
      </c>
      <c r="K20" t="inlineStr">
        <is>
          <t>L</t>
        </is>
      </c>
      <c r="L20" s="11">
        <f>IF(K20="W",IF(G20&lt;0,H20*100/ABS(G20),H20*G20/100),IF(K20="L",-H20,0))</f>
        <v/>
      </c>
      <c r="M20" s="11">
        <f>Settings!$B$4+SUM(L$2:L20)</f>
        <v/>
      </c>
    </row>
    <row r="21" ht="14.25" customHeight="1">
      <c r="A21" s="10" t="inlineStr">
        <is>
          <t>2026-09-05</t>
        </is>
      </c>
      <c r="B21" t="n">
        <v>1</v>
      </c>
      <c r="C21" t="inlineStr">
        <is>
          <t>Tarleton State @ Bowling Green</t>
        </is>
      </c>
      <c r="D21" t="inlineStr">
        <is>
          <t>Moneyline</t>
        </is>
      </c>
      <c r="E21" t="inlineStr">
        <is>
          <t>Bowling Green</t>
        </is>
      </c>
      <c r="G21" t="n">
        <v>200</v>
      </c>
      <c r="H21" t="n">
        <v>3</v>
      </c>
      <c r="J21" s="6">
        <f>IF(I21="","",I21-F21)</f>
        <v/>
      </c>
      <c r="K21" t="inlineStr">
        <is>
          <t>L</t>
        </is>
      </c>
      <c r="L21" s="11">
        <f>IF(K21="W",IF(G21&lt;0,H21*100/ABS(G21),H21*G21/100),IF(K21="L",-H21,0))</f>
        <v/>
      </c>
      <c r="M21" s="11">
        <f>Settings!$B$4+SUM(L$2:L21)</f>
        <v/>
      </c>
    </row>
    <row r="22" ht="14.25" customHeight="1">
      <c r="A22" t="inlineStr">
        <is>
          <t>2026-09-04</t>
        </is>
      </c>
      <c r="B22" t="n">
        <v>1</v>
      </c>
      <c r="C22" t="inlineStr">
        <is>
          <t>Miami @ Stanford</t>
        </is>
      </c>
      <c r="D22" t="inlineStr">
        <is>
          <t>Spread</t>
        </is>
      </c>
      <c r="E22" t="inlineStr">
        <is>
          <t>Miami</t>
        </is>
      </c>
      <c r="F22" t="n">
        <v>-36.5</v>
      </c>
      <c r="G22" t="n">
        <v>100</v>
      </c>
      <c r="H22" t="n">
        <v>2.5</v>
      </c>
      <c r="I22" t="n">
        <v>-24.5</v>
      </c>
      <c r="J22" s="6">
        <f>IF(I22="","",I22-F22)</f>
        <v/>
      </c>
      <c r="K22" t="inlineStr">
        <is>
          <t>W</t>
        </is>
      </c>
      <c r="L22" s="11">
        <f>IF(K22="W",IF(G22&lt;0,H22*100/ABS(G22),H22*G22/100),IF(K22="L",-H22,0))</f>
        <v/>
      </c>
      <c r="M22" s="11">
        <f>Settings!$B$4+SUM(L$2:L22)</f>
        <v/>
      </c>
    </row>
    <row r="23" ht="14.25" customHeight="1">
      <c r="A23" t="inlineStr">
        <is>
          <t>2026-09-04</t>
        </is>
      </c>
      <c r="B23" t="n">
        <v>1</v>
      </c>
      <c r="C23" t="inlineStr">
        <is>
          <t>Fresno State @ USC</t>
        </is>
      </c>
      <c r="D23" t="inlineStr">
        <is>
          <t>Total</t>
        </is>
      </c>
      <c r="F23" t="n">
        <v>39.5</v>
      </c>
      <c r="G23" t="n">
        <v>-102</v>
      </c>
      <c r="H23" t="n">
        <v>5</v>
      </c>
      <c r="J23" s="6">
        <f>IF(I23="","",I23-F23)</f>
        <v/>
      </c>
      <c r="K23" t="inlineStr">
        <is>
          <t>L</t>
        </is>
      </c>
      <c r="L23" s="11">
        <f>IF(K23="W",IF(G23&lt;0,H23*100/ABS(G23),H23*G23/100),IF(K23="L",-H23,0))</f>
        <v/>
      </c>
      <c r="M23" s="11">
        <f>Settings!$B$4+SUM(L$2:L23)</f>
        <v/>
      </c>
    </row>
    <row r="24" ht="14.25" customHeight="1">
      <c r="A24" t="inlineStr">
        <is>
          <t>2026-09-04</t>
        </is>
      </c>
      <c r="B24" t="n">
        <v>1</v>
      </c>
      <c r="C24" t="inlineStr">
        <is>
          <t>Toledo @ MSU</t>
        </is>
      </c>
      <c r="D24" t="inlineStr">
        <is>
          <t>Spread</t>
        </is>
      </c>
      <c r="E24" t="inlineStr">
        <is>
          <t>Michigan</t>
        </is>
      </c>
      <c r="F24" t="n">
        <v>-12.5</v>
      </c>
      <c r="G24" t="n">
        <v>-114</v>
      </c>
      <c r="H24" t="n">
        <v>3.5</v>
      </c>
      <c r="J24" s="6">
        <f>IF(I24="","",I24-F24)</f>
        <v/>
      </c>
      <c r="K24" t="inlineStr">
        <is>
          <t>L</t>
        </is>
      </c>
      <c r="L24" s="11">
        <f>IF(K24="W",IF(G24&lt;0,H24*100/ABS(G24),H24*G24/100),IF(K24="L",-H24,0))</f>
        <v/>
      </c>
      <c r="M24" s="11">
        <f>Settings!$B$4+SUM(L$2:L24)</f>
        <v/>
      </c>
    </row>
    <row r="25" ht="14.25" customHeight="1">
      <c r="A25" t="inlineStr">
        <is>
          <t>2026-09-04</t>
        </is>
      </c>
      <c r="B25" t="n">
        <v>1</v>
      </c>
      <c r="C25" t="inlineStr">
        <is>
          <t>UTEP @ Oklahoma</t>
        </is>
      </c>
      <c r="D25" t="inlineStr">
        <is>
          <t>Total</t>
        </is>
      </c>
      <c r="F25" t="n">
        <v>51.5</v>
      </c>
      <c r="G25" t="n">
        <v>-128</v>
      </c>
      <c r="H25" t="n">
        <v>2.5</v>
      </c>
      <c r="J25" s="6">
        <f>IF(I25="","",I25-F25)</f>
        <v/>
      </c>
      <c r="K25" t="inlineStr">
        <is>
          <t>L</t>
        </is>
      </c>
      <c r="L25" s="11">
        <f>IF(K25="W",IF(G25&lt;0,H25*100/ABS(G25),H25*G25/100),IF(K25="L",-H25,0))</f>
        <v/>
      </c>
      <c r="M25" s="11">
        <f>Settings!$B$4+SUM(L$2:L25)</f>
        <v/>
      </c>
    </row>
    <row r="26" ht="14.25" customHeight="1">
      <c r="A26" t="inlineStr">
        <is>
          <t>2026-09-04</t>
        </is>
      </c>
      <c r="B26" t="n">
        <v>1</v>
      </c>
      <c r="C26" t="inlineStr">
        <is>
          <t>San Jose State @ Eastern Michigan</t>
        </is>
      </c>
      <c r="D26" t="inlineStr">
        <is>
          <t>Moneyline</t>
        </is>
      </c>
      <c r="E26" t="inlineStr">
        <is>
          <t>Eastern Michigan</t>
        </is>
      </c>
      <c r="G26" t="n">
        <v>-146</v>
      </c>
      <c r="H26" t="n">
        <v>2</v>
      </c>
      <c r="J26" s="6">
        <f>IF(I26="","",I26-F26)</f>
        <v/>
      </c>
      <c r="K26" t="inlineStr">
        <is>
          <t>L</t>
        </is>
      </c>
      <c r="L26" s="11">
        <f>IF(K26="W",IF(G26&lt;0,H26*100/ABS(G26),H26*G26/100),IF(K26="L",-H26,0))</f>
        <v/>
      </c>
      <c r="M26" s="11">
        <f>Settings!$B$4+SUM(L$2:L26)</f>
        <v/>
      </c>
    </row>
    <row r="27" ht="14.25" customHeight="1">
      <c r="A27" t="inlineStr">
        <is>
          <t>2026-09-04</t>
        </is>
      </c>
      <c r="B27" t="n">
        <v>1</v>
      </c>
      <c r="C27" t="inlineStr">
        <is>
          <t>UAB @ Illinois</t>
        </is>
      </c>
      <c r="D27" t="inlineStr">
        <is>
          <t>Spread</t>
        </is>
      </c>
      <c r="E27" t="inlineStr">
        <is>
          <t>UAB</t>
        </is>
      </c>
      <c r="F27" t="n">
        <v>17.5</v>
      </c>
      <c r="G27" t="n">
        <v>-106</v>
      </c>
      <c r="H27" t="n">
        <v>2.75</v>
      </c>
      <c r="I27" t="n">
        <v>26</v>
      </c>
      <c r="J27" s="6">
        <f>IF(I27="","",I27-F27)</f>
        <v/>
      </c>
      <c r="K27" t="inlineStr">
        <is>
          <t>L</t>
        </is>
      </c>
      <c r="L27" s="11">
        <f>IF(K27="W",IF(G27&lt;0,H27*100/ABS(G27),H27*G27/100),IF(K27="L",-H27,0))</f>
        <v/>
      </c>
      <c r="M27" s="11">
        <f>Settings!$B$4+SUM(L$2:L27)</f>
        <v/>
      </c>
    </row>
    <row r="28" ht="14.25" customHeight="1">
      <c r="A28" t="inlineStr">
        <is>
          <t>2026-09-04</t>
        </is>
      </c>
      <c r="B28" t="n">
        <v>1</v>
      </c>
      <c r="C28" t="inlineStr">
        <is>
          <t>UAB @ Illinois</t>
        </is>
      </c>
      <c r="D28" t="inlineStr">
        <is>
          <t>Spread</t>
        </is>
      </c>
      <c r="E28" t="inlineStr">
        <is>
          <t>UAB</t>
        </is>
      </c>
      <c r="F28" t="n">
        <v>25.5</v>
      </c>
      <c r="G28" t="n">
        <v>320</v>
      </c>
      <c r="H28" t="n">
        <v>2</v>
      </c>
      <c r="I28" t="n">
        <v>26</v>
      </c>
      <c r="J28" s="6">
        <f>IF(I28="","",I28-F28)</f>
        <v/>
      </c>
      <c r="K28" t="inlineStr">
        <is>
          <t>W</t>
        </is>
      </c>
      <c r="L28" s="11">
        <f>IF(K28="W",IF(G28&lt;0,H28*100/ABS(G28),H28*G28/100),IF(K28="L",-H28,0))</f>
        <v/>
      </c>
      <c r="M28" s="11">
        <f>Settings!$B$4+SUM(L$2:L28)</f>
        <v/>
      </c>
    </row>
    <row r="29" ht="14.25" customHeight="1">
      <c r="A29" t="inlineStr">
        <is>
          <t>2026-09-12</t>
        </is>
      </c>
      <c r="B29" t="n">
        <v>2</v>
      </c>
      <c r="C29" t="inlineStr">
        <is>
          <t>UNLV @ North Texas</t>
        </is>
      </c>
      <c r="D29" t="inlineStr">
        <is>
          <t>Spread</t>
        </is>
      </c>
      <c r="E29" t="inlineStr">
        <is>
          <t>North Texas</t>
        </is>
      </c>
      <c r="F29" t="n">
        <v>3.5</v>
      </c>
      <c r="G29" t="n">
        <v>-114</v>
      </c>
      <c r="H29" t="n">
        <v>1</v>
      </c>
      <c r="I29" t="n">
        <v>3.5</v>
      </c>
      <c r="J29" s="6">
        <f>IF(I29="","",I29-F29)</f>
        <v/>
      </c>
      <c r="K29" t="inlineStr">
        <is>
          <t>W</t>
        </is>
      </c>
      <c r="L29" s="11">
        <f>IF(K29="W",IF(G29&lt;0,H29*100/ABS(G29),H29*G29/100),IF(K29="L",-H29,0))</f>
        <v/>
      </c>
      <c r="M29" s="11">
        <f>Settings!$B$4+SUM(L$2:L29)</f>
        <v/>
      </c>
    </row>
    <row r="30" ht="14.25" customHeight="1">
      <c r="A30" t="inlineStr">
        <is>
          <t>2026-09-13</t>
        </is>
      </c>
      <c r="B30" t="n">
        <v>2</v>
      </c>
      <c r="C30" t="inlineStr">
        <is>
          <t>North Dakota State @ Airforce</t>
        </is>
      </c>
      <c r="D30" t="inlineStr">
        <is>
          <t>Spread</t>
        </is>
      </c>
      <c r="E30" t="inlineStr">
        <is>
          <t>North Dakota State</t>
        </is>
      </c>
      <c r="F30" t="n">
        <v>-2.5</v>
      </c>
      <c r="G30" t="n">
        <v>-112</v>
      </c>
      <c r="H30" t="n">
        <v>2.5</v>
      </c>
      <c r="I30" t="n">
        <v>2.5</v>
      </c>
      <c r="J30" s="6">
        <f>IF(I30="","",I30-F30)</f>
        <v/>
      </c>
      <c r="K30" t="inlineStr">
        <is>
          <t>W</t>
        </is>
      </c>
      <c r="L30" s="11">
        <f>IF(K30="W",IF(G30&lt;0,H30*100/ABS(G30),H30*G30/100),IF(K30="L",-H30,0))</f>
        <v/>
      </c>
      <c r="M30" s="11">
        <f>Settings!$B$4+SUM(L$2:L30)</f>
        <v/>
      </c>
    </row>
    <row r="31" ht="14.25" customHeight="1">
      <c r="A31" t="inlineStr">
        <is>
          <t>2026-09-13</t>
        </is>
      </c>
      <c r="B31" t="n">
        <v>2</v>
      </c>
      <c r="C31" t="inlineStr">
        <is>
          <t>North Dakota State @ Airforce</t>
        </is>
      </c>
      <c r="D31" t="inlineStr">
        <is>
          <t>Moneyline</t>
        </is>
      </c>
      <c r="E31" t="inlineStr">
        <is>
          <t>North Dakota State</t>
        </is>
      </c>
      <c r="G31" t="n">
        <v>-134</v>
      </c>
      <c r="H31" t="n">
        <v>2.5</v>
      </c>
      <c r="J31" s="6">
        <f>IF(I31="","",I31-F31)</f>
        <v/>
      </c>
      <c r="K31" t="inlineStr">
        <is>
          <t>W</t>
        </is>
      </c>
      <c r="L31" s="11">
        <f>IF(K31="W",IF(G31&lt;0,H31*100/ABS(G31),H31*G31/100),IF(K31="L",-H31,0))</f>
        <v/>
      </c>
      <c r="M31" s="11">
        <f>Settings!$B$4+SUM(L$2:L31)</f>
        <v/>
      </c>
    </row>
    <row r="32" ht="14.25" customHeight="1">
      <c r="A32" t="inlineStr">
        <is>
          <t>2026-09-13</t>
        </is>
      </c>
      <c r="B32" t="n">
        <v>2</v>
      </c>
      <c r="C32" t="inlineStr">
        <is>
          <t>New Mexico State @ Hawaii</t>
        </is>
      </c>
      <c r="D32" t="inlineStr">
        <is>
          <t>Moneyline</t>
        </is>
      </c>
      <c r="E32" t="inlineStr">
        <is>
          <t>Hawaii</t>
        </is>
      </c>
      <c r="G32" t="n">
        <v>-330</v>
      </c>
      <c r="H32" t="n">
        <v>1</v>
      </c>
      <c r="J32" s="6">
        <f>IF(I32="","",I32-F32)</f>
        <v/>
      </c>
      <c r="K32" t="inlineStr">
        <is>
          <t>W</t>
        </is>
      </c>
      <c r="L32" s="11">
        <f>IF(K32="W",IF(G32&lt;0,H32*100/ABS(G32),H32*G32/100),IF(K32="L",-H32,0))</f>
        <v/>
      </c>
      <c r="M32" s="11">
        <f>Settings!$B$4+SUM(L$2:L32)</f>
        <v/>
      </c>
    </row>
    <row r="33" ht="14.25" customHeight="1">
      <c r="A33" t="inlineStr">
        <is>
          <t>2026-09-12</t>
        </is>
      </c>
      <c r="B33" t="n">
        <v>2</v>
      </c>
      <c r="C33" t="inlineStr">
        <is>
          <t>Maryland @ Uconn</t>
        </is>
      </c>
      <c r="D33" t="inlineStr">
        <is>
          <t>Spread</t>
        </is>
      </c>
      <c r="E33" t="inlineStr">
        <is>
          <t>Uconn</t>
        </is>
      </c>
      <c r="F33" t="n">
        <v>12.5</v>
      </c>
      <c r="G33" t="n">
        <v>-110</v>
      </c>
      <c r="H33" t="n">
        <v>1</v>
      </c>
      <c r="I33" t="n">
        <v>13.5</v>
      </c>
      <c r="J33" s="6">
        <f>IF(I33="","",I33-F33)</f>
        <v/>
      </c>
      <c r="K33" t="inlineStr">
        <is>
          <t>L</t>
        </is>
      </c>
      <c r="L33" s="11">
        <f>IF(K33="W",IF(G33&lt;0,H33*100/ABS(G33),H33*G33/100),IF(K33="L",-H33,0))</f>
        <v/>
      </c>
      <c r="M33" s="11">
        <f>Settings!$B$4+SUM(L$2:L33)</f>
        <v/>
      </c>
    </row>
    <row r="34" ht="14.25" customHeight="1">
      <c r="A34" t="inlineStr">
        <is>
          <t>2026-09-12</t>
        </is>
      </c>
      <c r="B34" t="n">
        <v>2</v>
      </c>
      <c r="C34" t="inlineStr">
        <is>
          <t>Ohio State @ Texas</t>
        </is>
      </c>
      <c r="D34" t="inlineStr">
        <is>
          <t>Moneyline</t>
        </is>
      </c>
      <c r="E34" t="inlineStr">
        <is>
          <t>Texas</t>
        </is>
      </c>
      <c r="G34" t="n">
        <v>500</v>
      </c>
      <c r="H34" t="n">
        <v>40</v>
      </c>
      <c r="J34" s="6">
        <f>IF(I34="","",I34-F34)</f>
        <v/>
      </c>
      <c r="K34" t="inlineStr">
        <is>
          <t>W</t>
        </is>
      </c>
      <c r="L34" s="11">
        <f>IF(K34="W",IF(G34&lt;0,H34*100/ABS(G34),H34*G34/100),IF(K34="L",-H34,0))</f>
        <v/>
      </c>
      <c r="M34" s="11">
        <f>Settings!$B$4+SUM(L$2:L34)</f>
        <v/>
      </c>
    </row>
    <row r="35" ht="14.25" customHeight="1">
      <c r="A35" t="inlineStr">
        <is>
          <t>2026-09-19</t>
        </is>
      </c>
      <c r="B35" t="n">
        <v>3</v>
      </c>
      <c r="C35" t="inlineStr">
        <is>
          <t>Wyoming @ Central Michigan</t>
        </is>
      </c>
      <c r="D35" t="inlineStr">
        <is>
          <t>Spread</t>
        </is>
      </c>
      <c r="E35" t="inlineStr">
        <is>
          <t>Central Michigan</t>
        </is>
      </c>
      <c r="F35" t="n">
        <v>-1.5</v>
      </c>
      <c r="G35" t="n">
        <v>-110</v>
      </c>
      <c r="H35" t="n">
        <v>1</v>
      </c>
      <c r="I35" t="n">
        <v>-2.5</v>
      </c>
      <c r="J35" s="6">
        <f>IF(I35="","",I35-F35)</f>
        <v/>
      </c>
      <c r="K35" t="inlineStr">
        <is>
          <t>W</t>
        </is>
      </c>
      <c r="L35" s="11">
        <f>IF(K35="W",IF(G35&lt;0,H35*100/ABS(G35),H35*G35/100),IF(K35="L",-H35,0))</f>
        <v/>
      </c>
      <c r="M35" s="11">
        <f>Settings!$B$4+SUM(L$2:L35)</f>
        <v/>
      </c>
    </row>
    <row r="36" ht="14.25" customHeight="1">
      <c r="A36" t="inlineStr">
        <is>
          <t>2026-09-19</t>
        </is>
      </c>
      <c r="B36" t="n">
        <v>3</v>
      </c>
      <c r="C36" t="inlineStr">
        <is>
          <t>Wyoming @ Central Michigan</t>
        </is>
      </c>
      <c r="D36" t="inlineStr">
        <is>
          <t>Moneyline</t>
        </is>
      </c>
      <c r="E36" t="inlineStr">
        <is>
          <t>Central Michigan</t>
        </is>
      </c>
      <c r="F36" t="n">
        <v>-0.5</v>
      </c>
      <c r="G36" t="n">
        <v>-114</v>
      </c>
      <c r="H36" t="n">
        <v>1</v>
      </c>
      <c r="J36" s="6">
        <f>IF(I36="","",I36-F36)</f>
        <v/>
      </c>
      <c r="K36" t="inlineStr">
        <is>
          <t>W</t>
        </is>
      </c>
      <c r="L36" s="11">
        <f>IF(K36="W",IF(G36&lt;0,H36*100/ABS(G36),H36*G36/100),IF(K36="L",-H36,0))</f>
        <v/>
      </c>
      <c r="M36" s="11">
        <f>Settings!$B$4+SUM(L$2:L36)</f>
        <v/>
      </c>
    </row>
    <row r="37" ht="14.25" customHeight="1">
      <c r="A37" t="inlineStr">
        <is>
          <t>2026-09-19</t>
        </is>
      </c>
      <c r="B37" t="n">
        <v>3</v>
      </c>
      <c r="C37" t="inlineStr">
        <is>
          <t>Sacramento State @ North Dakota State</t>
        </is>
      </c>
      <c r="D37" t="inlineStr">
        <is>
          <t>Spread</t>
        </is>
      </c>
      <c r="E37" t="inlineStr">
        <is>
          <t>North Dakota State</t>
        </is>
      </c>
      <c r="F37" t="n">
        <v>-27.5</v>
      </c>
      <c r="G37" t="n">
        <v>-115</v>
      </c>
      <c r="H37" t="n">
        <v>2</v>
      </c>
      <c r="I37" t="n">
        <v>-27.5</v>
      </c>
      <c r="J37" s="6">
        <f>IF(I37="","",I37-F37)</f>
        <v/>
      </c>
      <c r="K37" t="inlineStr">
        <is>
          <t>L</t>
        </is>
      </c>
      <c r="L37" s="11">
        <f>IF(K37="W",IF(G37&lt;0,H37*100/ABS(G37),H37*G37/100),IF(K37="L",-H37,0))</f>
        <v/>
      </c>
      <c r="M37" s="11">
        <f>Settings!$B$4+SUM(L$2:L37)</f>
        <v/>
      </c>
    </row>
    <row r="38" ht="14.25" customHeight="1">
      <c r="A38" t="inlineStr">
        <is>
          <t>2026-09-19</t>
        </is>
      </c>
      <c r="B38" t="n">
        <v>3</v>
      </c>
      <c r="C38" t="inlineStr">
        <is>
          <t>SMU @ Louisville</t>
        </is>
      </c>
      <c r="D38" t="inlineStr">
        <is>
          <t>Moneyline</t>
        </is>
      </c>
      <c r="E38" t="inlineStr">
        <is>
          <t>SMU</t>
        </is>
      </c>
      <c r="G38" t="n">
        <v>134</v>
      </c>
      <c r="H38" t="n">
        <v>1</v>
      </c>
      <c r="J38" s="6">
        <f>IF(I38="","",I38-F38)</f>
        <v/>
      </c>
      <c r="K38" t="inlineStr">
        <is>
          <t>L</t>
        </is>
      </c>
      <c r="L38" s="11">
        <f>IF(K38="W",IF(G38&lt;0,H38*100/ABS(G38),H38*G38/100),IF(K38="L",-H38,0))</f>
        <v/>
      </c>
      <c r="M38" s="11">
        <f>Settings!$B$4+SUM(L$2:L38)</f>
        <v/>
      </c>
    </row>
    <row r="39" ht="14.25" customHeight="1">
      <c r="A39" t="inlineStr">
        <is>
          <t>2026-09-19</t>
        </is>
      </c>
      <c r="B39" t="n">
        <v>3</v>
      </c>
      <c r="C39" t="inlineStr">
        <is>
          <t>LSU @ Ole Miss</t>
        </is>
      </c>
      <c r="D39" t="inlineStr">
        <is>
          <t>Moneyline</t>
        </is>
      </c>
      <c r="E39" t="inlineStr">
        <is>
          <t>LSU</t>
        </is>
      </c>
      <c r="G39" t="n">
        <v>350</v>
      </c>
      <c r="H39" t="n">
        <v>36</v>
      </c>
      <c r="J39" s="6">
        <f>IF(I39="","",I39-F39)</f>
        <v/>
      </c>
      <c r="K39" t="inlineStr">
        <is>
          <t>L</t>
        </is>
      </c>
      <c r="L39" s="11">
        <f>IF(K39="W",IF(G39&lt;0,H39*100/ABS(G39),H39*G39/100),IF(K39="L",-H39,0))</f>
        <v/>
      </c>
      <c r="M39" s="11">
        <f>Settings!$B$4+SUM(L$2:L39)</f>
        <v/>
      </c>
    </row>
    <row r="40" ht="14.25" customHeight="1">
      <c r="A40" t="inlineStr">
        <is>
          <t>2026-09-19</t>
        </is>
      </c>
      <c r="B40" t="n">
        <v>3</v>
      </c>
      <c r="C40" t="inlineStr">
        <is>
          <t>Wyoming @ Central Michigan</t>
        </is>
      </c>
      <c r="D40" t="inlineStr">
        <is>
          <t>Spread</t>
        </is>
      </c>
      <c r="E40" t="inlineStr">
        <is>
          <t>Central Michigan</t>
        </is>
      </c>
      <c r="F40" t="n">
        <v>-1.5</v>
      </c>
      <c r="G40" t="n">
        <v>-114</v>
      </c>
      <c r="H40" t="n">
        <v>2.6</v>
      </c>
      <c r="I40" t="n">
        <v>-2.5</v>
      </c>
      <c r="J40" s="6">
        <f>IF(I40="","",I40-F40)</f>
        <v/>
      </c>
      <c r="K40" t="inlineStr">
        <is>
          <t>W</t>
        </is>
      </c>
      <c r="L40" s="11">
        <f>IF(K40="W",IF(G40&lt;0,H40*100/ABS(G40),H40*G40/100),IF(K40="L",-H40,0))</f>
        <v/>
      </c>
      <c r="M40" s="11">
        <f>Settings!$B$4+SUM(L$2:L40)</f>
        <v/>
      </c>
    </row>
    <row r="41" ht="14.25" customHeight="1">
      <c r="A41" t="inlineStr">
        <is>
          <t>2026-09-19</t>
        </is>
      </c>
      <c r="B41" t="n">
        <v>3</v>
      </c>
      <c r="C41" t="inlineStr">
        <is>
          <t>Coastal Carolina @ Delaware</t>
        </is>
      </c>
      <c r="D41" t="inlineStr">
        <is>
          <t>Spread</t>
        </is>
      </c>
      <c r="E41" t="inlineStr">
        <is>
          <t>Delaware</t>
        </is>
      </c>
      <c r="F41" t="n">
        <v>-4.5</v>
      </c>
      <c r="G41" t="n">
        <v>-118</v>
      </c>
      <c r="H41" t="n">
        <v>3.5</v>
      </c>
      <c r="I41" t="n">
        <v>-5.5</v>
      </c>
      <c r="J41" s="6">
        <f>IF(I41="","",I41-F41)</f>
        <v/>
      </c>
      <c r="K41" t="inlineStr">
        <is>
          <t>W</t>
        </is>
      </c>
      <c r="L41" s="11">
        <f>IF(K41="W",IF(G41&lt;0,H41*100/ABS(G41),H41*G41/100),IF(K41="L",-H41,0))</f>
        <v/>
      </c>
      <c r="M41" s="11">
        <f>Settings!$B$4+SUM(L$2:L41)</f>
        <v/>
      </c>
    </row>
    <row r="42">
      <c r="A42" t="inlineStr">
        <is>
          <t>2026-09-19</t>
        </is>
      </c>
      <c r="B42" t="n">
        <v>3</v>
      </c>
      <c r="C42" t="inlineStr">
        <is>
          <t>Houston @ Texas Tech</t>
        </is>
      </c>
      <c r="D42" t="inlineStr">
        <is>
          <t>Spread</t>
        </is>
      </c>
      <c r="E42" t="inlineStr">
        <is>
          <t>Texas Tech</t>
        </is>
      </c>
      <c r="F42" t="n">
        <v>-7.5</v>
      </c>
      <c r="G42" t="n">
        <v>-115</v>
      </c>
      <c r="H42" t="n">
        <v>1.5</v>
      </c>
      <c r="I42" t="n">
        <v>-7.5</v>
      </c>
      <c r="J42" s="6">
        <f>IF(I42="","",I42-F42)</f>
        <v/>
      </c>
      <c r="K42" t="inlineStr">
        <is>
          <t>L</t>
        </is>
      </c>
      <c r="L42" s="11">
        <f>IF(K42="W",IF(G42&lt;0,H42*100/ABS(G42),H42*G42/100),IF(K42="L",-H42,0))</f>
        <v/>
      </c>
      <c r="M42" s="11">
        <f>Settings!$B$4+SUM(L$2:L42)</f>
        <v/>
      </c>
    </row>
    <row r="43">
      <c r="A43" t="inlineStr">
        <is>
          <t>2026-09-19</t>
        </is>
      </c>
      <c r="B43" t="n">
        <v>3</v>
      </c>
      <c r="C43" t="inlineStr">
        <is>
          <t>Miami @ Wake Forest</t>
        </is>
      </c>
      <c r="D43" t="inlineStr">
        <is>
          <t>Spread</t>
        </is>
      </c>
      <c r="E43" t="inlineStr">
        <is>
          <t>Wake Forest</t>
        </is>
      </c>
      <c r="F43" t="n">
        <v>31.5</v>
      </c>
      <c r="G43" t="n">
        <v>-140</v>
      </c>
      <c r="H43" t="n">
        <v>2.5</v>
      </c>
      <c r="I43" t="n">
        <v>20.5</v>
      </c>
      <c r="J43" s="6">
        <f>IF(I43="","",I43-F43)</f>
        <v/>
      </c>
      <c r="K43" t="inlineStr">
        <is>
          <t>W</t>
        </is>
      </c>
      <c r="L43" s="11">
        <f>IF(K43="W",IF(G43&lt;0,H43*100/ABS(G43),H43*G43/100),IF(K43="L",-H43,0))</f>
        <v/>
      </c>
      <c r="M43" s="11">
        <f>Settings!$B$4+SUM(L$2:L43)</f>
        <v/>
      </c>
    </row>
    <row r="44" ht="14.25" customHeight="1">
      <c r="A44" t="inlineStr">
        <is>
          <t>2026-09-26</t>
        </is>
      </c>
      <c r="B44" t="n">
        <v>4</v>
      </c>
      <c r="C44" t="inlineStr">
        <is>
          <t>Clemson @ California</t>
        </is>
      </c>
      <c r="D44" t="inlineStr">
        <is>
          <t>Moneyline</t>
        </is>
      </c>
      <c r="E44" t="inlineStr">
        <is>
          <t>Clemson</t>
        </is>
      </c>
      <c r="F44" t="n">
        <v>-138</v>
      </c>
      <c r="G44" t="n">
        <v>-138</v>
      </c>
      <c r="H44" t="n">
        <v>2</v>
      </c>
      <c r="J44" s="6">
        <f>IF(I44="","",I44-F44)</f>
        <v/>
      </c>
      <c r="K44" t="inlineStr">
        <is>
          <t>W</t>
        </is>
      </c>
      <c r="L44" s="11">
        <f>IF(K44="W",IF(G44&lt;0,H44*100/ABS(G44),H44*G44/100),IF(K44="L",-H44,0))</f>
        <v/>
      </c>
      <c r="M44" s="11">
        <f>Settings!$B$4+SUM(L$2:L44)</f>
        <v/>
      </c>
    </row>
    <row r="45">
      <c r="A45" t="inlineStr">
        <is>
          <t>2026-09-26</t>
        </is>
      </c>
      <c r="B45" t="n">
        <v>4</v>
      </c>
      <c r="C45" t="inlineStr">
        <is>
          <t>UNLV @ Akron</t>
        </is>
      </c>
      <c r="D45" t="inlineStr">
        <is>
          <t>Spread</t>
        </is>
      </c>
      <c r="E45" t="inlineStr">
        <is>
          <t>Akron</t>
        </is>
      </c>
      <c r="F45" t="n">
        <v>13.5</v>
      </c>
      <c r="G45" t="n">
        <v>-110</v>
      </c>
      <c r="H45" t="n">
        <v>1.5</v>
      </c>
      <c r="I45" t="n">
        <v>13.5</v>
      </c>
      <c r="J45" s="12">
        <f>IF(I45="","",I45-F45)</f>
        <v/>
      </c>
      <c r="K45" t="inlineStr">
        <is>
          <t>L</t>
        </is>
      </c>
      <c r="L45" s="11">
        <f>IF(K45="W",IF(G45&lt;0,H45*100/ABS(G45),H45*G45/100),IF(K45="L",-H45,0))</f>
        <v/>
      </c>
      <c r="M45" s="11">
        <f>Settings!$B$4+SUM(L$2:L45)</f>
        <v/>
      </c>
    </row>
    <row r="46">
      <c r="A46" t="inlineStr">
        <is>
          <t>2026-09-26</t>
        </is>
      </c>
      <c r="B46" t="n">
        <v>4</v>
      </c>
      <c r="C46" t="inlineStr">
        <is>
          <t>New Mexico @ New Mexico State</t>
        </is>
      </c>
      <c r="D46" t="inlineStr">
        <is>
          <t>Spread</t>
        </is>
      </c>
      <c r="E46" t="inlineStr">
        <is>
          <t>New Mexico</t>
        </is>
      </c>
      <c r="F46" t="n">
        <v>-11.5</v>
      </c>
      <c r="G46" t="n">
        <v>-110</v>
      </c>
      <c r="H46" t="n">
        <v>1.5</v>
      </c>
      <c r="I46" t="n">
        <v>-11.5</v>
      </c>
      <c r="J46" s="12">
        <f>IF(I46="","",I46-F46)</f>
        <v/>
      </c>
      <c r="K46" t="inlineStr">
        <is>
          <t>W</t>
        </is>
      </c>
      <c r="L46" s="11">
        <f>IF(K46="W",IF(G46&lt;0,H46*100/ABS(G46),H46*G46/100),IF(K46="L",-H46,0))</f>
        <v/>
      </c>
      <c r="M46" s="11">
        <f>Settings!$B$4+SUM(L$2:L46)</f>
        <v/>
      </c>
    </row>
    <row r="47">
      <c r="A47" t="inlineStr">
        <is>
          <t>2026-09-26</t>
        </is>
      </c>
      <c r="B47" t="n">
        <v>4</v>
      </c>
      <c r="C47" t="inlineStr">
        <is>
          <t>Wake Forest @ Louisville</t>
        </is>
      </c>
      <c r="D47" t="inlineStr">
        <is>
          <t>Moneyline</t>
        </is>
      </c>
      <c r="E47" t="inlineStr">
        <is>
          <t>Louisville</t>
        </is>
      </c>
      <c r="G47" t="n">
        <v>-130</v>
      </c>
      <c r="H47" t="n">
        <v>1.5</v>
      </c>
      <c r="J47" s="12">
        <f>IF(I47="","",I47-F47)</f>
        <v/>
      </c>
      <c r="K47" t="inlineStr">
        <is>
          <t>L</t>
        </is>
      </c>
      <c r="L47" s="11">
        <f>IF(K47="W",IF(G47&lt;0,H47*100/ABS(G47),H47*G47/100),IF(K47="L",-H47,0))</f>
        <v/>
      </c>
      <c r="M47" s="11">
        <f>Settings!$B$4+SUM(L$2:L47)</f>
        <v/>
      </c>
    </row>
    <row r="48">
      <c r="A48" t="inlineStr">
        <is>
          <t>2026-09-26</t>
        </is>
      </c>
      <c r="B48" t="n">
        <v>4</v>
      </c>
      <c r="C48" t="inlineStr">
        <is>
          <t>Wake Forest @ Louisville</t>
        </is>
      </c>
      <c r="D48" t="inlineStr">
        <is>
          <t>Moneyline</t>
        </is>
      </c>
      <c r="E48" t="inlineStr">
        <is>
          <t>Louisville</t>
        </is>
      </c>
      <c r="G48" t="n">
        <v>100</v>
      </c>
      <c r="H48" t="n">
        <v>1</v>
      </c>
      <c r="J48" s="12">
        <f>IF(I48="","",I48-F48)</f>
        <v/>
      </c>
      <c r="K48" t="inlineStr">
        <is>
          <t>L</t>
        </is>
      </c>
      <c r="L48" s="11">
        <f>IF(K48="W",IF(G48&lt;0,H48*100/ABS(G48),H48*G48/100),IF(K48="L",-H48,0))</f>
        <v/>
      </c>
      <c r="M48" s="11">
        <f>Settings!$B$4+SUM(L$2:L48)</f>
        <v/>
      </c>
    </row>
    <row r="49">
      <c r="A49" t="inlineStr">
        <is>
          <t>2026-09-26</t>
        </is>
      </c>
      <c r="B49" t="n">
        <v>4</v>
      </c>
      <c r="C49" t="inlineStr">
        <is>
          <t>Iowa @ Michigan</t>
        </is>
      </c>
      <c r="D49" t="inlineStr">
        <is>
          <t>Spread</t>
        </is>
      </c>
      <c r="E49" t="inlineStr">
        <is>
          <t>Iowa</t>
        </is>
      </c>
      <c r="F49" t="n">
        <v>5.5</v>
      </c>
      <c r="G49" t="n">
        <v>-112</v>
      </c>
      <c r="H49" t="n">
        <v>1</v>
      </c>
      <c r="I49" t="n">
        <v>5.5</v>
      </c>
      <c r="J49" s="12">
        <f>IF(I49="","",I49-F49)</f>
        <v/>
      </c>
      <c r="K49" t="inlineStr">
        <is>
          <t>W</t>
        </is>
      </c>
      <c r="L49" s="11">
        <f>IF(K49="W",IF(G49&lt;0,H49*100/ABS(G49),H49*G49/100),IF(K49="L",-H49,0))</f>
        <v/>
      </c>
      <c r="M49" s="11">
        <f>Settings!$B$4+SUM(L$2:L49)</f>
        <v/>
      </c>
    </row>
    <row r="50">
      <c r="A50" t="inlineStr">
        <is>
          <t>2026-09-26</t>
        </is>
      </c>
      <c r="B50" t="n">
        <v>4</v>
      </c>
      <c r="C50" t="inlineStr">
        <is>
          <t>Oklahoma State @ West Virginia</t>
        </is>
      </c>
      <c r="D50" t="inlineStr">
        <is>
          <t>Spread</t>
        </is>
      </c>
      <c r="E50" t="inlineStr">
        <is>
          <t>West Virginia</t>
        </is>
      </c>
      <c r="F50" t="n">
        <v>-1.5</v>
      </c>
      <c r="G50" t="n">
        <v>-115</v>
      </c>
      <c r="H50" t="n">
        <v>1.15</v>
      </c>
      <c r="I50" t="n">
        <v>-1.5</v>
      </c>
      <c r="J50" s="12">
        <f>IF(I50="","",I50-F50)</f>
        <v/>
      </c>
      <c r="K50" t="inlineStr">
        <is>
          <t>L</t>
        </is>
      </c>
      <c r="L50" s="11">
        <f>IF(K50="W",IF(G50&lt;0,H50*100/ABS(G50),H50*G50/100),IF(K50="L",-H50,0))</f>
        <v/>
      </c>
      <c r="M50" s="11">
        <f>Settings!$B$4+SUM(L$2:L50)</f>
        <v/>
      </c>
    </row>
    <row r="51">
      <c r="A51" t="inlineStr">
        <is>
          <t>2026-09-26</t>
        </is>
      </c>
      <c r="B51" t="n">
        <v>4</v>
      </c>
      <c r="C51" t="inlineStr">
        <is>
          <t>Oregon @ USC</t>
        </is>
      </c>
      <c r="D51" t="inlineStr">
        <is>
          <t>Spread</t>
        </is>
      </c>
      <c r="E51" t="inlineStr">
        <is>
          <t>Oregon</t>
        </is>
      </c>
      <c r="F51" t="n">
        <v>-3.5</v>
      </c>
      <c r="G51" t="n">
        <v>-110</v>
      </c>
      <c r="H51" t="n">
        <v>1.1</v>
      </c>
      <c r="I51" t="n">
        <v>-3.5</v>
      </c>
      <c r="J51" s="12">
        <f>IF(I51="","",I51-F51)</f>
        <v/>
      </c>
      <c r="K51" t="inlineStr">
        <is>
          <t>W</t>
        </is>
      </c>
      <c r="L51" s="11">
        <f>IF(K51="W",IF(G51&lt;0,H51*100/ABS(G51),H51*G51/100),IF(K51="L",-H51,0))</f>
        <v/>
      </c>
      <c r="M51" s="11">
        <f>Settings!$B$4+SUM(L$2:L51)</f>
        <v/>
      </c>
    </row>
    <row r="52">
      <c r="A52" t="inlineStr">
        <is>
          <t>2026-09-26</t>
        </is>
      </c>
      <c r="B52" t="n">
        <v>4</v>
      </c>
      <c r="C52" t="inlineStr">
        <is>
          <t>Missouri @ Mississippi State</t>
        </is>
      </c>
      <c r="D52" t="inlineStr">
        <is>
          <t>Spread</t>
        </is>
      </c>
      <c r="E52" t="inlineStr">
        <is>
          <t>Mississippi State</t>
        </is>
      </c>
      <c r="F52" t="n">
        <v>-3.5</v>
      </c>
      <c r="G52" t="n">
        <v>118</v>
      </c>
      <c r="H52" t="n">
        <v>1</v>
      </c>
      <c r="I52" t="n">
        <v>-3.5</v>
      </c>
      <c r="J52" s="12">
        <f>IF(I52="","",I52-F52)</f>
        <v/>
      </c>
      <c r="K52" t="inlineStr">
        <is>
          <t>W</t>
        </is>
      </c>
      <c r="L52" s="11">
        <f>IF(K52="W",IF(G52&lt;0,H52*100/ABS(G52),H52*G52/100),IF(K52="L",-H52,0))</f>
        <v/>
      </c>
      <c r="M52" s="11">
        <f>Settings!$B$4+SUM(L$2:L52)</f>
        <v/>
      </c>
    </row>
    <row r="53">
      <c r="A53" t="inlineStr">
        <is>
          <t>2026-09-26</t>
        </is>
      </c>
      <c r="B53" t="n">
        <v>4</v>
      </c>
      <c r="C53" t="inlineStr">
        <is>
          <t>Georgia Tech @ Stanford</t>
        </is>
      </c>
      <c r="D53" t="inlineStr">
        <is>
          <t>Moneyline</t>
        </is>
      </c>
      <c r="E53" t="inlineStr">
        <is>
          <t>Georgia Tech</t>
        </is>
      </c>
      <c r="G53" t="n">
        <v>-150</v>
      </c>
      <c r="H53" t="n">
        <v>1.5</v>
      </c>
      <c r="J53" s="12">
        <f>IF(I53="","",I53-F53)</f>
        <v/>
      </c>
      <c r="K53" t="inlineStr">
        <is>
          <t>L</t>
        </is>
      </c>
      <c r="L53" s="11">
        <f>IF(K53="W",IF(G53&lt;0,H53*100/ABS(G53),H53*G53/100),IF(K53="L",-H53,0))</f>
        <v/>
      </c>
      <c r="M53" s="11">
        <f>Settings!$B$4+SUM(L$2:L53)</f>
        <v/>
      </c>
    </row>
    <row r="54">
      <c r="A54" t="inlineStr">
        <is>
          <t>2026-09-26</t>
        </is>
      </c>
      <c r="B54" t="n">
        <v>4</v>
      </c>
      <c r="C54" t="inlineStr">
        <is>
          <t>Minnesota @ Washington</t>
        </is>
      </c>
      <c r="D54" t="inlineStr">
        <is>
          <t>Spread</t>
        </is>
      </c>
      <c r="E54" t="inlineStr">
        <is>
          <t>Washington</t>
        </is>
      </c>
      <c r="F54" t="n">
        <v>-6.5</v>
      </c>
      <c r="G54" t="n">
        <v>-114</v>
      </c>
      <c r="H54" t="n">
        <v>1.1</v>
      </c>
      <c r="I54" t="n">
        <v>-12</v>
      </c>
      <c r="J54" s="12">
        <f>IF(I54="","",I54-F54)</f>
        <v/>
      </c>
      <c r="K54" t="inlineStr">
        <is>
          <t>L</t>
        </is>
      </c>
      <c r="L54" s="11">
        <f>IF(K54="W",IF(G54&lt;0,H54*100/ABS(G54),H54*G54/100),IF(K54="L",-H54,0))</f>
        <v/>
      </c>
      <c r="M54" s="11">
        <f>Settings!$B$4+SUM(L$2:L54)</f>
        <v/>
      </c>
    </row>
    <row r="55">
      <c r="A55" t="inlineStr">
        <is>
          <t>2026-09-26</t>
        </is>
      </c>
      <c r="B55" t="n">
        <v>4</v>
      </c>
      <c r="C55" t="inlineStr">
        <is>
          <t>Minnesota @ Washington</t>
        </is>
      </c>
      <c r="D55" t="inlineStr">
        <is>
          <t>Spread</t>
        </is>
      </c>
      <c r="E55" t="inlineStr">
        <is>
          <t>Washington</t>
        </is>
      </c>
      <c r="F55" t="n">
        <v>-4.5</v>
      </c>
      <c r="G55" t="n">
        <v>-108</v>
      </c>
      <c r="H55" t="n">
        <v>1</v>
      </c>
      <c r="I55" t="n">
        <v>-12</v>
      </c>
      <c r="J55" s="12">
        <f>IF(I55="","",I55-F55)</f>
        <v/>
      </c>
      <c r="K55" t="inlineStr">
        <is>
          <t>L</t>
        </is>
      </c>
      <c r="L55" s="11">
        <f>IF(K55="W",IF(G55&lt;0,H55*100/ABS(G55),H55*G55/100),IF(K55="L",-H55,0))</f>
        <v/>
      </c>
      <c r="M55" s="11">
        <f>Settings!$B$4+SUM(L$2:L55)</f>
        <v/>
      </c>
    </row>
    <row r="56">
      <c r="A56" t="inlineStr">
        <is>
          <t>2026-10-03</t>
        </is>
      </c>
      <c r="B56" t="n">
        <v>5</v>
      </c>
      <c r="C56" t="inlineStr">
        <is>
          <t>Navy @ Air Force</t>
        </is>
      </c>
      <c r="D56" t="inlineStr">
        <is>
          <t>Spread</t>
        </is>
      </c>
      <c r="E56" t="inlineStr">
        <is>
          <t>Navy</t>
        </is>
      </c>
      <c r="F56" t="n">
        <v>2.5</v>
      </c>
      <c r="G56" t="n">
        <v>-104</v>
      </c>
      <c r="H56" t="n">
        <v>1</v>
      </c>
      <c r="I56" t="n">
        <v>3</v>
      </c>
      <c r="J56" s="12" t="n">
        <v>3.5</v>
      </c>
      <c r="K56" t="inlineStr">
        <is>
          <t>L</t>
        </is>
      </c>
      <c r="L56" s="11">
        <f>IF(K56="W",IF(G56&lt;0,H56*100/ABS(G56),H56*G56/100),IF(K56="L",-H56,0))</f>
        <v/>
      </c>
      <c r="M56" s="11">
        <f>Settings!$B$4+SUM(L$2:L56)</f>
        <v/>
      </c>
    </row>
    <row r="57">
      <c r="A57" t="inlineStr">
        <is>
          <t>2026-10-03</t>
        </is>
      </c>
      <c r="B57" t="n">
        <v>5</v>
      </c>
      <c r="C57" t="inlineStr">
        <is>
          <t>Navy @ Air Force</t>
        </is>
      </c>
      <c r="D57" t="inlineStr">
        <is>
          <t>Moneyline</t>
        </is>
      </c>
      <c r="E57" t="inlineStr">
        <is>
          <t>Navy</t>
        </is>
      </c>
      <c r="G57" t="n">
        <v>116</v>
      </c>
      <c r="H57" t="n">
        <v>1</v>
      </c>
      <c r="J57" s="12">
        <f>IF(I57="","",I57-F57)</f>
        <v/>
      </c>
      <c r="K57" t="inlineStr">
        <is>
          <t>L</t>
        </is>
      </c>
      <c r="L57" s="11">
        <f>IF(K57="W",IF(G57&lt;0,H57*100/ABS(G57),H57*G57/100),IF(K57="L",-H57,0))</f>
        <v/>
      </c>
      <c r="M57" s="11">
        <f>Settings!$B$4+SUM(L$2:L57)</f>
        <v/>
      </c>
    </row>
    <row r="58">
      <c r="A58" t="inlineStr">
        <is>
          <t>2026-10-03</t>
        </is>
      </c>
      <c r="B58" t="n">
        <v>5</v>
      </c>
      <c r="C58" t="inlineStr">
        <is>
          <t>Wyoming @ North Dakota State</t>
        </is>
      </c>
      <c r="D58" t="inlineStr">
        <is>
          <t>Spread</t>
        </is>
      </c>
      <c r="E58" t="inlineStr">
        <is>
          <t>North Dakota State</t>
        </is>
      </c>
      <c r="F58" t="n">
        <v>-19.5</v>
      </c>
      <c r="G58" t="n">
        <v>-115</v>
      </c>
      <c r="H58" t="n">
        <v>1</v>
      </c>
      <c r="I58" t="n">
        <v>-17</v>
      </c>
      <c r="J58" s="12" t="n">
        <v>-26.5</v>
      </c>
      <c r="K58" t="inlineStr">
        <is>
          <t>W</t>
        </is>
      </c>
      <c r="L58" s="11">
        <f>IF(K58="W",IF(G58&lt;0,H58*100/ABS(G58),H58*G58/100),IF(K58="L",-H58,0))</f>
        <v/>
      </c>
      <c r="M58" s="11">
        <f>Settings!$B$4+SUM(L$2:L58)</f>
        <v/>
      </c>
    </row>
    <row r="59">
      <c r="A59" t="inlineStr">
        <is>
          <t>2026-10-03</t>
        </is>
      </c>
      <c r="B59" t="n">
        <v>5</v>
      </c>
      <c r="C59" t="inlineStr">
        <is>
          <t>UTEP @ New Mexico</t>
        </is>
      </c>
      <c r="D59" t="inlineStr">
        <is>
          <t>Spread</t>
        </is>
      </c>
      <c r="E59" t="inlineStr">
        <is>
          <t>New Mexico</t>
        </is>
      </c>
      <c r="F59" t="n">
        <v>-22.5</v>
      </c>
      <c r="G59" t="n">
        <v>-110</v>
      </c>
      <c r="H59" t="n">
        <v>1</v>
      </c>
      <c r="I59" t="n">
        <v>-23</v>
      </c>
      <c r="J59" s="12" t="n">
        <v>-34.5</v>
      </c>
      <c r="K59" t="inlineStr">
        <is>
          <t>W</t>
        </is>
      </c>
      <c r="L59" s="11">
        <f>IF(K59="W",IF(G59&lt;0,H59*100/ABS(G59),H59*G59/100),IF(K59="L",-H59,0))</f>
        <v/>
      </c>
      <c r="M59" s="11">
        <f>Settings!$B$4+SUM(L$2:L59)</f>
        <v/>
      </c>
    </row>
    <row r="60">
      <c r="A60" t="inlineStr">
        <is>
          <t>2026-10-03</t>
        </is>
      </c>
      <c r="B60" t="n">
        <v>5</v>
      </c>
      <c r="C60" t="inlineStr">
        <is>
          <t>Liberty @ Delaware</t>
        </is>
      </c>
      <c r="D60" t="inlineStr">
        <is>
          <t>Spread</t>
        </is>
      </c>
      <c r="E60" t="inlineStr">
        <is>
          <t>Delaware</t>
        </is>
      </c>
      <c r="F60" t="n">
        <v>6.5</v>
      </c>
      <c r="G60" t="n">
        <v>-110</v>
      </c>
      <c r="H60" t="n">
        <v>1</v>
      </c>
      <c r="I60" t="n">
        <v>7</v>
      </c>
      <c r="J60" s="12" t="n">
        <v>7.5</v>
      </c>
      <c r="K60" t="inlineStr">
        <is>
          <t>L</t>
        </is>
      </c>
      <c r="L60" s="11">
        <f>IF(K60="W",IF(G60&lt;0,H60*100/ABS(G60),H60*G60/100),IF(K60="L",-H60,0))</f>
        <v/>
      </c>
      <c r="M60" s="11">
        <f>Settings!$B$4+SUM(L$2:L60)</f>
        <v/>
      </c>
    </row>
    <row r="61">
      <c r="A61" t="inlineStr">
        <is>
          <t>2026-10-03</t>
        </is>
      </c>
      <c r="B61" t="n">
        <v>5</v>
      </c>
      <c r="C61" t="inlineStr">
        <is>
          <t>Alabama @ Mississippi State</t>
        </is>
      </c>
      <c r="D61" t="inlineStr">
        <is>
          <t>Spread</t>
        </is>
      </c>
      <c r="E61" t="inlineStr">
        <is>
          <t>Alabama</t>
        </is>
      </c>
      <c r="F61" t="n">
        <v>-5.5</v>
      </c>
      <c r="G61" t="n">
        <v>-110</v>
      </c>
      <c r="H61" t="n">
        <v>1</v>
      </c>
      <c r="I61" t="n">
        <v>-5.5</v>
      </c>
      <c r="J61" s="12" t="n">
        <v>-6</v>
      </c>
      <c r="K61" t="inlineStr">
        <is>
          <t>W</t>
        </is>
      </c>
      <c r="L61" s="11">
        <f>IF(K61="W",IF(G61&lt;0,H61*100/ABS(G61),H61*G61/100),IF(K61="L",-H61,0))</f>
        <v/>
      </c>
      <c r="M61" s="11">
        <f>Settings!$B$4+SUM(L$2:L61)</f>
        <v/>
      </c>
    </row>
    <row r="62">
      <c r="A62" s="13" t="inlineStr">
        <is>
          <t>2026-10-03</t>
        </is>
      </c>
      <c r="B62" t="n">
        <v>5</v>
      </c>
      <c r="C62" t="inlineStr">
        <is>
          <t>Marshall @ James Madison</t>
        </is>
      </c>
      <c r="D62" t="inlineStr">
        <is>
          <t>Spread</t>
        </is>
      </c>
      <c r="E62" t="inlineStr">
        <is>
          <t>James Madison</t>
        </is>
      </c>
      <c r="F62" t="n">
        <v>-18.5</v>
      </c>
      <c r="G62" t="n">
        <v>-115</v>
      </c>
      <c r="H62" t="n">
        <v>1</v>
      </c>
      <c r="I62" t="n">
        <v>-16</v>
      </c>
      <c r="J62" s="12" t="n">
        <v>-19.5</v>
      </c>
      <c r="K62" t="inlineStr">
        <is>
          <t>W</t>
        </is>
      </c>
      <c r="L62" s="11">
        <f>IF(K62="W",IF(G62&lt;0,H62*100/ABS(G62),H62*G62/100),IF(K62="L",-H62,0))</f>
        <v/>
      </c>
      <c r="M62" s="11">
        <f>Settings!$B$4+SUM(L$2:L62)</f>
        <v/>
      </c>
    </row>
    <row r="63">
      <c r="A63" t="inlineStr">
        <is>
          <t>2026-10-02</t>
        </is>
      </c>
      <c r="B63" t="n">
        <v>5</v>
      </c>
      <c r="C63" t="inlineStr">
        <is>
          <t>Pittsburgh @ Virginia Tech</t>
        </is>
      </c>
      <c r="D63" t="inlineStr">
        <is>
          <t>Moneyline</t>
        </is>
      </c>
      <c r="E63" t="inlineStr">
        <is>
          <t>Pittsburgh</t>
        </is>
      </c>
      <c r="G63" t="n">
        <v>116</v>
      </c>
      <c r="H63" t="n">
        <v>2</v>
      </c>
      <c r="J63" s="12">
        <f>IF(I63="","",I63-F63)</f>
        <v/>
      </c>
      <c r="K63" t="inlineStr">
        <is>
          <t>W</t>
        </is>
      </c>
      <c r="L63" s="11">
        <f>IF(K63="W",IF(G63&lt;0,H63*100/ABS(G63),H63*G63/100),IF(K63="L",-H63,0))</f>
        <v/>
      </c>
      <c r="M63" s="11">
        <f>Settings!$B$4+SUM(L$2:L63)</f>
        <v/>
      </c>
    </row>
    <row r="64">
      <c r="A64" s="13" t="inlineStr">
        <is>
          <t>2026-10-03</t>
        </is>
      </c>
      <c r="B64" t="n">
        <v>5</v>
      </c>
      <c r="C64" t="inlineStr">
        <is>
          <t>West Virginia @ Iowa State</t>
        </is>
      </c>
      <c r="D64" t="inlineStr">
        <is>
          <t>Moneyline</t>
        </is>
      </c>
      <c r="E64" t="inlineStr">
        <is>
          <t>Iowa State</t>
        </is>
      </c>
      <c r="G64" t="n">
        <v>-120</v>
      </c>
      <c r="H64" t="n">
        <v>1</v>
      </c>
      <c r="J64" s="12">
        <f>IF(I64="","",I64-F64)</f>
        <v/>
      </c>
      <c r="K64" t="inlineStr">
        <is>
          <t>W</t>
        </is>
      </c>
      <c r="L64" s="11">
        <f>IF(K64="W",IF(G64&lt;0,H64*100/ABS(G64),H64*G64/100),IF(K64="L",-H64,0))</f>
        <v/>
      </c>
      <c r="M64" s="11">
        <f>Settings!$B$4+SUM(L$2:L64)</f>
        <v/>
      </c>
    </row>
    <row r="65">
      <c r="A65" s="13" t="inlineStr">
        <is>
          <t>2026-10-03</t>
        </is>
      </c>
      <c r="B65" t="n">
        <v>5</v>
      </c>
      <c r="C65" t="inlineStr">
        <is>
          <t>Auburn @ Tennessee</t>
        </is>
      </c>
      <c r="D65" t="inlineStr">
        <is>
          <t>Spread</t>
        </is>
      </c>
      <c r="E65" t="inlineStr">
        <is>
          <t>Tennessee</t>
        </is>
      </c>
      <c r="F65" t="n">
        <v>-2.5</v>
      </c>
      <c r="G65" t="n">
        <v>125</v>
      </c>
      <c r="H65" t="n">
        <v>1</v>
      </c>
      <c r="I65" t="n">
        <v>-6</v>
      </c>
      <c r="J65" s="12">
        <f>IF(I65="","",I65-F65)</f>
        <v/>
      </c>
      <c r="K65" t="inlineStr">
        <is>
          <t>W</t>
        </is>
      </c>
      <c r="L65" s="11">
        <f>IF(K65="W",IF(G65&lt;0,H65*100/ABS(G65),H65*G65/100),IF(K65="L",-H65,0))</f>
        <v/>
      </c>
      <c r="M65" s="11">
        <f>Settings!$B$4+SUM(L$2:L65)</f>
        <v/>
      </c>
    </row>
    <row r="66">
      <c r="A66" t="inlineStr">
        <is>
          <t>2026-10-02</t>
        </is>
      </c>
      <c r="B66" t="n">
        <v>5</v>
      </c>
      <c r="C66" t="inlineStr">
        <is>
          <t>Liberty @ Delaware</t>
        </is>
      </c>
      <c r="D66" t="inlineStr">
        <is>
          <t>Spread</t>
        </is>
      </c>
      <c r="E66" t="inlineStr">
        <is>
          <t>Delaware</t>
        </is>
      </c>
      <c r="F66" t="n">
        <v>7.5</v>
      </c>
      <c r="G66" t="n">
        <v>-122</v>
      </c>
      <c r="H66" t="n">
        <v>1</v>
      </c>
      <c r="I66" t="n">
        <v>7</v>
      </c>
      <c r="J66" s="12">
        <f>IF(I66="","",I66-F66)</f>
        <v/>
      </c>
      <c r="K66" t="inlineStr">
        <is>
          <t>L</t>
        </is>
      </c>
      <c r="L66" s="11">
        <f>IF(K66="W",IF(G66&lt;0,H66*100/ABS(G66),H66*G66/100),IF(K66="L",-H66,0))</f>
        <v/>
      </c>
      <c r="M66" s="11">
        <f>Settings!$B$4+SUM(L$2:L66)</f>
        <v/>
      </c>
    </row>
    <row r="67">
      <c r="A67" s="13" t="inlineStr">
        <is>
          <t>2026-10-03</t>
        </is>
      </c>
      <c r="B67" t="n">
        <v>5</v>
      </c>
      <c r="C67" t="inlineStr">
        <is>
          <t>BYU @ TCU</t>
        </is>
      </c>
      <c r="D67" t="inlineStr">
        <is>
          <t>Spread</t>
        </is>
      </c>
      <c r="E67" t="inlineStr">
        <is>
          <t>TCU</t>
        </is>
      </c>
      <c r="F67" t="n">
        <v>5.5</v>
      </c>
      <c r="G67" t="n">
        <v>-112</v>
      </c>
      <c r="H67" t="n">
        <v>1</v>
      </c>
      <c r="I67" t="n">
        <v>6</v>
      </c>
      <c r="J67" s="12">
        <f>IF(I67="","",I67-F67)</f>
        <v/>
      </c>
      <c r="K67" t="inlineStr">
        <is>
          <t>L</t>
        </is>
      </c>
      <c r="L67" s="11">
        <f>IF(K67="W",IF(G67&lt;0,H67*100/ABS(G67),H67*G67/100),IF(K67="L",-H67,0))</f>
        <v/>
      </c>
      <c r="M67" s="11">
        <f>Settings!$B$4+SUM(L$2:L67)</f>
        <v/>
      </c>
    </row>
    <row r="68">
      <c r="A68" s="13" t="inlineStr">
        <is>
          <t>2026-10-03</t>
        </is>
      </c>
      <c r="B68" t="n">
        <v>5</v>
      </c>
      <c r="C68" t="inlineStr">
        <is>
          <t>Washington @ USC</t>
        </is>
      </c>
      <c r="D68" t="inlineStr">
        <is>
          <t>Moneyline</t>
        </is>
      </c>
      <c r="E68" t="inlineStr">
        <is>
          <t>USC</t>
        </is>
      </c>
      <c r="G68" t="n">
        <v>126</v>
      </c>
      <c r="H68" t="n">
        <v>1.79</v>
      </c>
      <c r="J68" s="12">
        <f>IF(I68="","",I68-F68)</f>
        <v/>
      </c>
      <c r="K68" t="inlineStr">
        <is>
          <t>W</t>
        </is>
      </c>
      <c r="L68" s="11">
        <f>IF(K68="W",IF(G68&lt;0,H68*100/ABS(G68),H68*G68/100),IF(K68="L",-H68,0))</f>
        <v/>
      </c>
      <c r="M68" s="11">
        <f>Settings!$B$4+SUM(L$2:L68)</f>
        <v/>
      </c>
    </row>
    <row r="69">
      <c r="A69" t="inlineStr">
        <is>
          <t>2026-10-08</t>
        </is>
      </c>
      <c r="B69" t="n">
        <v>6</v>
      </c>
      <c r="C69" t="inlineStr">
        <is>
          <t>Sam Houston @ Liberty</t>
        </is>
      </c>
      <c r="D69" t="inlineStr">
        <is>
          <t>Spread</t>
        </is>
      </c>
      <c r="E69" t="inlineStr">
        <is>
          <t>Liberty</t>
        </is>
      </c>
      <c r="F69" t="n">
        <v>-13.5</v>
      </c>
      <c r="G69" t="n">
        <v>-110</v>
      </c>
      <c r="H69" t="n">
        <v>1</v>
      </c>
      <c r="I69" t="n">
        <v>-13.5</v>
      </c>
      <c r="J69" s="12">
        <f>IF(I69="","",I69-F69)</f>
        <v/>
      </c>
      <c r="K69" t="inlineStr">
        <is>
          <t>W</t>
        </is>
      </c>
      <c r="L69" s="11">
        <f>IF(K69="W",IF(G69&lt;0,H69*100/ABS(G69),H69*G69/100),IF(K69="L",-H69,0))</f>
        <v/>
      </c>
      <c r="M69" s="11">
        <f>Settings!$B$4+SUM(L$2:L69)</f>
        <v/>
      </c>
    </row>
    <row r="70">
      <c r="A70" t="inlineStr">
        <is>
          <t>2026-10-10</t>
        </is>
      </c>
      <c r="B70" t="n">
        <v>6</v>
      </c>
      <c r="C70" t="inlineStr">
        <is>
          <t>Virginia Tech @ California</t>
        </is>
      </c>
      <c r="D70" t="inlineStr">
        <is>
          <t>Spread</t>
        </is>
      </c>
      <c r="E70" t="inlineStr">
        <is>
          <t>California</t>
        </is>
      </c>
      <c r="F70" t="n">
        <v>9.5</v>
      </c>
      <c r="G70" t="n">
        <v>-105</v>
      </c>
      <c r="H70" t="n">
        <v>1</v>
      </c>
      <c r="I70" t="n">
        <v>11</v>
      </c>
      <c r="J70" s="12">
        <f>IF(I70="","",I70-F70)</f>
        <v/>
      </c>
      <c r="K70" t="inlineStr">
        <is>
          <t>W</t>
        </is>
      </c>
      <c r="L70" s="11">
        <f>IF(K70="W",IF(G70&lt;0,H70*100/ABS(G70),H70*G70/100),IF(K70="L",-H70,0))</f>
        <v/>
      </c>
      <c r="M70" s="11">
        <f>Settings!$B$4+SUM(L$2:L70)</f>
        <v/>
      </c>
    </row>
    <row r="71">
      <c r="A71" t="inlineStr">
        <is>
          <t>2026-10-10</t>
        </is>
      </c>
      <c r="B71" t="n">
        <v>6</v>
      </c>
      <c r="C71" t="inlineStr">
        <is>
          <t>UCLA @ Oregon</t>
        </is>
      </c>
      <c r="D71" t="inlineStr">
        <is>
          <t>Spread</t>
        </is>
      </c>
      <c r="E71" t="inlineStr">
        <is>
          <t>Oregon</t>
        </is>
      </c>
      <c r="F71" t="n">
        <v>-11.5</v>
      </c>
      <c r="G71" t="n">
        <v>-110</v>
      </c>
      <c r="H71" t="n">
        <v>1</v>
      </c>
      <c r="I71" t="n">
        <v>-10</v>
      </c>
      <c r="J71" s="12">
        <f>IF(I71="","",I71-F71)</f>
        <v/>
      </c>
      <c r="K71" t="inlineStr">
        <is>
          <t>L</t>
        </is>
      </c>
      <c r="L71" s="11">
        <f>IF(K71="W",IF(G71&lt;0,H71*100/ABS(G71),H71*G71/100),IF(K71="L",-H71,0))</f>
        <v/>
      </c>
      <c r="M71" s="11">
        <f>Settings!$B$4+SUM(L$2:L71)</f>
        <v/>
      </c>
    </row>
    <row r="72">
      <c r="A72" t="inlineStr">
        <is>
          <t>2026-10-10</t>
        </is>
      </c>
      <c r="B72" t="n">
        <v>6</v>
      </c>
      <c r="C72" t="inlineStr">
        <is>
          <t>North Dakota State @ UNLV</t>
        </is>
      </c>
      <c r="D72" t="inlineStr">
        <is>
          <t>Spread</t>
        </is>
      </c>
      <c r="E72" t="inlineStr">
        <is>
          <t>North Dakota State</t>
        </is>
      </c>
      <c r="F72" t="n">
        <v>-3.5</v>
      </c>
      <c r="G72" t="n">
        <v>-102</v>
      </c>
      <c r="H72" t="n">
        <v>1</v>
      </c>
      <c r="I72" t="n">
        <v>-3</v>
      </c>
      <c r="J72" s="12">
        <f>IF(I72="","",I72-F72)</f>
        <v/>
      </c>
      <c r="K72" t="inlineStr">
        <is>
          <t>L</t>
        </is>
      </c>
      <c r="L72" s="11">
        <f>IF(K72="W",IF(G72&lt;0,H72*100/ABS(G72),H72*G72/100),IF(K72="L",-H72,0))</f>
        <v/>
      </c>
      <c r="M72" s="11">
        <f>Settings!$B$4+SUM(L$2:L72)</f>
        <v/>
      </c>
    </row>
    <row r="73">
      <c r="A73" t="inlineStr">
        <is>
          <t>2026-10-10</t>
        </is>
      </c>
      <c r="B73" t="n">
        <v>6</v>
      </c>
      <c r="C73" t="inlineStr">
        <is>
          <t>Syracuse @ Virginia</t>
        </is>
      </c>
      <c r="D73" t="inlineStr">
        <is>
          <t>Spread</t>
        </is>
      </c>
      <c r="E73" t="inlineStr">
        <is>
          <t>Virginia</t>
        </is>
      </c>
      <c r="F73" t="n">
        <v>-8.5</v>
      </c>
      <c r="G73" t="n">
        <v>-110</v>
      </c>
      <c r="H73" t="n">
        <v>1</v>
      </c>
      <c r="I73" t="n">
        <v>-14</v>
      </c>
      <c r="J73" s="12">
        <f>IF(I73="","",I73-F73)</f>
        <v/>
      </c>
      <c r="K73" t="inlineStr">
        <is>
          <t>L</t>
        </is>
      </c>
      <c r="L73" s="11">
        <f>IF(K73="W",IF(G73&lt;0,H73*100/ABS(G73),H73*G73/100),IF(K73="L",-H73,0))</f>
        <v/>
      </c>
      <c r="M73" s="11">
        <f>Settings!$B$4+SUM(L$2:L73)</f>
        <v/>
      </c>
    </row>
    <row r="74">
      <c r="A74" t="inlineStr">
        <is>
          <t>2026-10-10</t>
        </is>
      </c>
      <c r="B74" t="n">
        <v>6</v>
      </c>
      <c r="C74" t="inlineStr">
        <is>
          <t>Air Force @ Northern Illinois</t>
        </is>
      </c>
      <c r="D74" t="inlineStr">
        <is>
          <t>Spread</t>
        </is>
      </c>
      <c r="E74" t="inlineStr">
        <is>
          <t>Air Force</t>
        </is>
      </c>
      <c r="F74" t="n">
        <v>-8.5</v>
      </c>
      <c r="G74" t="n">
        <v>-105</v>
      </c>
      <c r="H74" t="n">
        <v>1</v>
      </c>
      <c r="I74" t="n">
        <v>-7</v>
      </c>
      <c r="J74" s="12">
        <f>IF(I74="","",I74-F74)</f>
        <v/>
      </c>
      <c r="K74" t="inlineStr">
        <is>
          <t>W</t>
        </is>
      </c>
      <c r="L74" s="11">
        <f>IF(K74="W",IF(G74&lt;0,H74*100/ABS(G74),H74*G74/100),IF(K74="L",-H74,0))</f>
        <v/>
      </c>
      <c r="M74" s="11">
        <f>Settings!$B$4+SUM(L$2:L74)</f>
        <v/>
      </c>
    </row>
    <row r="75">
      <c r="A75" t="inlineStr">
        <is>
          <t>2026-10-10</t>
        </is>
      </c>
      <c r="B75" t="n">
        <v>6</v>
      </c>
      <c r="C75" t="inlineStr">
        <is>
          <t>James Madison @ Georgia Southern</t>
        </is>
      </c>
      <c r="D75" t="inlineStr">
        <is>
          <t>Spread</t>
        </is>
      </c>
      <c r="E75" t="inlineStr">
        <is>
          <t>James Madison</t>
        </is>
      </c>
      <c r="F75" t="n">
        <v>-7.5</v>
      </c>
      <c r="G75" t="n">
        <v>-105</v>
      </c>
      <c r="H75" t="n">
        <v>1</v>
      </c>
      <c r="I75" t="n">
        <v>-7</v>
      </c>
      <c r="J75" s="12">
        <f>IF(I75="","",I75-F75)</f>
        <v/>
      </c>
      <c r="K75" t="inlineStr">
        <is>
          <t>L</t>
        </is>
      </c>
      <c r="L75" s="11">
        <f>IF(K75="W",IF(G75&lt;0,H75*100/ABS(G75),H75*G75/100),IF(K75="L",-H75,0))</f>
        <v/>
      </c>
      <c r="M75" s="11">
        <f>Settings!$B$4+SUM(L$2:L75)</f>
        <v/>
      </c>
    </row>
    <row r="76">
      <c r="A76" t="inlineStr">
        <is>
          <t>2026-10-10</t>
        </is>
      </c>
      <c r="B76" t="n">
        <v>6</v>
      </c>
      <c r="C76" t="inlineStr">
        <is>
          <t>Sam Houston @ Liberty</t>
        </is>
      </c>
      <c r="D76" t="inlineStr">
        <is>
          <t>Other</t>
        </is>
      </c>
      <c r="E76" t="inlineStr">
        <is>
          <t>Liberty, California, Oregon, NDSU, UVA, Airforce, JMU Spreads</t>
        </is>
      </c>
      <c r="G76" t="n">
        <v>10154</v>
      </c>
      <c r="H76" t="n">
        <v>1</v>
      </c>
      <c r="J76" s="12">
        <f>IF(I76="","",I76-F76)</f>
        <v/>
      </c>
      <c r="K76" t="inlineStr">
        <is>
          <t>L</t>
        </is>
      </c>
      <c r="L76" s="11">
        <f>IF(K76="W",IF(G76&lt;0,H76*100/ABS(G76),H76*G76/100),IF(K76="L",-H76,0))</f>
        <v/>
      </c>
      <c r="M76" s="11">
        <f>Settings!$B$4+SUM(L$2:L76)</f>
        <v/>
      </c>
    </row>
    <row r="77">
      <c r="A77" t="inlineStr">
        <is>
          <t>2026-10-10</t>
        </is>
      </c>
      <c r="B77" t="n">
        <v>6</v>
      </c>
      <c r="C77" t="inlineStr">
        <is>
          <t>Georgia @ Alabama</t>
        </is>
      </c>
      <c r="D77" t="inlineStr">
        <is>
          <t>Moneyline</t>
        </is>
      </c>
      <c r="E77" t="inlineStr">
        <is>
          <t>Alabama</t>
        </is>
      </c>
      <c r="G77" t="n">
        <v>118</v>
      </c>
      <c r="H77" t="n">
        <v>10</v>
      </c>
      <c r="J77" s="12">
        <f>IF(I77="","",I77-F77)</f>
        <v/>
      </c>
      <c r="K77" t="inlineStr">
        <is>
          <t>L</t>
        </is>
      </c>
      <c r="L77" s="11">
        <f>IF(K77="W",IF(G77&lt;0,H77*100/ABS(G77),H77*G77/100),IF(K77="L",-H77,0))</f>
        <v/>
      </c>
      <c r="M77" s="11">
        <f>Settings!$B$4+SUM(L$2:L77)</f>
        <v/>
      </c>
    </row>
    <row r="78">
      <c r="A78" t="inlineStr">
        <is>
          <t>2026-10-17</t>
        </is>
      </c>
      <c r="B78" t="n">
        <v>7</v>
      </c>
      <c r="C78" t="inlineStr">
        <is>
          <t>Pittsburgh @ Boston College</t>
        </is>
      </c>
      <c r="D78" t="inlineStr">
        <is>
          <t>Spread</t>
        </is>
      </c>
      <c r="E78" t="inlineStr">
        <is>
          <t>Pittsburgh</t>
        </is>
      </c>
      <c r="F78" t="n">
        <v>-6.5</v>
      </c>
      <c r="G78" t="n">
        <v>-105</v>
      </c>
      <c r="H78" t="n">
        <v>1</v>
      </c>
      <c r="I78" t="n">
        <v>-6.5</v>
      </c>
      <c r="J78" s="12">
        <f>IF(I78="","",I78-F78)</f>
        <v/>
      </c>
      <c r="K78" t="inlineStr">
        <is>
          <t>L</t>
        </is>
      </c>
      <c r="L78" s="11">
        <f>IF(K78="W",IF(G78&lt;0,H78*100/ABS(G78),H78*G78/100),IF(K78="L",-H78,0))</f>
        <v/>
      </c>
      <c r="M78" s="11">
        <f>Settings!$B$4+SUM(L$2:L78)</f>
        <v/>
      </c>
    </row>
    <row r="79">
      <c r="A79" t="inlineStr">
        <is>
          <t>2026-10-17</t>
        </is>
      </c>
      <c r="B79" t="n">
        <v>7</v>
      </c>
      <c r="C79" t="inlineStr">
        <is>
          <t>North Carolina @ Duke</t>
        </is>
      </c>
      <c r="D79" t="inlineStr">
        <is>
          <t>Spread</t>
        </is>
      </c>
      <c r="E79" t="inlineStr">
        <is>
          <t>Duke</t>
        </is>
      </c>
      <c r="F79" t="n">
        <v>-3.5</v>
      </c>
      <c r="G79" t="n">
        <v>100</v>
      </c>
      <c r="H79" t="n">
        <v>1</v>
      </c>
      <c r="I79" t="n">
        <v>-3</v>
      </c>
      <c r="J79" s="12">
        <f>IF(I79="","",I79-F79)</f>
        <v/>
      </c>
      <c r="K79" t="inlineStr">
        <is>
          <t>L</t>
        </is>
      </c>
      <c r="L79" s="11">
        <f>IF(K79="W",IF(G79&lt;0,H79*100/ABS(G79),H79*G79/100),IF(K79="L",-H79,0))</f>
        <v/>
      </c>
      <c r="M79" s="11">
        <f>Settings!$B$4+SUM(L$2:L79)</f>
        <v/>
      </c>
    </row>
    <row r="80">
      <c r="A80" t="inlineStr">
        <is>
          <t>2026-10-17</t>
        </is>
      </c>
      <c r="B80" t="n">
        <v>7</v>
      </c>
      <c r="C80" t="inlineStr">
        <is>
          <t>New Mexico @ Hawaii</t>
        </is>
      </c>
      <c r="D80" t="inlineStr">
        <is>
          <t>Spread</t>
        </is>
      </c>
      <c r="E80" t="inlineStr">
        <is>
          <t>New Mexico</t>
        </is>
      </c>
      <c r="F80" t="n">
        <v>-14.5</v>
      </c>
      <c r="G80" t="n">
        <v>-110</v>
      </c>
      <c r="H80" t="n">
        <v>1</v>
      </c>
      <c r="I80" t="n">
        <v>-14.5</v>
      </c>
      <c r="J80" s="12">
        <f>IF(I80="","",I80-F80)</f>
        <v/>
      </c>
      <c r="K80" t="inlineStr">
        <is>
          <t>L</t>
        </is>
      </c>
      <c r="L80" s="11">
        <f>IF(K80="W",IF(G80&lt;0,H80*100/ABS(G80),H80*G80/100),IF(K80="L",-H80,0))</f>
        <v/>
      </c>
      <c r="M80" s="11">
        <f>Settings!$B$4+SUM(L$2:L80)</f>
        <v/>
      </c>
    </row>
    <row r="81">
      <c r="A81" t="inlineStr">
        <is>
          <t>2026-10-17</t>
        </is>
      </c>
      <c r="B81" t="n">
        <v>7</v>
      </c>
      <c r="C81" t="inlineStr">
        <is>
          <t>Nevada @ North Dakota State</t>
        </is>
      </c>
      <c r="D81" t="inlineStr">
        <is>
          <t>Spread</t>
        </is>
      </c>
      <c r="E81" t="inlineStr">
        <is>
          <t>North Dakota State</t>
        </is>
      </c>
      <c r="F81" t="n">
        <v>-14.5</v>
      </c>
      <c r="G81" t="n">
        <v>-114</v>
      </c>
      <c r="H81" t="n">
        <v>1</v>
      </c>
      <c r="I81" t="n">
        <v>-14</v>
      </c>
      <c r="J81" s="12">
        <f>IF(I81="","",I81-F81)</f>
        <v/>
      </c>
      <c r="K81" t="inlineStr">
        <is>
          <t>L</t>
        </is>
      </c>
      <c r="L81" s="11">
        <f>IF(K81="W",IF(G81&lt;0,H81*100/ABS(G81),H81*G81/100),IF(K81="L",-H81,0))</f>
        <v/>
      </c>
      <c r="M81" s="11">
        <f>Settings!$B$4+SUM(L$2:L81)</f>
        <v/>
      </c>
    </row>
    <row r="82">
      <c r="A82" t="inlineStr">
        <is>
          <t>2026-10-17</t>
        </is>
      </c>
      <c r="B82" t="n">
        <v>7</v>
      </c>
      <c r="C82" t="inlineStr">
        <is>
          <t>Washington @ Purdue</t>
        </is>
      </c>
      <c r="D82" t="inlineStr">
        <is>
          <t>Spread</t>
        </is>
      </c>
      <c r="E82" t="inlineStr">
        <is>
          <t>Washington</t>
        </is>
      </c>
      <c r="F82" t="n">
        <v>3.5</v>
      </c>
      <c r="G82" t="n">
        <v>-114</v>
      </c>
      <c r="H82" t="n">
        <v>1</v>
      </c>
      <c r="I82" t="n">
        <v>3</v>
      </c>
      <c r="J82" s="12">
        <f>IF(I82="","",I82-F82)</f>
        <v/>
      </c>
      <c r="K82" t="inlineStr">
        <is>
          <t>W</t>
        </is>
      </c>
      <c r="L82" s="11">
        <f>IF(K82="W",IF(G82&lt;0,H82*100/ABS(G82),H82*G82/100),IF(K82="L",-H82,0))</f>
        <v/>
      </c>
      <c r="M82" s="11">
        <f>Settings!$B$4+SUM(L$2:L82)</f>
        <v/>
      </c>
    </row>
    <row r="83">
      <c r="A83" t="inlineStr">
        <is>
          <t>2026-10-17</t>
        </is>
      </c>
      <c r="B83" t="n">
        <v>7</v>
      </c>
      <c r="C83" t="inlineStr">
        <is>
          <t>Georgia State @ James Madison</t>
        </is>
      </c>
      <c r="D83" t="inlineStr">
        <is>
          <t>Spread</t>
        </is>
      </c>
      <c r="E83" t="inlineStr">
        <is>
          <t>James Madison</t>
        </is>
      </c>
      <c r="F83" t="n">
        <v>-10.5</v>
      </c>
      <c r="G83" t="n">
        <v>-110</v>
      </c>
      <c r="H83" t="n">
        <v>1</v>
      </c>
      <c r="I83" t="n">
        <v>-8</v>
      </c>
      <c r="J83" s="12">
        <f>IF(I83="","",I83-F83)</f>
        <v/>
      </c>
      <c r="K83" t="inlineStr">
        <is>
          <t>W</t>
        </is>
      </c>
      <c r="L83" s="11">
        <f>IF(K83="W",IF(G83&lt;0,H83*100/ABS(G83),H83*G83/100),IF(K83="L",-H83,0))</f>
        <v/>
      </c>
      <c r="M83" s="11">
        <f>Settings!$B$4+SUM(L$2:L83)</f>
        <v/>
      </c>
    </row>
    <row r="84">
      <c r="A84" t="inlineStr">
        <is>
          <t>2026-10-17</t>
        </is>
      </c>
      <c r="B84" t="n">
        <v>7</v>
      </c>
      <c r="C84" t="inlineStr">
        <is>
          <t>Wisconsin @ UCLA</t>
        </is>
      </c>
      <c r="D84" t="inlineStr">
        <is>
          <t>Spread</t>
        </is>
      </c>
      <c r="E84" t="inlineStr">
        <is>
          <t>UCLA</t>
        </is>
      </c>
      <c r="F84" t="n">
        <v>-2.5</v>
      </c>
      <c r="G84" t="n">
        <v>-120</v>
      </c>
      <c r="H84" t="n">
        <v>1</v>
      </c>
      <c r="I84" t="n">
        <v>-2</v>
      </c>
      <c r="J84" s="12">
        <f>IF(I84="","",I84-F84)</f>
        <v/>
      </c>
      <c r="K84" t="inlineStr">
        <is>
          <t>w</t>
        </is>
      </c>
      <c r="L84" s="11">
        <f>IF(K84="W",IF(G84&lt;0,H84*100/ABS(G84),H84*G84/100),IF(K84="L",-H84,0))</f>
        <v/>
      </c>
      <c r="M84" s="11">
        <f>Settings!$B$4+SUM(L$2:L84)</f>
        <v/>
      </c>
    </row>
    <row r="85">
      <c r="A85" t="inlineStr">
        <is>
          <t>2026-10-17</t>
        </is>
      </c>
      <c r="B85" t="n">
        <v>7</v>
      </c>
      <c r="C85" t="inlineStr">
        <is>
          <t>Louisville @ Syracuse</t>
        </is>
      </c>
      <c r="D85" t="inlineStr">
        <is>
          <t>Spread</t>
        </is>
      </c>
      <c r="E85" t="inlineStr">
        <is>
          <t>Louisville</t>
        </is>
      </c>
      <c r="F85" t="n">
        <v>-14.5</v>
      </c>
      <c r="G85" t="n">
        <v>-110</v>
      </c>
      <c r="H85" t="n">
        <v>1</v>
      </c>
      <c r="I85" t="n">
        <v>-14.5</v>
      </c>
      <c r="J85" s="12">
        <f>IF(I85="","",I85-F85)</f>
        <v/>
      </c>
      <c r="K85" t="inlineStr">
        <is>
          <t>L</t>
        </is>
      </c>
      <c r="L85" s="11">
        <f>IF(K85="W",IF(G85&lt;0,H85*100/ABS(G85),H85*G85/100),IF(K85="L",-H85,0))</f>
        <v/>
      </c>
      <c r="M85" s="11">
        <f>Settings!$B$4+SUM(L$2:L85)</f>
        <v/>
      </c>
    </row>
    <row r="86">
      <c r="A86" t="inlineStr">
        <is>
          <t>2026-10-17</t>
        </is>
      </c>
      <c r="B86" t="n">
        <v>7</v>
      </c>
      <c r="C86" t="inlineStr">
        <is>
          <t>Notre Dame @ BYU</t>
        </is>
      </c>
      <c r="D86" t="inlineStr">
        <is>
          <t>Moneyline</t>
        </is>
      </c>
      <c r="E86" t="inlineStr">
        <is>
          <t>BYU</t>
        </is>
      </c>
      <c r="G86" t="n">
        <v>180</v>
      </c>
      <c r="H86" t="n">
        <v>50</v>
      </c>
      <c r="J86" s="12">
        <f>IF(I86="","",I86-F86)</f>
        <v/>
      </c>
      <c r="K86" t="inlineStr">
        <is>
          <t>W</t>
        </is>
      </c>
      <c r="L86" s="11">
        <f>IF(K86="W",IF(G86&lt;0,H86*100/ABS(G86),H86*G86/100),IF(K86="L",-H86,0))</f>
        <v/>
      </c>
      <c r="M86" s="11">
        <f>Settings!$B$4+SUM(L$2:L86)</f>
        <v/>
      </c>
    </row>
    <row r="87">
      <c r="A87" t="inlineStr">
        <is>
          <t>2026-10-23</t>
        </is>
      </c>
      <c r="B87" t="n">
        <v>8</v>
      </c>
      <c r="C87" t="inlineStr">
        <is>
          <t>Duke @ Virginia</t>
        </is>
      </c>
      <c r="D87" t="inlineStr">
        <is>
          <t>Moneyline</t>
        </is>
      </c>
      <c r="E87" t="inlineStr">
        <is>
          <t>Duke</t>
        </is>
      </c>
      <c r="G87" t="n">
        <v>114</v>
      </c>
      <c r="H87" t="n">
        <v>1</v>
      </c>
      <c r="J87" s="12" t="n"/>
      <c r="K87" t="inlineStr">
        <is>
          <t>W</t>
        </is>
      </c>
      <c r="L87" s="11">
        <f>IF(K87="W",IF(G87&lt;0,H87*100/ABS(G87),H87*G87/100),IF(K87="L",-H87,0))</f>
        <v/>
      </c>
      <c r="M87" s="11">
        <f>Settings!$B$4+SUM(L$2:L87)</f>
        <v/>
      </c>
    </row>
    <row r="88">
      <c r="A88" t="inlineStr">
        <is>
          <t>2026-10-24</t>
        </is>
      </c>
      <c r="B88" t="n">
        <v>8</v>
      </c>
      <c r="C88" t="inlineStr">
        <is>
          <t>BYU @ UCF</t>
        </is>
      </c>
      <c r="D88" t="inlineStr">
        <is>
          <t>Spread</t>
        </is>
      </c>
      <c r="E88" t="inlineStr">
        <is>
          <t>BYU</t>
        </is>
      </c>
      <c r="F88" t="n">
        <v>-6.5</v>
      </c>
      <c r="G88" t="n">
        <v>-124</v>
      </c>
      <c r="H88" t="n">
        <v>1</v>
      </c>
      <c r="I88" t="n">
        <v>-7.5</v>
      </c>
      <c r="J88" s="12">
        <f>IF(I88="","",I88-F88)</f>
        <v/>
      </c>
      <c r="K88" t="inlineStr">
        <is>
          <t>L</t>
        </is>
      </c>
      <c r="L88" s="11">
        <f>IF(K88="W",IF(G88&lt;0,H88*100/ABS(G88),H88*G88/100),IF(K88="L",-H88,0))</f>
        <v/>
      </c>
      <c r="M88" s="11">
        <f>Settings!$B$4+SUM(L$2:L88)</f>
        <v/>
      </c>
    </row>
    <row r="89">
      <c r="A89" t="inlineStr">
        <is>
          <t>2026-10-24</t>
        </is>
      </c>
      <c r="B89" t="n">
        <v>8</v>
      </c>
      <c r="C89" t="inlineStr">
        <is>
          <t>UL Monroe @ Troy</t>
        </is>
      </c>
      <c r="D89" t="inlineStr">
        <is>
          <t>Spread</t>
        </is>
      </c>
      <c r="E89" t="inlineStr">
        <is>
          <t>Troy</t>
        </is>
      </c>
      <c r="F89" t="n">
        <v>-13.5</v>
      </c>
      <c r="G89" t="n">
        <v>-110</v>
      </c>
      <c r="H89" t="n">
        <v>1</v>
      </c>
      <c r="I89" t="n">
        <v>-12.5</v>
      </c>
      <c r="J89" s="12">
        <f>IF(I89="","",I89-F89)</f>
        <v/>
      </c>
      <c r="K89" t="inlineStr">
        <is>
          <t>L</t>
        </is>
      </c>
      <c r="L89" s="11">
        <f>IF(K89="W",IF(G89&lt;0,H89*100/ABS(G89),H89*G89/100),IF(K89="L",-H89,0))</f>
        <v/>
      </c>
      <c r="M89" s="11">
        <f>Settings!$B$4+SUM(L$2:L89)</f>
        <v/>
      </c>
    </row>
    <row r="90">
      <c r="A90" t="inlineStr">
        <is>
          <t>2026-10-24</t>
        </is>
      </c>
      <c r="B90" t="n">
        <v>8</v>
      </c>
      <c r="C90" t="inlineStr">
        <is>
          <t>Air Force @ Wyoming</t>
        </is>
      </c>
      <c r="D90" t="inlineStr">
        <is>
          <t>Moneyline</t>
        </is>
      </c>
      <c r="E90" t="inlineStr">
        <is>
          <t>Air Force</t>
        </is>
      </c>
      <c r="G90" t="n">
        <v>-225</v>
      </c>
      <c r="H90" t="n">
        <v>1</v>
      </c>
      <c r="J90" s="12">
        <f>IF(I90="","",I90-F90)</f>
        <v/>
      </c>
      <c r="K90" t="inlineStr">
        <is>
          <t>L</t>
        </is>
      </c>
      <c r="L90" s="11">
        <f>IF(K90="W",IF(G90&lt;0,H90*100/ABS(G90),H90*G90/100),IF(K90="L",-H90,0))</f>
        <v/>
      </c>
      <c r="M90" s="11">
        <f>Settings!$B$4+SUM(L$2:L90)</f>
        <v/>
      </c>
    </row>
    <row r="91">
      <c r="A91" t="inlineStr">
        <is>
          <t>2026-10-24</t>
        </is>
      </c>
      <c r="B91" t="n">
        <v>8</v>
      </c>
      <c r="C91" t="inlineStr">
        <is>
          <t>Vanderbilt @ Kentucky</t>
        </is>
      </c>
      <c r="D91" t="inlineStr">
        <is>
          <t>Spread</t>
        </is>
      </c>
      <c r="E91" t="inlineStr">
        <is>
          <t>Vanderbilt</t>
        </is>
      </c>
      <c r="F91" t="n">
        <v>10.5</v>
      </c>
      <c r="G91" t="n">
        <v>-105</v>
      </c>
      <c r="H91" t="n">
        <v>1</v>
      </c>
      <c r="I91" t="n">
        <v>11.5</v>
      </c>
      <c r="J91" s="12">
        <f>IF(I91="","",I91-F91)</f>
        <v/>
      </c>
      <c r="K91" t="inlineStr">
        <is>
          <t>L</t>
        </is>
      </c>
      <c r="L91" s="11">
        <f>IF(K91="W",IF(G91&lt;0,H91*100/ABS(G91),H91*G91/100),IF(K91="L",-H91,0))</f>
        <v/>
      </c>
      <c r="M91" s="11">
        <f>Settings!$B$4+SUM(L$2:L91)</f>
        <v/>
      </c>
    </row>
    <row r="92">
      <c r="A92" t="inlineStr">
        <is>
          <t>2026-10-24</t>
        </is>
      </c>
      <c r="B92" t="n">
        <v>8</v>
      </c>
      <c r="C92" t="inlineStr">
        <is>
          <t>Houston @ Utah</t>
        </is>
      </c>
      <c r="D92" t="inlineStr">
        <is>
          <t>Spread</t>
        </is>
      </c>
      <c r="E92" t="inlineStr">
        <is>
          <t>Utah</t>
        </is>
      </c>
      <c r="F92" t="n">
        <v>-6.5</v>
      </c>
      <c r="G92" t="n">
        <v>-114</v>
      </c>
      <c r="H92" t="n">
        <v>1</v>
      </c>
      <c r="I92" t="n">
        <v>-6.5</v>
      </c>
      <c r="J92" s="12">
        <f>IF(I92="","",I92-F92)</f>
        <v/>
      </c>
      <c r="K92" t="inlineStr">
        <is>
          <t>W</t>
        </is>
      </c>
      <c r="L92" s="11">
        <f>IF(K92="W",IF(G92&lt;0,H92*100/ABS(G92),H92*G92/100),IF(K92="L",-H92,0))</f>
        <v/>
      </c>
      <c r="M92" s="11">
        <f>Settings!$B$4+SUM(L$2:L92)</f>
        <v/>
      </c>
    </row>
    <row r="93">
      <c r="A93" t="inlineStr">
        <is>
          <t>2026-10-24</t>
        </is>
      </c>
      <c r="B93" t="n">
        <v>8</v>
      </c>
      <c r="C93" t="inlineStr">
        <is>
          <t>Houston @ Utah</t>
        </is>
      </c>
      <c r="D93" t="inlineStr">
        <is>
          <t>Spread</t>
        </is>
      </c>
      <c r="E93" t="inlineStr">
        <is>
          <t>Utah</t>
        </is>
      </c>
      <c r="F93" t="n">
        <v>-2.5</v>
      </c>
      <c r="G93" t="n">
        <v>-128</v>
      </c>
      <c r="H93" t="n">
        <v>2</v>
      </c>
      <c r="I93" t="n">
        <v>-6.5</v>
      </c>
      <c r="J93" s="12">
        <f>IF(I93="","",I93-F93)</f>
        <v/>
      </c>
      <c r="K93" t="inlineStr">
        <is>
          <t>W</t>
        </is>
      </c>
      <c r="L93" s="11">
        <f>IF(K93="W",IF(G93&lt;0,H93*100/ABS(G93),H93*G93/100),IF(K93="L",-H93,0))</f>
        <v/>
      </c>
      <c r="M93" s="11">
        <f>Settings!$B$4+SUM(L$2:L93)</f>
        <v/>
      </c>
    </row>
    <row r="94">
      <c r="A94" t="inlineStr">
        <is>
          <t>2026-10-24</t>
        </is>
      </c>
      <c r="B94" t="n">
        <v>8</v>
      </c>
      <c r="C94" t="inlineStr">
        <is>
          <t>North Dakota State @ New Mexico</t>
        </is>
      </c>
      <c r="D94" t="inlineStr">
        <is>
          <t>Spread</t>
        </is>
      </c>
      <c r="E94" t="inlineStr">
        <is>
          <t>North Dakota State</t>
        </is>
      </c>
      <c r="F94" t="n">
        <v>5.5</v>
      </c>
      <c r="G94" t="n">
        <v>-112</v>
      </c>
      <c r="H94" t="n">
        <v>1.14</v>
      </c>
      <c r="I94" t="n">
        <v>5</v>
      </c>
      <c r="J94" s="12">
        <f>IF(I94="","",I94-F94)</f>
        <v/>
      </c>
      <c r="K94" t="inlineStr">
        <is>
          <t>W</t>
        </is>
      </c>
      <c r="L94" s="11">
        <f>IF(K94="W",IF(G94&lt;0,H94*100/ABS(G94),H94*G94/100),IF(K94="L",-H94,0))</f>
        <v/>
      </c>
      <c r="M94" s="11">
        <f>Settings!$B$4+SUM(L$2:L94)</f>
        <v/>
      </c>
    </row>
    <row r="95">
      <c r="J95" s="12">
        <f>IF(I95="","",I95-F95)</f>
        <v/>
      </c>
      <c r="L95" s="11">
        <f>IF(K95="W",IF(G95&lt;0,H95*100/ABS(G95),H95*G95/100),IF(K95="L",-H95,0))</f>
        <v/>
      </c>
      <c r="M95" s="11">
        <f>Settings!$B$4+SUM(L$2:L95)</f>
        <v/>
      </c>
    </row>
    <row r="96">
      <c r="J96" s="12">
        <f>IF(I96="","",I96-F96)</f>
        <v/>
      </c>
      <c r="L96" s="11">
        <f>IF(K96="W",IF(G96&lt;0,H96*100/ABS(G96),H96*G96/100),IF(K96="L",-H96,0))</f>
        <v/>
      </c>
      <c r="M96" s="11">
        <f>Settings!$B$4+SUM(L$2:L96)</f>
        <v/>
      </c>
    </row>
    <row r="97">
      <c r="J97" s="12">
        <f>IF(I97="","",I97-F97)</f>
        <v/>
      </c>
      <c r="L97" s="11">
        <f>IF(K97="W",IF(G97&lt;0,H97*100/ABS(G97),H97*G97/100),IF(K97="L",-H97,0))</f>
        <v/>
      </c>
      <c r="M97" s="11">
        <f>Settings!$B$4+SUM(L$2:L97)</f>
        <v/>
      </c>
    </row>
    <row r="98">
      <c r="J98" s="12">
        <f>IF(I98="","",I98-F98)</f>
        <v/>
      </c>
      <c r="L98" s="11">
        <f>IF(K98="W",IF(G98&lt;0,H98*100/ABS(G98),H98*G98/100),IF(K98="L",-H98,0))</f>
        <v/>
      </c>
      <c r="M98" s="11">
        <f>Settings!$B$4+SUM(L$2:L98)</f>
        <v/>
      </c>
    </row>
    <row r="99">
      <c r="J99" s="12">
        <f>IF(I99="","",I99-F99)</f>
        <v/>
      </c>
      <c r="L99" s="11">
        <f>IF(K99="W",IF(G99&lt;0,H99*100/ABS(G99),H99*G99/100),IF(K99="L",-H99,0))</f>
        <v/>
      </c>
      <c r="M99" s="11">
        <f>Settings!$B$4+SUM(L$2:L99)</f>
        <v/>
      </c>
    </row>
    <row r="100">
      <c r="J100" s="12">
        <f>IF(I100="","",I100-F100)</f>
        <v/>
      </c>
      <c r="L100" s="11">
        <f>IF(K100="W",IF(G100&lt;0,H100*100/ABS(G100),H100*G100/100),IF(K100="L",-H100,0))</f>
        <v/>
      </c>
      <c r="M100" s="11">
        <f>Settings!$B$4+SUM(L$2:L100)</f>
        <v/>
      </c>
    </row>
    <row r="101">
      <c r="J101" s="12">
        <f>IF(I101="","",I101-F101)</f>
        <v/>
      </c>
      <c r="L101" s="11">
        <f>IF(K101="W",IF(G101&lt;0,H101*100/ABS(G101),H101*G101/100),IF(K101="L",-H101,0))</f>
        <v/>
      </c>
      <c r="M101" s="11">
        <f>Settings!$B$4+SUM(L$2:L101)</f>
        <v/>
      </c>
    </row>
    <row r="102">
      <c r="J102" s="12">
        <f>IF(I102="","",I102-F102)</f>
        <v/>
      </c>
      <c r="L102" s="11">
        <f>IF(K102="W",IF(G102&lt;0,H102*100/ABS(G102),H102*G102/100),IF(K102="L",-H102,0))</f>
        <v/>
      </c>
      <c r="M102" s="11">
        <f>Settings!$B$4+SUM(L$2:L102)</f>
        <v/>
      </c>
    </row>
    <row r="103">
      <c r="J103" s="12">
        <f>IF(I103="","",I103-F103)</f>
        <v/>
      </c>
      <c r="L103" s="11">
        <f>IF(K103="W",IF(G103&lt;0,H103*100/ABS(G103),H103*G103/100),IF(K103="L",-H103,0))</f>
        <v/>
      </c>
      <c r="M103" s="11">
        <f>Settings!$B$4+SUM(L$2:L103)</f>
        <v/>
      </c>
    </row>
    <row r="104">
      <c r="J104" s="12">
        <f>IF(I104="","",I104-F104)</f>
        <v/>
      </c>
      <c r="L104" s="11">
        <f>IF(K104="W",IF(G104&lt;0,H104*100/ABS(G104),H104*G104/100),IF(K104="L",-H104,0))</f>
        <v/>
      </c>
      <c r="M104" s="11">
        <f>Settings!$B$4+SUM(L$2:L104)</f>
        <v/>
      </c>
    </row>
    <row r="105">
      <c r="J105" s="12">
        <f>IF(I105="","",I105-F105)</f>
        <v/>
      </c>
      <c r="L105" s="11">
        <f>IF(K105="W",IF(G105&lt;0,H105*100/ABS(G105),H105*G105/100),IF(K105="L",-H105,0))</f>
        <v/>
      </c>
      <c r="M105" s="11">
        <f>Settings!$B$4+SUM(L$2:L105)</f>
        <v/>
      </c>
    </row>
    <row r="106">
      <c r="J106" s="12">
        <f>IF(I106="","",I106-F106)</f>
        <v/>
      </c>
      <c r="L106" s="11">
        <f>IF(K106="W",IF(G106&lt;0,H106*100/ABS(G106),H106*G106/100),IF(K106="L",-H106,0))</f>
        <v/>
      </c>
      <c r="M106" s="11">
        <f>Settings!$B$4+SUM(L$2:L106)</f>
        <v/>
      </c>
    </row>
    <row r="107">
      <c r="J107" s="12">
        <f>IF(I107="","",I107-F107)</f>
        <v/>
      </c>
      <c r="L107" s="11">
        <f>IF(K107="W",IF(G107&lt;0,H107*100/ABS(G107),H107*G107/100),IF(K107="L",-H107,0))</f>
        <v/>
      </c>
      <c r="M107" s="11">
        <f>Settings!$B$4+SUM(L$2:L107)</f>
        <v/>
      </c>
    </row>
    <row r="108">
      <c r="J108" s="12">
        <f>IF(I108="","",I108-F108)</f>
        <v/>
      </c>
      <c r="L108" s="11">
        <f>IF(K108="W",IF(G108&lt;0,H108*100/ABS(G108),H108*G108/100),IF(K108="L",-H108,0))</f>
        <v/>
      </c>
      <c r="M108" s="11">
        <f>Settings!$B$4+SUM(L$2:L108)</f>
        <v/>
      </c>
    </row>
    <row r="109">
      <c r="J109" s="12">
        <f>IF(I109="","",I109-F109)</f>
        <v/>
      </c>
      <c r="L109" s="11">
        <f>IF(K109="W",IF(G109&lt;0,H109*100/ABS(G109),H109*G109/100),IF(K109="L",-H109,0))</f>
        <v/>
      </c>
      <c r="M109" s="11">
        <f>Settings!$B$4+SUM(L$2:L109)</f>
        <v/>
      </c>
    </row>
    <row r="110">
      <c r="J110" s="12">
        <f>IF(I110="","",I110-F110)</f>
        <v/>
      </c>
      <c r="L110" s="11">
        <f>IF(K110="W",IF(G110&lt;0,H110*100/ABS(G110),H110*G110/100),IF(K110="L",-H110,0))</f>
        <v/>
      </c>
      <c r="M110" s="11">
        <f>Settings!$B$4+SUM(L$2:L110)</f>
        <v/>
      </c>
    </row>
    <row r="111">
      <c r="J111" s="12">
        <f>IF(I111="","",I111-F111)</f>
        <v/>
      </c>
      <c r="L111" s="11">
        <f>IF(K111="W",IF(G111&lt;0,H111*100/ABS(G111),H111*G111/100),IF(K111="L",-H111,0))</f>
        <v/>
      </c>
      <c r="M111" s="11">
        <f>Settings!$B$4+SUM(L$2:L111)</f>
        <v/>
      </c>
    </row>
    <row r="112">
      <c r="J112" s="12">
        <f>IF(I112="","",I112-F112)</f>
        <v/>
      </c>
      <c r="L112" s="11">
        <f>IF(K112="W",IF(G112&lt;0,H112*100/ABS(G112),H112*G112/100),IF(K112="L",-H112,0))</f>
        <v/>
      </c>
      <c r="M112" s="11">
        <f>Settings!$B$4+SUM(L$2:L112)</f>
        <v/>
      </c>
    </row>
    <row r="113">
      <c r="J113" s="12">
        <f>IF(I113="","",I113-F113)</f>
        <v/>
      </c>
      <c r="L113" s="11">
        <f>IF(K113="W",IF(G113&lt;0,H113*100/ABS(G113),H113*G113/100),IF(K113="L",-H113,0))</f>
        <v/>
      </c>
      <c r="M113" s="11">
        <f>Settings!$B$4+SUM(L$2:L113)</f>
        <v/>
      </c>
    </row>
    <row r="114">
      <c r="J114" s="12">
        <f>IF(I114="","",I114-F114)</f>
        <v/>
      </c>
      <c r="L114" s="11">
        <f>IF(K114="W",IF(G114&lt;0,H114*100/ABS(G114),H114*G114/100),IF(K114="L",-H114,0))</f>
        <v/>
      </c>
      <c r="M114" s="11">
        <f>Settings!$B$4+SUM(L$2:L114)</f>
        <v/>
      </c>
    </row>
    <row r="115">
      <c r="J115" s="12">
        <f>IF(I115="","",I115-F115)</f>
        <v/>
      </c>
      <c r="L115" s="11">
        <f>IF(K115="W",IF(G115&lt;0,H115*100/ABS(G115),H115*G115/100),IF(K115="L",-H115,0))</f>
        <v/>
      </c>
      <c r="M115" s="11">
        <f>Settings!$B$4+SUM(L$2:L115)</f>
        <v/>
      </c>
    </row>
    <row r="116">
      <c r="J116" s="12">
        <f>IF(I116="","",I116-F116)</f>
        <v/>
      </c>
      <c r="L116" s="11">
        <f>IF(K116="W",IF(G116&lt;0,H116*100/ABS(G116),H116*G116/100),IF(K116="L",-H116,0))</f>
        <v/>
      </c>
      <c r="M116" s="11">
        <f>Settings!$B$4+SUM(L$2:L116)</f>
        <v/>
      </c>
    </row>
    <row r="117">
      <c r="J117" s="12">
        <f>IF(I117="","",I117-F117)</f>
        <v/>
      </c>
      <c r="L117" s="11">
        <f>IF(K117="W",IF(G117&lt;0,H117*100/ABS(G117),H117*G117/100),IF(K117="L",-H117,0))</f>
        <v/>
      </c>
      <c r="M117" s="11">
        <f>Settings!$B$4+SUM(L$2:L117)</f>
        <v/>
      </c>
    </row>
    <row r="118">
      <c r="J118" s="12">
        <f>IF(I118="","",I118-F118)</f>
        <v/>
      </c>
      <c r="L118" s="11">
        <f>IF(K118="W",IF(G118&lt;0,H118*100/ABS(G118),H118*G118/100),IF(K118="L",-H118,0))</f>
        <v/>
      </c>
      <c r="M118" s="11">
        <f>Settings!$B$4+SUM(L$2:L118)</f>
        <v/>
      </c>
    </row>
    <row r="119">
      <c r="J119" s="12">
        <f>IF(I119="","",I119-F119)</f>
        <v/>
      </c>
      <c r="L119" s="11">
        <f>IF(K119="W",IF(G119&lt;0,H119*100/ABS(G119),H119*G119/100),IF(K119="L",-H119,0))</f>
        <v/>
      </c>
      <c r="M119" s="11">
        <f>Settings!$B$4+SUM(L$2:L119)</f>
        <v/>
      </c>
    </row>
    <row r="120">
      <c r="J120" s="12">
        <f>IF(I120="","",I120-F120)</f>
        <v/>
      </c>
      <c r="L120" s="11">
        <f>IF(K120="W",IF(G120&lt;0,H120*100/ABS(G120),H120*G120/100),IF(K120="L",-H120,0))</f>
        <v/>
      </c>
      <c r="M120" s="11">
        <f>Settings!$B$4+SUM(L$2:L120)</f>
        <v/>
      </c>
    </row>
    <row r="121">
      <c r="J121" s="12">
        <f>IF(I121="","",I121-F121)</f>
        <v/>
      </c>
      <c r="L121" s="11">
        <f>IF(K121="W",IF(G121&lt;0,H121*100/ABS(G121),H121*G121/100),IF(K121="L",-H121,0))</f>
        <v/>
      </c>
      <c r="M121" s="11">
        <f>Settings!$B$4+SUM(L$2:L121)</f>
        <v/>
      </c>
    </row>
    <row r="122">
      <c r="J122" s="12">
        <f>IF(I122="","",I122-F122)</f>
        <v/>
      </c>
      <c r="L122" s="11">
        <f>IF(K122="W",IF(G122&lt;0,H122*100/ABS(G122),H122*G122/100),IF(K122="L",-H122,0))</f>
        <v/>
      </c>
      <c r="M122" s="11">
        <f>Settings!$B$4+SUM(L$2:L122)</f>
        <v/>
      </c>
    </row>
    <row r="123">
      <c r="J123" s="12">
        <f>IF(I123="","",I123-F123)</f>
        <v/>
      </c>
      <c r="L123" s="11">
        <f>IF(K123="W",IF(G123&lt;0,H123*100/ABS(G123),H123*G123/100),IF(K123="L",-H123,0))</f>
        <v/>
      </c>
      <c r="M123" s="11">
        <f>Settings!$B$4+SUM(L$2:L123)</f>
        <v/>
      </c>
    </row>
    <row r="124">
      <c r="J124" s="12">
        <f>IF(I124="","",I124-F124)</f>
        <v/>
      </c>
      <c r="L124" s="11">
        <f>IF(K124="W",IF(G124&lt;0,H124*100/ABS(G124),H124*G124/100),IF(K124="L",-H124,0))</f>
        <v/>
      </c>
      <c r="M124" s="11">
        <f>Settings!$B$4+SUM(L$2:L124)</f>
        <v/>
      </c>
    </row>
    <row r="125">
      <c r="J125" s="12">
        <f>IF(I125="","",I125-F125)</f>
        <v/>
      </c>
      <c r="L125" s="11">
        <f>IF(K125="W",IF(G125&lt;0,H125*100/ABS(G125),H125*G125/100),IF(K125="L",-H125,0))</f>
        <v/>
      </c>
      <c r="M125" s="11">
        <f>Settings!$B$4+SUM(L$2:L125)</f>
        <v/>
      </c>
    </row>
    <row r="126">
      <c r="J126" s="12">
        <f>IF(I126="","",I126-F126)</f>
        <v/>
      </c>
      <c r="L126" s="11">
        <f>IF(K126="W",IF(G126&lt;0,H126*100/ABS(G126),H126*G126/100),IF(K126="L",-H126,0))</f>
        <v/>
      </c>
      <c r="M126" s="11">
        <f>Settings!$B$4+SUM(L$2:L126)</f>
        <v/>
      </c>
    </row>
    <row r="127">
      <c r="J127" s="12">
        <f>IF(I127="","",I127-F127)</f>
        <v/>
      </c>
      <c r="L127" s="11">
        <f>IF(K127="W",IF(G127&lt;0,H127*100/ABS(G127),H127*G127/100),IF(K127="L",-H127,0))</f>
        <v/>
      </c>
      <c r="M127" s="11">
        <f>Settings!$B$4+SUM(L$2:L127)</f>
        <v/>
      </c>
    </row>
    <row r="128">
      <c r="J128" s="12">
        <f>IF(I128="","",I128-F128)</f>
        <v/>
      </c>
      <c r="L128" s="11">
        <f>IF(K128="W",IF(G128&lt;0,H128*100/ABS(G128),H128*G128/100),IF(K128="L",-H128,0))</f>
        <v/>
      </c>
      <c r="M128" s="11">
        <f>Settings!$B$4+SUM(L$2:L128)</f>
        <v/>
      </c>
    </row>
    <row r="129">
      <c r="J129" s="12">
        <f>IF(I129="","",I129-F129)</f>
        <v/>
      </c>
      <c r="L129" s="11">
        <f>IF(K129="W",IF(G129&lt;0,H129*100/ABS(G129),H129*G129/100),IF(K129="L",-H129,0))</f>
        <v/>
      </c>
      <c r="M129" s="11">
        <f>Settings!$B$4+SUM(L$2:L129)</f>
        <v/>
      </c>
    </row>
    <row r="130">
      <c r="J130" s="12">
        <f>IF(I130="","",I130-F130)</f>
        <v/>
      </c>
      <c r="L130" s="11">
        <f>IF(K130="W",IF(G130&lt;0,H130*100/ABS(G130),H130*G130/100),IF(K130="L",-H130,0))</f>
        <v/>
      </c>
      <c r="M130" s="11">
        <f>Settings!$B$4+SUM(L$2:L130)</f>
        <v/>
      </c>
    </row>
    <row r="131">
      <c r="J131" s="12">
        <f>IF(I131="","",I131-F131)</f>
        <v/>
      </c>
      <c r="L131" s="11">
        <f>IF(K131="W",IF(G131&lt;0,H131*100/ABS(G131),H131*G131/100),IF(K131="L",-H131,0))</f>
        <v/>
      </c>
      <c r="M131" s="11">
        <f>Settings!$B$4+SUM(L$2:L131)</f>
        <v/>
      </c>
    </row>
    <row r="132">
      <c r="J132" s="12">
        <f>IF(I132="","",I132-F132)</f>
        <v/>
      </c>
      <c r="L132" s="11">
        <f>IF(K132="W",IF(G132&lt;0,H132*100/ABS(G132),H132*G132/100),IF(K132="L",-H132,0))</f>
        <v/>
      </c>
      <c r="M132" s="11">
        <f>Settings!$B$4+SUM(L$2:L132)</f>
        <v/>
      </c>
    </row>
    <row r="133">
      <c r="J133" s="12">
        <f>IF(I133="","",I133-F133)</f>
        <v/>
      </c>
      <c r="L133" s="11">
        <f>IF(K133="W",IF(G133&lt;0,H133*100/ABS(G133),H133*G133/100),IF(K133="L",-H133,0))</f>
        <v/>
      </c>
      <c r="M133" s="11">
        <f>Settings!$B$4+SUM(L$2:L133)</f>
        <v/>
      </c>
    </row>
    <row r="134">
      <c r="J134" s="12">
        <f>IF(I134="","",I134-F134)</f>
        <v/>
      </c>
      <c r="L134" s="11">
        <f>IF(K134="W",IF(G134&lt;0,H134*100/ABS(G134),H134*G134/100),IF(K134="L",-H134,0))</f>
        <v/>
      </c>
      <c r="M134" s="11">
        <f>Settings!$B$4+SUM(L$2:L134)</f>
        <v/>
      </c>
    </row>
    <row r="135">
      <c r="J135" s="12">
        <f>IF(I135="","",I135-F135)</f>
        <v/>
      </c>
      <c r="L135" s="11">
        <f>IF(K135="W",IF(G135&lt;0,H135*100/ABS(G135),H135*G135/100),IF(K135="L",-H135,0))</f>
        <v/>
      </c>
      <c r="M135" s="11">
        <f>Settings!$B$4+SUM(L$2:L135)</f>
        <v/>
      </c>
    </row>
    <row r="136">
      <c r="J136" s="12">
        <f>IF(I136="","",I136-F136)</f>
        <v/>
      </c>
      <c r="L136" s="11">
        <f>IF(K136="W",IF(G136&lt;0,H136*100/ABS(G136),H136*G136/100),IF(K136="L",-H136,0))</f>
        <v/>
      </c>
      <c r="M136" s="11">
        <f>Settings!$B$4+SUM(L$2:L136)</f>
        <v/>
      </c>
    </row>
    <row r="137">
      <c r="J137" s="12">
        <f>IF(I137="","",I137-F137)</f>
        <v/>
      </c>
      <c r="L137" s="11">
        <f>IF(K137="W",IF(G137&lt;0,H137*100/ABS(G137),H137*G137/100),IF(K137="L",-H137,0))</f>
        <v/>
      </c>
      <c r="M137" s="11">
        <f>Settings!$B$4+SUM(L$2:L137)</f>
        <v/>
      </c>
    </row>
    <row r="138">
      <c r="J138" s="12">
        <f>IF(I138="","",I138-F138)</f>
        <v/>
      </c>
      <c r="L138" s="11">
        <f>IF(K138="W",IF(G138&lt;0,H138*100/ABS(G138),H138*G138/100),IF(K138="L",-H138,0))</f>
        <v/>
      </c>
      <c r="M138" s="11">
        <f>Settings!$B$4+SUM(L$2:L138)</f>
        <v/>
      </c>
    </row>
    <row r="139">
      <c r="J139" s="12">
        <f>IF(I139="","",I139-F139)</f>
        <v/>
      </c>
      <c r="L139" s="11">
        <f>IF(K139="W",IF(G139&lt;0,H139*100/ABS(G139),H139*G139/100),IF(K139="L",-H139,0))</f>
        <v/>
      </c>
      <c r="M139" s="11">
        <f>Settings!$B$4+SUM(L$2:L139)</f>
        <v/>
      </c>
    </row>
    <row r="140">
      <c r="J140" s="12">
        <f>IF(I140="","",I140-F140)</f>
        <v/>
      </c>
      <c r="L140" s="11">
        <f>IF(K140="W",IF(G140&lt;0,H140*100/ABS(G140),H140*G140/100),IF(K140="L",-H140,0))</f>
        <v/>
      </c>
      <c r="M140" s="11">
        <f>Settings!$B$4+SUM(L$2:L140)</f>
        <v/>
      </c>
    </row>
    <row r="141">
      <c r="J141" s="12">
        <f>IF(I141="","",I141-F141)</f>
        <v/>
      </c>
      <c r="L141" s="11">
        <f>IF(K141="W",IF(G141&lt;0,H141*100/ABS(G141),H141*G141/100),IF(K141="L",-H141,0))</f>
        <v/>
      </c>
      <c r="M141" s="11">
        <f>Settings!$B$4+SUM(L$2:L141)</f>
        <v/>
      </c>
    </row>
    <row r="142">
      <c r="J142" s="12">
        <f>IF(I142="","",I142-F142)</f>
        <v/>
      </c>
      <c r="L142" s="11">
        <f>IF(K142="W",IF(G142&lt;0,H142*100/ABS(G142),H142*G142/100),IF(K142="L",-H142,0))</f>
        <v/>
      </c>
      <c r="M142" s="11">
        <f>Settings!$B$4+SUM(L$2:L142)</f>
        <v/>
      </c>
    </row>
    <row r="143">
      <c r="J143" s="12">
        <f>IF(I143="","",I143-F143)</f>
        <v/>
      </c>
      <c r="L143" s="11">
        <f>IF(K143="W",IF(G143&lt;0,H143*100/ABS(G143),H143*G143/100),IF(K143="L",-H143,0))</f>
        <v/>
      </c>
      <c r="M143" s="11">
        <f>Settings!$B$4+SUM(L$2:L143)</f>
        <v/>
      </c>
    </row>
    <row r="144">
      <c r="J144" s="12">
        <f>IF(I144="","",I144-F144)</f>
        <v/>
      </c>
      <c r="L144" s="11">
        <f>IF(K144="W",IF(G144&lt;0,H144*100/ABS(G144),H144*G144/100),IF(K144="L",-H144,0))</f>
        <v/>
      </c>
      <c r="M144" s="11">
        <f>Settings!$B$4+SUM(L$2:L144)</f>
        <v/>
      </c>
    </row>
    <row r="145">
      <c r="J145" s="12">
        <f>IF(I145="","",I145-F145)</f>
        <v/>
      </c>
      <c r="L145" s="11">
        <f>IF(K145="W",IF(G145&lt;0,H145*100/ABS(G145),H145*G145/100),IF(K145="L",-H145,0))</f>
        <v/>
      </c>
      <c r="M145" s="11">
        <f>Settings!$B$4+SUM(L$2:L145)</f>
        <v/>
      </c>
    </row>
    <row r="146">
      <c r="J146" s="12">
        <f>IF(I146="","",I146-F146)</f>
        <v/>
      </c>
      <c r="L146" s="11">
        <f>IF(K146="W",IF(G146&lt;0,H146*100/ABS(G146),H146*G146/100),IF(K146="L",-H146,0))</f>
        <v/>
      </c>
      <c r="M146" s="11">
        <f>Settings!$B$4+SUM(L$2:L146)</f>
        <v/>
      </c>
    </row>
    <row r="147">
      <c r="J147" s="12">
        <f>IF(I147="","",I147-F147)</f>
        <v/>
      </c>
      <c r="L147" s="11">
        <f>IF(K147="W",IF(G147&lt;0,H147*100/ABS(G147),H147*G147/100),IF(K147="L",-H147,0))</f>
        <v/>
      </c>
      <c r="M147" s="11">
        <f>Settings!$B$4+SUM(L$2:L147)</f>
        <v/>
      </c>
    </row>
    <row r="148">
      <c r="J148" s="12">
        <f>IF(I148="","",I148-F148)</f>
        <v/>
      </c>
      <c r="L148" s="11">
        <f>IF(K148="W",IF(G148&lt;0,H148*100/ABS(G148),H148*G148/100),IF(K148="L",-H148,0))</f>
        <v/>
      </c>
      <c r="M148" s="11">
        <f>Settings!$B$4+SUM(L$2:L148)</f>
        <v/>
      </c>
    </row>
    <row r="149">
      <c r="J149" s="12">
        <f>IF(I149="","",I149-F149)</f>
        <v/>
      </c>
      <c r="L149" s="11">
        <f>IF(K149="W",IF(G149&lt;0,H149*100/ABS(G149),H149*G149/100),IF(K149="L",-H149,0))</f>
        <v/>
      </c>
      <c r="M149" s="11">
        <f>Settings!$B$4+SUM(L$2:L149)</f>
        <v/>
      </c>
    </row>
    <row r="150">
      <c r="J150" s="12">
        <f>IF(I150="","",I150-F150)</f>
        <v/>
      </c>
      <c r="L150" s="11">
        <f>IF(K150="W",IF(G150&lt;0,H150*100/ABS(G150),H150*G150/100),IF(K150="L",-H150,0))</f>
        <v/>
      </c>
      <c r="M150" s="11">
        <f>Settings!$B$4+SUM(L$2:L150)</f>
        <v/>
      </c>
    </row>
    <row r="151">
      <c r="J151" s="12">
        <f>IF(I151="","",I151-F151)</f>
        <v/>
      </c>
      <c r="L151" s="11">
        <f>IF(K151="W",IF(G151&lt;0,H151*100/ABS(G151),H151*G151/100),IF(K151="L",-H151,0))</f>
        <v/>
      </c>
      <c r="M151" s="11">
        <f>Settings!$B$4+SUM(L$2:L151)</f>
        <v/>
      </c>
    </row>
    <row r="152">
      <c r="J152" s="12">
        <f>IF(I152="","",I152-F152)</f>
        <v/>
      </c>
      <c r="L152" s="11">
        <f>IF(K152="W",IF(G152&lt;0,H152*100/ABS(G152),H152*G152/100),IF(K152="L",-H152,0))</f>
        <v/>
      </c>
      <c r="M152" s="11">
        <f>Settings!$B$4+SUM(L$2:L152)</f>
        <v/>
      </c>
    </row>
    <row r="153">
      <c r="J153" s="12">
        <f>IF(I153="","",I153-F153)</f>
        <v/>
      </c>
      <c r="L153" s="11">
        <f>IF(K153="W",IF(G153&lt;0,H153*100/ABS(G153),H153*G153/100),IF(K153="L",-H153,0))</f>
        <v/>
      </c>
      <c r="M153" s="11">
        <f>Settings!$B$4+SUM(L$2:L153)</f>
        <v/>
      </c>
    </row>
    <row r="154">
      <c r="J154" s="12">
        <f>IF(I154="","",I154-F154)</f>
        <v/>
      </c>
      <c r="L154" s="11">
        <f>IF(K154="W",IF(G154&lt;0,H154*100/ABS(G154),H154*G154/100),IF(K154="L",-H154,0))</f>
        <v/>
      </c>
      <c r="M154" s="11">
        <f>Settings!$B$4+SUM(L$2:L154)</f>
        <v/>
      </c>
    </row>
    <row r="155">
      <c r="J155" s="12">
        <f>IF(I155="","",I155-F155)</f>
        <v/>
      </c>
      <c r="L155" s="11">
        <f>IF(K155="W",IF(G155&lt;0,H155*100/ABS(G155),H155*G155/100),IF(K155="L",-H155,0))</f>
        <v/>
      </c>
      <c r="M155" s="11">
        <f>Settings!$B$4+SUM(L$2:L155)</f>
        <v/>
      </c>
    </row>
    <row r="156">
      <c r="J156" s="12">
        <f>IF(I156="","",I156-F156)</f>
        <v/>
      </c>
      <c r="L156" s="11">
        <f>IF(K156="W",IF(G156&lt;0,H156*100/ABS(G156),H156*G156/100),IF(K156="L",-H156,0))</f>
        <v/>
      </c>
      <c r="M156" s="11">
        <f>Settings!$B$4+SUM(L$2:L156)</f>
        <v/>
      </c>
    </row>
    <row r="157">
      <c r="J157" s="12">
        <f>IF(I157="","",I157-F157)</f>
        <v/>
      </c>
      <c r="L157" s="11">
        <f>IF(K157="W",IF(G157&lt;0,H157*100/ABS(G157),H157*G157/100),IF(K157="L",-H157,0))</f>
        <v/>
      </c>
      <c r="M157" s="11">
        <f>Settings!$B$4+SUM(L$2:L157)</f>
        <v/>
      </c>
    </row>
    <row r="158">
      <c r="J158" s="12">
        <f>IF(I158="","",I158-F158)</f>
        <v/>
      </c>
      <c r="L158" s="11">
        <f>IF(K158="W",IF(G158&lt;0,H158*100/ABS(G158),H158*G158/100),IF(K158="L",-H158,0))</f>
        <v/>
      </c>
      <c r="M158" s="11">
        <f>Settings!$B$4+SUM(L$2:L158)</f>
        <v/>
      </c>
    </row>
    <row r="159">
      <c r="J159" s="12">
        <f>IF(I159="","",I159-F159)</f>
        <v/>
      </c>
      <c r="L159" s="11">
        <f>IF(K159="W",IF(G159&lt;0,H159*100/ABS(G159),H159*G159/100),IF(K159="L",-H159,0))</f>
        <v/>
      </c>
      <c r="M159" s="11">
        <f>Settings!$B$4+SUM(L$2:L159)</f>
        <v/>
      </c>
    </row>
    <row r="160">
      <c r="J160" s="12">
        <f>IF(I160="","",I160-F160)</f>
        <v/>
      </c>
      <c r="L160" s="11">
        <f>IF(K160="W",IF(G160&lt;0,H160*100/ABS(G160),H160*G160/100),IF(K160="L",-H160,0))</f>
        <v/>
      </c>
      <c r="M160" s="11">
        <f>Settings!$B$4+SUM(L$2:L160)</f>
        <v/>
      </c>
    </row>
    <row r="161">
      <c r="J161" s="12">
        <f>IF(I161="","",I161-F161)</f>
        <v/>
      </c>
      <c r="L161" s="11">
        <f>IF(K161="W",IF(G161&lt;0,H161*100/ABS(G161),H161*G161/100),IF(K161="L",-H161,0))</f>
        <v/>
      </c>
      <c r="M161" s="11">
        <f>Settings!$B$4+SUM(L$2:L161)</f>
        <v/>
      </c>
    </row>
    <row r="162">
      <c r="J162" s="12">
        <f>IF(I162="","",I162-F162)</f>
        <v/>
      </c>
      <c r="L162" s="11">
        <f>IF(K162="W",IF(G162&lt;0,H162*100/ABS(G162),H162*G162/100),IF(K162="L",-H162,0))</f>
        <v/>
      </c>
      <c r="M162" s="11">
        <f>Settings!$B$4+SUM(L$2:L162)</f>
        <v/>
      </c>
    </row>
    <row r="163">
      <c r="J163" s="12">
        <f>IF(I163="","",I163-F163)</f>
        <v/>
      </c>
      <c r="L163" s="11">
        <f>IF(K163="W",IF(G163&lt;0,H163*100/ABS(G163),H163*G163/100),IF(K163="L",-H163,0))</f>
        <v/>
      </c>
      <c r="M163" s="11">
        <f>Settings!$B$4+SUM(L$2:L163)</f>
        <v/>
      </c>
    </row>
    <row r="164">
      <c r="J164" s="12">
        <f>IF(I164="","",I164-F164)</f>
        <v/>
      </c>
      <c r="L164" s="11">
        <f>IF(K164="W",IF(G164&lt;0,H164*100/ABS(G164),H164*G164/100),IF(K164="L",-H164,0))</f>
        <v/>
      </c>
      <c r="M164" s="11">
        <f>Settings!$B$4+SUM(L$2:L164)</f>
        <v/>
      </c>
    </row>
    <row r="165">
      <c r="J165" s="12">
        <f>IF(I165="","",I165-F165)</f>
        <v/>
      </c>
      <c r="L165" s="11">
        <f>IF(K165="W",IF(G165&lt;0,H165*100/ABS(G165),H165*G165/100),IF(K165="L",-H165,0))</f>
        <v/>
      </c>
      <c r="M165" s="11">
        <f>Settings!$B$4+SUM(L$2:L165)</f>
        <v/>
      </c>
    </row>
    <row r="166">
      <c r="J166" s="12">
        <f>IF(I166="","",I166-F166)</f>
        <v/>
      </c>
      <c r="L166" s="11">
        <f>IF(K166="W",IF(G166&lt;0,H166*100/ABS(G166),H166*G166/100),IF(K166="L",-H166,0))</f>
        <v/>
      </c>
      <c r="M166" s="11">
        <f>Settings!$B$4+SUM(L$2:L166)</f>
        <v/>
      </c>
    </row>
    <row r="167">
      <c r="J167" s="12">
        <f>IF(I167="","",I167-F167)</f>
        <v/>
      </c>
      <c r="L167" s="11">
        <f>IF(K167="W",IF(G167&lt;0,H167*100/ABS(G167),H167*G167/100),IF(K167="L",-H167,0))</f>
        <v/>
      </c>
      <c r="M167" s="11">
        <f>Settings!$B$4+SUM(L$2:L167)</f>
        <v/>
      </c>
    </row>
    <row r="168">
      <c r="J168" s="12">
        <f>IF(I168="","",I168-F168)</f>
        <v/>
      </c>
      <c r="L168" s="11">
        <f>IF(K168="W",IF(G168&lt;0,H168*100/ABS(G168),H168*G168/100),IF(K168="L",-H168,0))</f>
        <v/>
      </c>
      <c r="M168" s="11">
        <f>Settings!$B$4+SUM(L$2:L168)</f>
        <v/>
      </c>
    </row>
    <row r="169">
      <c r="J169" s="12">
        <f>IF(I169="","",I169-F169)</f>
        <v/>
      </c>
      <c r="L169" s="11">
        <f>IF(K169="W",IF(G169&lt;0,H169*100/ABS(G169),H169*G169/100),IF(K169="L",-H169,0))</f>
        <v/>
      </c>
      <c r="M169" s="11">
        <f>Settings!$B$4+SUM(L$2:L169)</f>
        <v/>
      </c>
    </row>
    <row r="170">
      <c r="J170" s="12">
        <f>IF(I170="","",I170-F170)</f>
        <v/>
      </c>
      <c r="L170" s="11">
        <f>IF(K170="W",IF(G170&lt;0,H170*100/ABS(G170),H170*G170/100),IF(K170="L",-H170,0))</f>
        <v/>
      </c>
      <c r="M170" s="11">
        <f>Settings!$B$4+SUM(L$2:L170)</f>
        <v/>
      </c>
    </row>
    <row r="171">
      <c r="J171" s="12">
        <f>IF(I171="","",I171-F171)</f>
        <v/>
      </c>
      <c r="L171" s="11">
        <f>IF(K171="W",IF(G171&lt;0,H171*100/ABS(G171),H171*G171/100),IF(K171="L",-H171,0))</f>
        <v/>
      </c>
      <c r="M171" s="11">
        <f>Settings!$B$4+SUM(L$2:L171)</f>
        <v/>
      </c>
    </row>
    <row r="172">
      <c r="J172" s="12">
        <f>IF(I172="","",I172-F172)</f>
        <v/>
      </c>
      <c r="L172" s="11">
        <f>IF(K172="W",IF(G172&lt;0,H172*100/ABS(G172),H172*G172/100),IF(K172="L",-H172,0))</f>
        <v/>
      </c>
      <c r="M172" s="11">
        <f>Settings!$B$4+SUM(L$2:L172)</f>
        <v/>
      </c>
    </row>
    <row r="173">
      <c r="J173" s="12">
        <f>IF(I173="","",I173-F173)</f>
        <v/>
      </c>
      <c r="L173" s="11">
        <f>IF(K173="W",IF(G173&lt;0,H173*100/ABS(G173),H173*G173/100),IF(K173="L",-H173,0))</f>
        <v/>
      </c>
      <c r="M173" s="11">
        <f>Settings!$B$4+SUM(L$2:L173)</f>
        <v/>
      </c>
    </row>
    <row r="174">
      <c r="J174" s="12">
        <f>IF(I174="","",I174-F174)</f>
        <v/>
      </c>
      <c r="L174" s="11">
        <f>IF(K174="W",IF(G174&lt;0,H174*100/ABS(G174),H174*G174/100),IF(K174="L",-H174,0))</f>
        <v/>
      </c>
      <c r="M174" s="11">
        <f>Settings!$B$4+SUM(L$2:L174)</f>
        <v/>
      </c>
    </row>
    <row r="175">
      <c r="J175" s="12">
        <f>IF(I175="","",I175-F175)</f>
        <v/>
      </c>
      <c r="L175" s="11">
        <f>IF(K175="W",IF(G175&lt;0,H175*100/ABS(G175),H175*G175/100),IF(K175="L",-H175,0))</f>
        <v/>
      </c>
      <c r="M175" s="11">
        <f>Settings!$B$4+SUM(L$2:L175)</f>
        <v/>
      </c>
    </row>
    <row r="176">
      <c r="J176" s="12">
        <f>IF(I176="","",I176-F176)</f>
        <v/>
      </c>
      <c r="L176" s="11">
        <f>IF(K176="W",IF(G176&lt;0,H176*100/ABS(G176),H176*G176/100),IF(K176="L",-H176,0))</f>
        <v/>
      </c>
      <c r="M176" s="11">
        <f>Settings!$B$4+SUM(L$2:L176)</f>
        <v/>
      </c>
    </row>
    <row r="177">
      <c r="J177" s="12">
        <f>IF(I177="","",I177-F177)</f>
        <v/>
      </c>
      <c r="L177" s="11">
        <f>IF(K177="W",IF(G177&lt;0,H177*100/ABS(G177),H177*G177/100),IF(K177="L",-H177,0))</f>
        <v/>
      </c>
      <c r="M177" s="11">
        <f>Settings!$B$4+SUM(L$2:L177)</f>
        <v/>
      </c>
    </row>
    <row r="178">
      <c r="J178" s="12">
        <f>IF(I178="","",I178-F178)</f>
        <v/>
      </c>
      <c r="L178" s="11">
        <f>IF(K178="W",IF(G178&lt;0,H178*100/ABS(G178),H178*G178/100),IF(K178="L",-H178,0))</f>
        <v/>
      </c>
      <c r="M178" s="11">
        <f>Settings!$B$4+SUM(L$2:L178)</f>
        <v/>
      </c>
    </row>
    <row r="179">
      <c r="J179" s="12">
        <f>IF(I179="","",I179-F179)</f>
        <v/>
      </c>
      <c r="L179" s="11">
        <f>IF(K179="W",IF(G179&lt;0,H179*100/ABS(G179),H179*G179/100),IF(K179="L",-H179,0))</f>
        <v/>
      </c>
      <c r="M179" s="11">
        <f>Settings!$B$4+SUM(L$2:L179)</f>
        <v/>
      </c>
    </row>
    <row r="180">
      <c r="J180" s="12">
        <f>IF(I180="","",I180-F180)</f>
        <v/>
      </c>
      <c r="L180" s="11">
        <f>IF(K180="W",IF(G180&lt;0,H180*100/ABS(G180),H180*G180/100),IF(K180="L",-H180,0))</f>
        <v/>
      </c>
      <c r="M180" s="11">
        <f>Settings!$B$4+SUM(L$2:L180)</f>
        <v/>
      </c>
    </row>
    <row r="181">
      <c r="J181" s="12">
        <f>IF(I181="","",I181-F181)</f>
        <v/>
      </c>
      <c r="L181" s="11">
        <f>IF(K181="W",IF(G181&lt;0,H181*100/ABS(G181),H181*G181/100),IF(K181="L",-H181,0))</f>
        <v/>
      </c>
      <c r="M181" s="11">
        <f>Settings!$B$4+SUM(L$2:L181)</f>
        <v/>
      </c>
    </row>
    <row r="182">
      <c r="J182" s="12">
        <f>IF(I182="","",I182-F182)</f>
        <v/>
      </c>
      <c r="L182" s="11">
        <f>IF(K182="W",IF(G182&lt;0,H182*100/ABS(G182),H182*G182/100),IF(K182="L",-H182,0))</f>
        <v/>
      </c>
      <c r="M182" s="11">
        <f>Settings!$B$4+SUM(L$2:L182)</f>
        <v/>
      </c>
    </row>
    <row r="183">
      <c r="J183" s="12">
        <f>IF(I183="","",I183-F183)</f>
        <v/>
      </c>
      <c r="L183" s="11">
        <f>IF(K183="W",IF(G183&lt;0,H183*100/ABS(G183),H183*G183/100),IF(K183="L",-H183,0))</f>
        <v/>
      </c>
      <c r="M183" s="11">
        <f>Settings!$B$4+SUM(L$2:L183)</f>
        <v/>
      </c>
    </row>
    <row r="184">
      <c r="J184" s="12">
        <f>IF(I184="","",I184-F184)</f>
        <v/>
      </c>
      <c r="L184" s="11">
        <f>IF(K184="W",IF(G184&lt;0,H184*100/ABS(G184),H184*G184/100),IF(K184="L",-H184,0))</f>
        <v/>
      </c>
      <c r="M184" s="11">
        <f>Settings!$B$4+SUM(L$2:L184)</f>
        <v/>
      </c>
    </row>
    <row r="185">
      <c r="J185" s="12">
        <f>IF(I185="","",I185-F185)</f>
        <v/>
      </c>
      <c r="L185" s="11">
        <f>IF(K185="W",IF(G185&lt;0,H185*100/ABS(G185),H185*G185/100),IF(K185="L",-H185,0))</f>
        <v/>
      </c>
      <c r="M185" s="11">
        <f>Settings!$B$4+SUM(L$2:L185)</f>
        <v/>
      </c>
    </row>
    <row r="186">
      <c r="J186" s="12">
        <f>IF(I186="","",I186-F186)</f>
        <v/>
      </c>
      <c r="L186" s="11">
        <f>IF(K186="W",IF(G186&lt;0,H186*100/ABS(G186),H186*G186/100),IF(K186="L",-H186,0))</f>
        <v/>
      </c>
      <c r="M186" s="11">
        <f>Settings!$B$4+SUM(L$2:L186)</f>
        <v/>
      </c>
    </row>
    <row r="187">
      <c r="J187" s="12">
        <f>IF(I187="","",I187-F187)</f>
        <v/>
      </c>
      <c r="L187" s="11">
        <f>IF(K187="W",IF(G187&lt;0,H187*100/ABS(G187),H187*G187/100),IF(K187="L",-H187,0))</f>
        <v/>
      </c>
      <c r="M187" s="11">
        <f>Settings!$B$4+SUM(L$2:L187)</f>
        <v/>
      </c>
    </row>
    <row r="188">
      <c r="J188" s="12">
        <f>IF(I188="","",I188-F188)</f>
        <v/>
      </c>
      <c r="L188" s="11">
        <f>IF(K188="W",IF(G188&lt;0,H188*100/ABS(G188),H188*G188/100),IF(K188="L",-H188,0))</f>
        <v/>
      </c>
      <c r="M188" s="11">
        <f>Settings!$B$4+SUM(L$2:L188)</f>
        <v/>
      </c>
    </row>
    <row r="189">
      <c r="J189" s="12">
        <f>IF(I189="","",I189-F189)</f>
        <v/>
      </c>
      <c r="L189" s="11">
        <f>IF(K189="W",IF(G189&lt;0,H189*100/ABS(G189),H189*G189/100),IF(K189="L",-H189,0))</f>
        <v/>
      </c>
      <c r="M189" s="11">
        <f>Settings!$B$4+SUM(L$2:L189)</f>
        <v/>
      </c>
    </row>
    <row r="190">
      <c r="J190" s="12">
        <f>IF(I190="","",I190-F190)</f>
        <v/>
      </c>
      <c r="L190" s="11">
        <f>IF(K190="W",IF(G190&lt;0,H190*100/ABS(G190),H190*G190/100),IF(K190="L",-H190,0))</f>
        <v/>
      </c>
      <c r="M190" s="11">
        <f>Settings!$B$4+SUM(L$2:L190)</f>
        <v/>
      </c>
    </row>
    <row r="191">
      <c r="J191" s="12">
        <f>IF(I191="","",I191-F191)</f>
        <v/>
      </c>
      <c r="L191" s="11">
        <f>IF(K191="W",IF(G191&lt;0,H191*100/ABS(G191),H191*G191/100),IF(K191="L",-H191,0))</f>
        <v/>
      </c>
      <c r="M191" s="11">
        <f>Settings!$B$4+SUM(L$2:L191)</f>
        <v/>
      </c>
    </row>
    <row r="192">
      <c r="J192" s="12">
        <f>IF(I192="","",I192-F192)</f>
        <v/>
      </c>
      <c r="L192" s="11">
        <f>IF(K192="W",IF(G192&lt;0,H192*100/ABS(G192),H192*G192/100),IF(K192="L",-H192,0))</f>
        <v/>
      </c>
      <c r="M192" s="11">
        <f>Settings!$B$4+SUM(L$2:L192)</f>
        <v/>
      </c>
    </row>
    <row r="193">
      <c r="J193" s="12">
        <f>IF(I193="","",I193-F193)</f>
        <v/>
      </c>
      <c r="L193" s="11">
        <f>IF(K193="W",IF(G193&lt;0,H193*100/ABS(G193),H193*G193/100),IF(K193="L",-H193,0))</f>
        <v/>
      </c>
      <c r="M193" s="11">
        <f>Settings!$B$4+SUM(L$2:L193)</f>
        <v/>
      </c>
    </row>
    <row r="194">
      <c r="J194" s="12">
        <f>IF(I194="","",I194-F194)</f>
        <v/>
      </c>
      <c r="L194" s="11">
        <f>IF(K194="W",IF(G194&lt;0,H194*100/ABS(G194),H194*G194/100),IF(K194="L",-H194,0))</f>
        <v/>
      </c>
      <c r="M194" s="11">
        <f>Settings!$B$4+SUM(L$2:L194)</f>
        <v/>
      </c>
    </row>
    <row r="195">
      <c r="J195" s="12">
        <f>IF(I195="","",I195-F195)</f>
        <v/>
      </c>
      <c r="L195" s="11">
        <f>IF(K195="W",IF(G195&lt;0,H195*100/ABS(G195),H195*G195/100),IF(K195="L",-H195,0))</f>
        <v/>
      </c>
      <c r="M195" s="11">
        <f>Settings!$B$4+SUM(L$2:L195)</f>
        <v/>
      </c>
    </row>
    <row r="196">
      <c r="J196" s="12">
        <f>IF(I196="","",I196-F196)</f>
        <v/>
      </c>
      <c r="L196" s="11">
        <f>IF(K196="W",IF(G196&lt;0,H196*100/ABS(G196),H196*G196/100),IF(K196="L",-H196,0))</f>
        <v/>
      </c>
      <c r="M196" s="11">
        <f>Settings!$B$4+SUM(L$2:L196)</f>
        <v/>
      </c>
    </row>
    <row r="197">
      <c r="J197" s="12">
        <f>IF(I197="","",I197-F197)</f>
        <v/>
      </c>
      <c r="L197" s="11">
        <f>IF(K197="W",IF(G197&lt;0,H197*100/ABS(G197),H197*G197/100),IF(K197="L",-H197,0))</f>
        <v/>
      </c>
      <c r="M197" s="11">
        <f>Settings!$B$4+SUM(L$2:L197)</f>
        <v/>
      </c>
    </row>
    <row r="198">
      <c r="J198" s="12">
        <f>IF(I198="","",I198-F198)</f>
        <v/>
      </c>
      <c r="L198" s="11">
        <f>IF(K198="W",IF(G198&lt;0,H198*100/ABS(G198),H198*G198/100),IF(K198="L",-H198,0))</f>
        <v/>
      </c>
      <c r="M198" s="11">
        <f>Settings!$B$4+SUM(L$2:L198)</f>
        <v/>
      </c>
    </row>
    <row r="199">
      <c r="J199" s="12">
        <f>IF(I199="","",I199-F199)</f>
        <v/>
      </c>
      <c r="L199" s="11">
        <f>IF(K199="W",IF(G199&lt;0,H199*100/ABS(G199),H199*G199/100),IF(K199="L",-H199,0))</f>
        <v/>
      </c>
      <c r="M199" s="11">
        <f>Settings!$B$4+SUM(L$2:L199)</f>
        <v/>
      </c>
    </row>
    <row r="200">
      <c r="J200" s="12">
        <f>IF(I200="","",I200-F200)</f>
        <v/>
      </c>
      <c r="L200" s="11">
        <f>IF(K200="W",IF(G200&lt;0,H200*100/ABS(G200),H200*G200/100),IF(K200="L",-H200,0))</f>
        <v/>
      </c>
      <c r="M200" s="11">
        <f>Settings!$B$4+SUM(L$2:L200)</f>
        <v/>
      </c>
    </row>
    <row r="201">
      <c r="J201" s="12">
        <f>IF(I201="","",I201-F201)</f>
        <v/>
      </c>
      <c r="L201" s="11">
        <f>IF(K201="W",IF(G201&lt;0,H201*100/ABS(G201),H201*G201/100),IF(K201="L",-H201,0))</f>
        <v/>
      </c>
      <c r="M201" s="11">
        <f>Settings!$B$4+SUM(L$2:L201)</f>
        <v/>
      </c>
    </row>
    <row r="202">
      <c r="J202" s="12">
        <f>IF(I202="","",I202-F202)</f>
        <v/>
      </c>
      <c r="L202" s="11">
        <f>IF(K202="W",IF(G202&lt;0,H202*100/ABS(G202),H202*G202/100),IF(K202="L",-H202,0))</f>
        <v/>
      </c>
      <c r="M202" s="11">
        <f>Settings!$B$4+SUM(L$2:L202)</f>
        <v/>
      </c>
    </row>
    <row r="203">
      <c r="J203" s="12">
        <f>IF(I203="","",I203-F203)</f>
        <v/>
      </c>
      <c r="L203" s="11">
        <f>IF(K203="W",IF(G203&lt;0,H203*100/ABS(G203),H203*G203/100),IF(K203="L",-H203,0))</f>
        <v/>
      </c>
      <c r="M203" s="11">
        <f>Settings!$B$4+SUM(L$2:L203)</f>
        <v/>
      </c>
    </row>
    <row r="204">
      <c r="J204" s="12">
        <f>IF(I204="","",I204-F204)</f>
        <v/>
      </c>
      <c r="L204" s="11">
        <f>IF(K204="W",IF(G204&lt;0,H204*100/ABS(G204),H204*G204/100),IF(K204="L",-H204,0))</f>
        <v/>
      </c>
      <c r="M204" s="11">
        <f>Settings!$B$4+SUM(L$2:L204)</f>
        <v/>
      </c>
    </row>
    <row r="205">
      <c r="J205" s="12">
        <f>IF(I205="","",I205-F205)</f>
        <v/>
      </c>
      <c r="L205" s="11">
        <f>IF(K205="W",IF(G205&lt;0,H205*100/ABS(G205),H205*G205/100),IF(K205="L",-H205,0))</f>
        <v/>
      </c>
      <c r="M205" s="11">
        <f>Settings!$B$4+SUM(L$2:L205)</f>
        <v/>
      </c>
    </row>
    <row r="206">
      <c r="J206" s="12">
        <f>IF(I206="","",I206-F206)</f>
        <v/>
      </c>
      <c r="L206" s="11">
        <f>IF(K206="W",IF(G206&lt;0,H206*100/ABS(G206),H206*G206/100),IF(K206="L",-H206,0))</f>
        <v/>
      </c>
      <c r="M206" s="11">
        <f>Settings!$B$4+SUM(L$2:L206)</f>
        <v/>
      </c>
    </row>
    <row r="207">
      <c r="J207" s="12">
        <f>IF(I207="","",I207-F207)</f>
        <v/>
      </c>
      <c r="L207" s="11">
        <f>IF(K207="W",IF(G207&lt;0,H207*100/ABS(G207),H207*G207/100),IF(K207="L",-H207,0))</f>
        <v/>
      </c>
      <c r="M207" s="11">
        <f>Settings!$B$4+SUM(L$2:L207)</f>
        <v/>
      </c>
    </row>
    <row r="208">
      <c r="J208" s="12">
        <f>IF(I208="","",I208-F208)</f>
        <v/>
      </c>
      <c r="L208" s="11">
        <f>IF(K208="W",IF(G208&lt;0,H208*100/ABS(G208),H208*G208/100),IF(K208="L",-H208,0))</f>
        <v/>
      </c>
      <c r="M208" s="11">
        <f>Settings!$B$4+SUM(L$2:L208)</f>
        <v/>
      </c>
    </row>
    <row r="209">
      <c r="J209" s="12">
        <f>IF(I209="","",I209-F209)</f>
        <v/>
      </c>
      <c r="L209" s="11">
        <f>IF(K209="W",IF(G209&lt;0,H209*100/ABS(G209),H209*G209/100),IF(K209="L",-H209,0))</f>
        <v/>
      </c>
      <c r="M209" s="11">
        <f>Settings!$B$4+SUM(L$2:L209)</f>
        <v/>
      </c>
    </row>
    <row r="210">
      <c r="J210" s="12">
        <f>IF(I210="","",I210-F210)</f>
        <v/>
      </c>
      <c r="L210" s="11">
        <f>IF(K210="W",IF(G210&lt;0,H210*100/ABS(G210),H210*G210/100),IF(K210="L",-H210,0))</f>
        <v/>
      </c>
      <c r="M210" s="11">
        <f>Settings!$B$4+SUM(L$2:L210)</f>
        <v/>
      </c>
    </row>
    <row r="211">
      <c r="J211" s="12">
        <f>IF(I211="","",I211-F211)</f>
        <v/>
      </c>
      <c r="L211" s="11">
        <f>IF(K211="W",IF(G211&lt;0,H211*100/ABS(G211),H211*G211/100),IF(K211="L",-H211,0))</f>
        <v/>
      </c>
      <c r="M211" s="11">
        <f>Settings!$B$4+SUM(L$2:L211)</f>
        <v/>
      </c>
    </row>
    <row r="212">
      <c r="J212" s="12">
        <f>IF(I212="","",I212-F212)</f>
        <v/>
      </c>
      <c r="L212" s="11">
        <f>IF(K212="W",IF(G212&lt;0,H212*100/ABS(G212),H212*G212/100),IF(K212="L",-H212,0))</f>
        <v/>
      </c>
      <c r="M212" s="11">
        <f>Settings!$B$4+SUM(L$2:L212)</f>
        <v/>
      </c>
    </row>
    <row r="213">
      <c r="J213" s="12">
        <f>IF(I213="","",I213-F213)</f>
        <v/>
      </c>
      <c r="L213" s="11">
        <f>IF(K213="W",IF(G213&lt;0,H213*100/ABS(G213),H213*G213/100),IF(K213="L",-H213,0))</f>
        <v/>
      </c>
      <c r="M213" s="11">
        <f>Settings!$B$4+SUM(L$2:L213)</f>
        <v/>
      </c>
    </row>
    <row r="214">
      <c r="J214" s="12">
        <f>IF(I214="","",I214-F214)</f>
        <v/>
      </c>
      <c r="L214" s="11">
        <f>IF(K214="W",IF(G214&lt;0,H214*100/ABS(G214),H214*G214/100),IF(K214="L",-H214,0))</f>
        <v/>
      </c>
      <c r="M214" s="11">
        <f>Settings!$B$4+SUM(L$2:L214)</f>
        <v/>
      </c>
    </row>
    <row r="215">
      <c r="J215" s="12">
        <f>IF(I215="","",I215-F215)</f>
        <v/>
      </c>
      <c r="L215" s="11">
        <f>IF(K215="W",IF(G215&lt;0,H215*100/ABS(G215),H215*G215/100),IF(K215="L",-H215,0))</f>
        <v/>
      </c>
      <c r="M215" s="11">
        <f>Settings!$B$4+SUM(L$2:L215)</f>
        <v/>
      </c>
    </row>
    <row r="216">
      <c r="J216" s="12">
        <f>IF(I216="","",I216-F216)</f>
        <v/>
      </c>
      <c r="L216" s="11">
        <f>IF(K216="W",IF(G216&lt;0,H216*100/ABS(G216),H216*G216/100),IF(K216="L",-H216,0))</f>
        <v/>
      </c>
      <c r="M216" s="11">
        <f>Settings!$B$4+SUM(L$2:L216)</f>
        <v/>
      </c>
    </row>
    <row r="217">
      <c r="J217" s="12">
        <f>IF(I217="","",I217-F217)</f>
        <v/>
      </c>
      <c r="L217" s="11">
        <f>IF(K217="W",IF(G217&lt;0,H217*100/ABS(G217),H217*G217/100),IF(K217="L",-H217,0))</f>
        <v/>
      </c>
      <c r="M217" s="11">
        <f>Settings!$B$4+SUM(L$2:L217)</f>
        <v/>
      </c>
    </row>
    <row r="218">
      <c r="J218" s="12">
        <f>IF(I218="","",I218-F218)</f>
        <v/>
      </c>
      <c r="L218" s="11">
        <f>IF(K218="W",IF(G218&lt;0,H218*100/ABS(G218),H218*G218/100),IF(K218="L",-H218,0))</f>
        <v/>
      </c>
      <c r="M218" s="11">
        <f>Settings!$B$4+SUM(L$2:L218)</f>
        <v/>
      </c>
    </row>
    <row r="219">
      <c r="J219" s="12">
        <f>IF(I219="","",I219-F219)</f>
        <v/>
      </c>
      <c r="L219" s="11">
        <f>IF(K219="W",IF(G219&lt;0,H219*100/ABS(G219),H219*G219/100),IF(K219="L",-H219,0))</f>
        <v/>
      </c>
      <c r="M219" s="11">
        <f>Settings!$B$4+SUM(L$2:L219)</f>
        <v/>
      </c>
    </row>
    <row r="220">
      <c r="J220" s="12">
        <f>IF(I220="","",I220-F220)</f>
        <v/>
      </c>
      <c r="L220" s="11">
        <f>IF(K220="W",IF(G220&lt;0,H220*100/ABS(G220),H220*G220/100),IF(K220="L",-H220,0))</f>
        <v/>
      </c>
      <c r="M220" s="11">
        <f>Settings!$B$4+SUM(L$2:L220)</f>
        <v/>
      </c>
    </row>
    <row r="221">
      <c r="J221" s="12">
        <f>IF(I221="","",I221-F221)</f>
        <v/>
      </c>
      <c r="L221" s="11">
        <f>IF(K221="W",IF(G221&lt;0,H221*100/ABS(G221),H221*G221/100),IF(K221="L",-H221,0))</f>
        <v/>
      </c>
      <c r="M221" s="11">
        <f>Settings!$B$4+SUM(L$2:L221)</f>
        <v/>
      </c>
    </row>
    <row r="222">
      <c r="J222" s="12">
        <f>IF(I222="","",I222-F222)</f>
        <v/>
      </c>
      <c r="L222" s="11">
        <f>IF(K222="W",IF(G222&lt;0,H222*100/ABS(G222),H222*G222/100),IF(K222="L",-H222,0))</f>
        <v/>
      </c>
      <c r="M222" s="11">
        <f>Settings!$B$4+SUM(L$2:L222)</f>
        <v/>
      </c>
    </row>
    <row r="223">
      <c r="J223" s="12">
        <f>IF(I223="","",I223-F223)</f>
        <v/>
      </c>
      <c r="L223" s="11">
        <f>IF(K223="W",IF(G223&lt;0,H223*100/ABS(G223),H223*G223/100),IF(K223="L",-H223,0))</f>
        <v/>
      </c>
      <c r="M223" s="11">
        <f>Settings!$B$4+SUM(L$2:L223)</f>
        <v/>
      </c>
    </row>
    <row r="224">
      <c r="J224" s="12">
        <f>IF(I224="","",I224-F224)</f>
        <v/>
      </c>
      <c r="L224" s="11">
        <f>IF(K224="W",IF(G224&lt;0,H224*100/ABS(G224),H224*G224/100),IF(K224="L",-H224,0))</f>
        <v/>
      </c>
      <c r="M224" s="11">
        <f>Settings!$B$4+SUM(L$2:L224)</f>
        <v/>
      </c>
    </row>
    <row r="225">
      <c r="J225" s="12">
        <f>IF(I225="","",I225-F225)</f>
        <v/>
      </c>
      <c r="L225" s="11">
        <f>IF(K225="W",IF(G225&lt;0,H225*100/ABS(G225),H225*G225/100),IF(K225="L",-H225,0))</f>
        <v/>
      </c>
      <c r="M225" s="11">
        <f>Settings!$B$4+SUM(L$2:L225)</f>
        <v/>
      </c>
    </row>
    <row r="226">
      <c r="J226" s="12">
        <f>IF(I226="","",I226-F226)</f>
        <v/>
      </c>
      <c r="L226" s="11">
        <f>IF(K226="W",IF(G226&lt;0,H226*100/ABS(G226),H226*G226/100),IF(K226="L",-H226,0))</f>
        <v/>
      </c>
      <c r="M226" s="11">
        <f>Settings!$B$4+SUM(L$2:L226)</f>
        <v/>
      </c>
    </row>
    <row r="227">
      <c r="J227" s="12">
        <f>IF(I227="","",I227-F227)</f>
        <v/>
      </c>
      <c r="L227" s="11">
        <f>IF(K227="W",IF(G227&lt;0,H227*100/ABS(G227),H227*G227/100),IF(K227="L",-H227,0))</f>
        <v/>
      </c>
      <c r="M227" s="11">
        <f>Settings!$B$4+SUM(L$2:L227)</f>
        <v/>
      </c>
    </row>
    <row r="228">
      <c r="J228" s="12">
        <f>IF(I228="","",I228-F228)</f>
        <v/>
      </c>
      <c r="L228" s="11">
        <f>IF(K228="W",IF(G228&lt;0,H228*100/ABS(G228),H228*G228/100),IF(K228="L",-H228,0))</f>
        <v/>
      </c>
      <c r="M228" s="11">
        <f>Settings!$B$4+SUM(L$2:L228)</f>
        <v/>
      </c>
    </row>
    <row r="229">
      <c r="J229" s="12">
        <f>IF(I229="","",I229-F229)</f>
        <v/>
      </c>
      <c r="L229" s="11">
        <f>IF(K229="W",IF(G229&lt;0,H229*100/ABS(G229),H229*G229/100),IF(K229="L",-H229,0))</f>
        <v/>
      </c>
      <c r="M229" s="11">
        <f>Settings!$B$4+SUM(L$2:L229)</f>
        <v/>
      </c>
    </row>
    <row r="230">
      <c r="J230" s="12">
        <f>IF(I230="","",I230-F230)</f>
        <v/>
      </c>
      <c r="L230" s="11">
        <f>IF(K230="W",IF(G230&lt;0,H230*100/ABS(G230),H230*G230/100),IF(K230="L",-H230,0))</f>
        <v/>
      </c>
      <c r="M230" s="11">
        <f>Settings!$B$4+SUM(L$2:L230)</f>
        <v/>
      </c>
    </row>
    <row r="231">
      <c r="J231" s="12">
        <f>IF(I231="","",I231-F231)</f>
        <v/>
      </c>
      <c r="L231" s="11">
        <f>IF(K231="W",IF(G231&lt;0,H231*100/ABS(G231),H231*G231/100),IF(K231="L",-H231,0))</f>
        <v/>
      </c>
      <c r="M231" s="11">
        <f>Settings!$B$4+SUM(L$2:L231)</f>
        <v/>
      </c>
    </row>
    <row r="232">
      <c r="J232" s="12">
        <f>IF(I232="","",I232-F232)</f>
        <v/>
      </c>
      <c r="L232" s="11">
        <f>IF(K232="W",IF(G232&lt;0,H232*100/ABS(G232),H232*G232/100),IF(K232="L",-H232,0))</f>
        <v/>
      </c>
      <c r="M232" s="11">
        <f>Settings!$B$4+SUM(L$2:L232)</f>
        <v/>
      </c>
    </row>
    <row r="233">
      <c r="J233" s="12">
        <f>IF(I233="","",I233-F233)</f>
        <v/>
      </c>
      <c r="L233" s="11">
        <f>IF(K233="W",IF(G233&lt;0,H233*100/ABS(G233),H233*G233/100),IF(K233="L",-H233,0))</f>
        <v/>
      </c>
      <c r="M233" s="11">
        <f>Settings!$B$4+SUM(L$2:L233)</f>
        <v/>
      </c>
    </row>
    <row r="234">
      <c r="J234" s="12">
        <f>IF(I234="","",I234-F234)</f>
        <v/>
      </c>
      <c r="L234" s="11">
        <f>IF(K234="W",IF(G234&lt;0,H234*100/ABS(G234),H234*G234/100),IF(K234="L",-H234,0))</f>
        <v/>
      </c>
      <c r="M234" s="11">
        <f>Settings!$B$4+SUM(L$2:L234)</f>
        <v/>
      </c>
    </row>
    <row r="235">
      <c r="J235" s="12">
        <f>IF(I235="","",I235-F235)</f>
        <v/>
      </c>
      <c r="L235" s="11">
        <f>IF(K235="W",IF(G235&lt;0,H235*100/ABS(G235),H235*G235/100),IF(K235="L",-H235,0))</f>
        <v/>
      </c>
      <c r="M235" s="11">
        <f>Settings!$B$4+SUM(L$2:L235)</f>
        <v/>
      </c>
    </row>
    <row r="236">
      <c r="J236" s="12">
        <f>IF(I236="","",I236-F236)</f>
        <v/>
      </c>
      <c r="L236" s="11">
        <f>IF(K236="W",IF(G236&lt;0,H236*100/ABS(G236),H236*G236/100),IF(K236="L",-H236,0))</f>
        <v/>
      </c>
      <c r="M236" s="11">
        <f>Settings!$B$4+SUM(L$2:L236)</f>
        <v/>
      </c>
    </row>
    <row r="237">
      <c r="J237" s="12">
        <f>IF(I237="","",I237-F237)</f>
        <v/>
      </c>
      <c r="L237" s="11">
        <f>IF(K237="W",IF(G237&lt;0,H237*100/ABS(G237),H237*G237/100),IF(K237="L",-H237,0))</f>
        <v/>
      </c>
      <c r="M237" s="11">
        <f>Settings!$B$4+SUM(L$2:L237)</f>
        <v/>
      </c>
    </row>
    <row r="238">
      <c r="J238" s="12">
        <f>IF(I238="","",I238-F238)</f>
        <v/>
      </c>
      <c r="L238" s="11">
        <f>IF(K238="W",IF(G238&lt;0,H238*100/ABS(G238),H238*G238/100),IF(K238="L",-H238,0))</f>
        <v/>
      </c>
      <c r="M238" s="11">
        <f>Settings!$B$4+SUM(L$2:L238)</f>
        <v/>
      </c>
    </row>
    <row r="239">
      <c r="J239" s="12">
        <f>IF(I239="","",I239-F239)</f>
        <v/>
      </c>
      <c r="L239" s="11">
        <f>IF(K239="W",IF(G239&lt;0,H239*100/ABS(G239),H239*G239/100),IF(K239="L",-H239,0))</f>
        <v/>
      </c>
      <c r="M239" s="11">
        <f>Settings!$B$4+SUM(L$2:L239)</f>
        <v/>
      </c>
    </row>
    <row r="240">
      <c r="J240" s="12">
        <f>IF(I240="","",I240-F240)</f>
        <v/>
      </c>
      <c r="L240" s="11">
        <f>IF(K240="W",IF(G240&lt;0,H240*100/ABS(G240),H240*G240/100),IF(K240="L",-H240,0))</f>
        <v/>
      </c>
      <c r="M240" s="11">
        <f>Settings!$B$4+SUM(L$2:L240)</f>
        <v/>
      </c>
    </row>
    <row r="241">
      <c r="J241" s="12">
        <f>IF(I241="","",I241-F241)</f>
        <v/>
      </c>
      <c r="L241" s="11">
        <f>IF(K241="W",IF(G241&lt;0,H241*100/ABS(G241),H241*G241/100),IF(K241="L",-H241,0))</f>
        <v/>
      </c>
      <c r="M241" s="11">
        <f>Settings!$B$4+SUM(L$2:L241)</f>
        <v/>
      </c>
    </row>
    <row r="242">
      <c r="J242" s="12">
        <f>IF(I242="","",I242-F242)</f>
        <v/>
      </c>
      <c r="L242" s="11">
        <f>IF(K242="W",IF(G242&lt;0,H242*100/ABS(G242),H242*G242/100),IF(K242="L",-H242,0))</f>
        <v/>
      </c>
      <c r="M242" s="11">
        <f>Settings!$B$4+SUM(L$2:L242)</f>
        <v/>
      </c>
    </row>
    <row r="243">
      <c r="J243" s="12">
        <f>IF(I243="","",I243-F243)</f>
        <v/>
      </c>
      <c r="L243" s="11">
        <f>IF(K243="W",IF(G243&lt;0,H243*100/ABS(G243),H243*G243/100),IF(K243="L",-H243,0))</f>
        <v/>
      </c>
      <c r="M243" s="11">
        <f>Settings!$B$4+SUM(L$2:L243)</f>
        <v/>
      </c>
    </row>
    <row r="244">
      <c r="J244" s="12">
        <f>IF(I244="","",I244-F244)</f>
        <v/>
      </c>
      <c r="L244" s="11">
        <f>IF(K244="W",IF(G244&lt;0,H244*100/ABS(G244),H244*G244/100),IF(K244="L",-H244,0))</f>
        <v/>
      </c>
      <c r="M244" s="11">
        <f>Settings!$B$4+SUM(L$2:L244)</f>
        <v/>
      </c>
    </row>
    <row r="245">
      <c r="J245" s="12">
        <f>IF(I245="","",I245-F245)</f>
        <v/>
      </c>
      <c r="L245" s="11">
        <f>IF(K245="W",IF(G245&lt;0,H245*100/ABS(G245),H245*G245/100),IF(K245="L",-H245,0))</f>
        <v/>
      </c>
      <c r="M245" s="11">
        <f>Settings!$B$4+SUM(L$2:L245)</f>
        <v/>
      </c>
    </row>
    <row r="246">
      <c r="J246" s="12">
        <f>IF(I246="","",I246-F246)</f>
        <v/>
      </c>
      <c r="L246" s="11">
        <f>IF(K246="W",IF(G246&lt;0,H246*100/ABS(G246),H246*G246/100),IF(K246="L",-H246,0))</f>
        <v/>
      </c>
      <c r="M246" s="11">
        <f>Settings!$B$4+SUM(L$2:L246)</f>
        <v/>
      </c>
    </row>
    <row r="247">
      <c r="J247" s="12">
        <f>IF(I247="","",I247-F247)</f>
        <v/>
      </c>
      <c r="L247" s="11">
        <f>IF(K247="W",IF(G247&lt;0,H247*100/ABS(G247),H247*G247/100),IF(K247="L",-H247,0))</f>
        <v/>
      </c>
      <c r="M247" s="11">
        <f>Settings!$B$4+SUM(L$2:L247)</f>
        <v/>
      </c>
    </row>
    <row r="248">
      <c r="J248" s="12">
        <f>IF(I248="","",I248-F248)</f>
        <v/>
      </c>
      <c r="L248" s="11">
        <f>IF(K248="W",IF(G248&lt;0,H248*100/ABS(G248),H248*G248/100),IF(K248="L",-H248,0))</f>
        <v/>
      </c>
      <c r="M248" s="11">
        <f>Settings!$B$4+SUM(L$2:L248)</f>
        <v/>
      </c>
    </row>
    <row r="249">
      <c r="J249" s="12">
        <f>IF(I249="","",I249-F249)</f>
        <v/>
      </c>
      <c r="L249" s="11">
        <f>IF(K249="W",IF(G249&lt;0,H249*100/ABS(G249),H249*G249/100),IF(K249="L",-H249,0))</f>
        <v/>
      </c>
      <c r="M249" s="11">
        <f>Settings!$B$4+SUM(L$2:L249)</f>
        <v/>
      </c>
    </row>
    <row r="250">
      <c r="J250" s="12">
        <f>IF(I250="","",I250-F250)</f>
        <v/>
      </c>
      <c r="L250" s="11">
        <f>IF(K250="W",IF(G250&lt;0,H250*100/ABS(G250),H250*G250/100),IF(K250="L",-H250,0))</f>
        <v/>
      </c>
      <c r="M250" s="11">
        <f>Settings!$B$4+SUM(L$2:L250)</f>
        <v/>
      </c>
    </row>
    <row r="251">
      <c r="J251" s="12">
        <f>IF(I251="","",I251-F251)</f>
        <v/>
      </c>
      <c r="L251" s="11">
        <f>IF(K251="W",IF(G251&lt;0,H251*100/ABS(G251),H251*G251/100),IF(K251="L",-H251,0))</f>
        <v/>
      </c>
      <c r="M251" s="11">
        <f>Settings!$B$4+SUM(L$2:L251)</f>
        <v/>
      </c>
    </row>
    <row r="252">
      <c r="J252" s="12">
        <f>IF(I252="","",I252-F252)</f>
        <v/>
      </c>
      <c r="L252" s="11">
        <f>IF(K252="W",IF(G252&lt;0,H252*100/ABS(G252),H252*G252/100),IF(K252="L",-H252,0))</f>
        <v/>
      </c>
      <c r="M252" s="11">
        <f>Settings!$B$4+SUM(L$2:L252)</f>
        <v/>
      </c>
    </row>
    <row r="253">
      <c r="J253" s="12">
        <f>IF(I253="","",I253-F253)</f>
        <v/>
      </c>
      <c r="L253" s="11">
        <f>IF(K253="W",IF(G253&lt;0,H253*100/ABS(G253),H253*G253/100),IF(K253="L",-H253,0))</f>
        <v/>
      </c>
      <c r="M253" s="11">
        <f>Settings!$B$4+SUM(L$2:L253)</f>
        <v/>
      </c>
    </row>
    <row r="254">
      <c r="J254" s="12">
        <f>IF(I254="","",I254-F254)</f>
        <v/>
      </c>
      <c r="L254" s="11">
        <f>IF(K254="W",IF(G254&lt;0,H254*100/ABS(G254),H254*G254/100),IF(K254="L",-H254,0))</f>
        <v/>
      </c>
      <c r="M254" s="11">
        <f>Settings!$B$4+SUM(L$2:L254)</f>
        <v/>
      </c>
    </row>
    <row r="255">
      <c r="J255" s="12">
        <f>IF(I255="","",I255-F255)</f>
        <v/>
      </c>
      <c r="L255" s="11">
        <f>IF(K255="W",IF(G255&lt;0,H255*100/ABS(G255),H255*G255/100),IF(K255="L",-H255,0))</f>
        <v/>
      </c>
      <c r="M255" s="11">
        <f>Settings!$B$4+SUM(L$2:L255)</f>
        <v/>
      </c>
    </row>
    <row r="256">
      <c r="J256" s="12">
        <f>IF(I256="","",I256-F256)</f>
        <v/>
      </c>
      <c r="L256" s="11">
        <f>IF(K256="W",IF(G256&lt;0,H256*100/ABS(G256),H256*G256/100),IF(K256="L",-H256,0))</f>
        <v/>
      </c>
      <c r="M256" s="11">
        <f>Settings!$B$4+SUM(L$2:L256)</f>
        <v/>
      </c>
    </row>
    <row r="257">
      <c r="J257" s="12">
        <f>IF(I257="","",I257-F257)</f>
        <v/>
      </c>
      <c r="L257" s="11">
        <f>IF(K257="W",IF(G257&lt;0,H257*100/ABS(G257),H257*G257/100),IF(K257="L",-H257,0))</f>
        <v/>
      </c>
      <c r="M257" s="11">
        <f>Settings!$B$4+SUM(L$2:L257)</f>
        <v/>
      </c>
    </row>
    <row r="258">
      <c r="J258" s="12">
        <f>IF(I258="","",I258-F258)</f>
        <v/>
      </c>
      <c r="L258" s="11">
        <f>IF(K258="W",IF(G258&lt;0,H258*100/ABS(G258),H258*G258/100),IF(K258="L",-H258,0))</f>
        <v/>
      </c>
      <c r="M258" s="11">
        <f>Settings!$B$4+SUM(L$2:L258)</f>
        <v/>
      </c>
    </row>
    <row r="259">
      <c r="J259" s="12">
        <f>IF(I259="","",I259-F259)</f>
        <v/>
      </c>
      <c r="L259" s="11">
        <f>IF(K259="W",IF(G259&lt;0,H259*100/ABS(G259),H259*G259/100),IF(K259="L",-H259,0))</f>
        <v/>
      </c>
      <c r="M259" s="11">
        <f>Settings!$B$4+SUM(L$2:L259)</f>
        <v/>
      </c>
    </row>
    <row r="260">
      <c r="J260" s="12">
        <f>IF(I260="","",I260-F260)</f>
        <v/>
      </c>
      <c r="L260" s="11">
        <f>IF(K260="W",IF(G260&lt;0,H260*100/ABS(G260),H260*G260/100),IF(K260="L",-H260,0))</f>
        <v/>
      </c>
      <c r="M260" s="11">
        <f>Settings!$B$4+SUM(L$2:L260)</f>
        <v/>
      </c>
    </row>
    <row r="261">
      <c r="J261" s="12">
        <f>IF(I261="","",I261-F261)</f>
        <v/>
      </c>
      <c r="L261" s="11">
        <f>IF(K261="W",IF(G261&lt;0,H261*100/ABS(G261),H261*G261/100),IF(K261="L",-H261,0))</f>
        <v/>
      </c>
      <c r="M261" s="11">
        <f>Settings!$B$4+SUM(L$2:L261)</f>
        <v/>
      </c>
    </row>
    <row r="262">
      <c r="J262" s="12">
        <f>IF(I262="","",I262-F262)</f>
        <v/>
      </c>
      <c r="L262" s="11">
        <f>IF(K262="W",IF(G262&lt;0,H262*100/ABS(G262),H262*G262/100),IF(K262="L",-H262,0))</f>
        <v/>
      </c>
      <c r="M262" s="11">
        <f>Settings!$B$4+SUM(L$2:L262)</f>
        <v/>
      </c>
    </row>
    <row r="263">
      <c r="J263" s="12">
        <f>IF(I263="","",I263-F263)</f>
        <v/>
      </c>
      <c r="L263" s="11">
        <f>IF(K263="W",IF(G263&lt;0,H263*100/ABS(G263),H263*G263/100),IF(K263="L",-H263,0))</f>
        <v/>
      </c>
      <c r="M263" s="11">
        <f>Settings!$B$4+SUM(L$2:L263)</f>
        <v/>
      </c>
    </row>
    <row r="264">
      <c r="J264" s="12">
        <f>IF(I264="","",I264-F264)</f>
        <v/>
      </c>
      <c r="L264" s="11">
        <f>IF(K264="W",IF(G264&lt;0,H264*100/ABS(G264),H264*G264/100),IF(K264="L",-H264,0))</f>
        <v/>
      </c>
      <c r="M264" s="11">
        <f>Settings!$B$4+SUM(L$2:L264)</f>
        <v/>
      </c>
    </row>
    <row r="265">
      <c r="J265" s="12">
        <f>IF(I265="","",I265-F265)</f>
        <v/>
      </c>
      <c r="L265" s="11">
        <f>IF(K265="W",IF(G265&lt;0,H265*100/ABS(G265),H265*G265/100),IF(K265="L",-H265,0))</f>
        <v/>
      </c>
      <c r="M265" s="11">
        <f>Settings!$B$4+SUM(L$2:L265)</f>
        <v/>
      </c>
    </row>
    <row r="266">
      <c r="J266" s="12">
        <f>IF(I266="","",I266-F266)</f>
        <v/>
      </c>
      <c r="L266" s="11">
        <f>IF(K266="W",IF(G266&lt;0,H266*100/ABS(G266),H266*G266/100),IF(K266="L",-H266,0))</f>
        <v/>
      </c>
      <c r="M266" s="11">
        <f>Settings!$B$4+SUM(L$2:L266)</f>
        <v/>
      </c>
    </row>
    <row r="267">
      <c r="J267" s="12">
        <f>IF(I267="","",I267-F267)</f>
        <v/>
      </c>
      <c r="L267" s="11">
        <f>IF(K267="W",IF(G267&lt;0,H267*100/ABS(G267),H267*G267/100),IF(K267="L",-H267,0))</f>
        <v/>
      </c>
      <c r="M267" s="11">
        <f>Settings!$B$4+SUM(L$2:L267)</f>
        <v/>
      </c>
    </row>
    <row r="268">
      <c r="J268" s="12">
        <f>IF(I268="","",I268-F268)</f>
        <v/>
      </c>
      <c r="L268" s="11">
        <f>IF(K268="W",IF(G268&lt;0,H268*100/ABS(G268),H268*G268/100),IF(K268="L",-H268,0))</f>
        <v/>
      </c>
      <c r="M268" s="11">
        <f>Settings!$B$4+SUM(L$2:L268)</f>
        <v/>
      </c>
    </row>
    <row r="269">
      <c r="J269" s="12">
        <f>IF(I269="","",I269-F269)</f>
        <v/>
      </c>
      <c r="L269" s="11">
        <f>IF(K269="W",IF(G269&lt;0,H269*100/ABS(G269),H269*G269/100),IF(K269="L",-H269,0))</f>
        <v/>
      </c>
      <c r="M269" s="11">
        <f>Settings!$B$4+SUM(L$2:L269)</f>
        <v/>
      </c>
    </row>
    <row r="270">
      <c r="J270" s="12">
        <f>IF(I270="","",I270-F270)</f>
        <v/>
      </c>
      <c r="L270" s="11">
        <f>IF(K270="W",IF(G270&lt;0,H270*100/ABS(G270),H270*G270/100),IF(K270="L",-H270,0))</f>
        <v/>
      </c>
      <c r="M270" s="11">
        <f>Settings!$B$4+SUM(L$2:L270)</f>
        <v/>
      </c>
    </row>
    <row r="271">
      <c r="J271" s="12">
        <f>IF(I271="","",I271-F271)</f>
        <v/>
      </c>
      <c r="L271" s="11">
        <f>IF(K271="W",IF(G271&lt;0,H271*100/ABS(G271),H271*G271/100),IF(K271="L",-H271,0))</f>
        <v/>
      </c>
      <c r="M271" s="11">
        <f>Settings!$B$4+SUM(L$2:L271)</f>
        <v/>
      </c>
    </row>
    <row r="272">
      <c r="J272" s="12">
        <f>IF(I272="","",I272-F272)</f>
        <v/>
      </c>
      <c r="L272" s="11">
        <f>IF(K272="W",IF(G272&lt;0,H272*100/ABS(G272),H272*G272/100),IF(K272="L",-H272,0))</f>
        <v/>
      </c>
      <c r="M272" s="11">
        <f>Settings!$B$4+SUM(L$2:L272)</f>
        <v/>
      </c>
    </row>
    <row r="273">
      <c r="J273" s="12">
        <f>IF(I273="","",I273-F273)</f>
        <v/>
      </c>
      <c r="L273" s="11">
        <f>IF(K273="W",IF(G273&lt;0,H273*100/ABS(G273),H273*G273/100),IF(K273="L",-H273,0))</f>
        <v/>
      </c>
      <c r="M273" s="11">
        <f>Settings!$B$4+SUM(L$2:L273)</f>
        <v/>
      </c>
    </row>
    <row r="274">
      <c r="J274" s="12">
        <f>IF(I274="","",I274-F274)</f>
        <v/>
      </c>
      <c r="L274" s="11">
        <f>IF(K274="W",IF(G274&lt;0,H274*100/ABS(G274),H274*G274/100),IF(K274="L",-H274,0))</f>
        <v/>
      </c>
      <c r="M274" s="11">
        <f>Settings!$B$4+SUM(L$2:L274)</f>
        <v/>
      </c>
    </row>
    <row r="275">
      <c r="J275" s="12">
        <f>IF(I275="","",I275-F275)</f>
        <v/>
      </c>
      <c r="L275" s="11">
        <f>IF(K275="W",IF(G275&lt;0,H275*100/ABS(G275),H275*G275/100),IF(K275="L",-H275,0))</f>
        <v/>
      </c>
      <c r="M275" s="11">
        <f>Settings!$B$4+SUM(L$2:L275)</f>
        <v/>
      </c>
    </row>
    <row r="276">
      <c r="J276" s="12">
        <f>IF(I276="","",I276-F276)</f>
        <v/>
      </c>
      <c r="L276" s="11">
        <f>IF(K276="W",IF(G276&lt;0,H276*100/ABS(G276),H276*G276/100),IF(K276="L",-H276,0))</f>
        <v/>
      </c>
      <c r="M276" s="11">
        <f>Settings!$B$4+SUM(L$2:L276)</f>
        <v/>
      </c>
    </row>
    <row r="277">
      <c r="J277" s="12">
        <f>IF(I277="","",I277-F277)</f>
        <v/>
      </c>
      <c r="L277" s="11">
        <f>IF(K277="W",IF(G277&lt;0,H277*100/ABS(G277),H277*G277/100),IF(K277="L",-H277,0))</f>
        <v/>
      </c>
      <c r="M277" s="11">
        <f>Settings!$B$4+SUM(L$2:L277)</f>
        <v/>
      </c>
    </row>
    <row r="278">
      <c r="J278" s="12">
        <f>IF(I278="","",I278-F278)</f>
        <v/>
      </c>
      <c r="L278" s="11">
        <f>IF(K278="W",IF(G278&lt;0,H278*100/ABS(G278),H278*G278/100),IF(K278="L",-H278,0))</f>
        <v/>
      </c>
      <c r="M278" s="11">
        <f>Settings!$B$4+SUM(L$2:L278)</f>
        <v/>
      </c>
    </row>
    <row r="279">
      <c r="J279" s="12">
        <f>IF(I279="","",I279-F279)</f>
        <v/>
      </c>
      <c r="L279" s="11">
        <f>IF(K279="W",IF(G279&lt;0,H279*100/ABS(G279),H279*G279/100),IF(K279="L",-H279,0))</f>
        <v/>
      </c>
      <c r="M279" s="11">
        <f>Settings!$B$4+SUM(L$2:L279)</f>
        <v/>
      </c>
    </row>
    <row r="280">
      <c r="J280" s="12">
        <f>IF(I280="","",I280-F280)</f>
        <v/>
      </c>
      <c r="L280" s="11">
        <f>IF(K280="W",IF(G280&lt;0,H280*100/ABS(G280),H280*G280/100),IF(K280="L",-H280,0))</f>
        <v/>
      </c>
      <c r="M280" s="11">
        <f>Settings!$B$4+SUM(L$2:L280)</f>
        <v/>
      </c>
    </row>
    <row r="281">
      <c r="J281" s="12">
        <f>IF(I281="","",I281-F281)</f>
        <v/>
      </c>
      <c r="L281" s="11">
        <f>IF(K281="W",IF(G281&lt;0,H281*100/ABS(G281),H281*G281/100),IF(K281="L",-H281,0))</f>
        <v/>
      </c>
      <c r="M281" s="11">
        <f>Settings!$B$4+SUM(L$2:L281)</f>
        <v/>
      </c>
    </row>
    <row r="282">
      <c r="J282" s="12">
        <f>IF(I282="","",I282-F282)</f>
        <v/>
      </c>
      <c r="L282" s="11">
        <f>IF(K282="W",IF(G282&lt;0,H282*100/ABS(G282),H282*G282/100),IF(K282="L",-H282,0))</f>
        <v/>
      </c>
      <c r="M282" s="11">
        <f>Settings!$B$4+SUM(L$2:L282)</f>
        <v/>
      </c>
    </row>
    <row r="283">
      <c r="J283" s="12">
        <f>IF(I283="","",I283-F283)</f>
        <v/>
      </c>
      <c r="L283" s="11">
        <f>IF(K283="W",IF(G283&lt;0,H283*100/ABS(G283),H283*G283/100),IF(K283="L",-H283,0))</f>
        <v/>
      </c>
      <c r="M283" s="11">
        <f>Settings!$B$4+SUM(L$2:L283)</f>
        <v/>
      </c>
    </row>
    <row r="284">
      <c r="J284" s="12">
        <f>IF(I284="","",I284-F284)</f>
        <v/>
      </c>
      <c r="L284" s="11">
        <f>IF(K284="W",IF(G284&lt;0,H284*100/ABS(G284),H284*G284/100),IF(K284="L",-H284,0))</f>
        <v/>
      </c>
      <c r="M284" s="11">
        <f>Settings!$B$4+SUM(L$2:L284)</f>
        <v/>
      </c>
    </row>
    <row r="285">
      <c r="J285" s="12">
        <f>IF(I285="","",I285-F285)</f>
        <v/>
      </c>
      <c r="L285" s="11">
        <f>IF(K285="W",IF(G285&lt;0,H285*100/ABS(G285),H285*G285/100),IF(K285="L",-H285,0))</f>
        <v/>
      </c>
      <c r="M285" s="11">
        <f>Settings!$B$4+SUM(L$2:L285)</f>
        <v/>
      </c>
    </row>
    <row r="286">
      <c r="J286" s="12">
        <f>IF(I286="","",I286-F286)</f>
        <v/>
      </c>
      <c r="L286" s="11">
        <f>IF(K286="W",IF(G286&lt;0,H286*100/ABS(G286),H286*G286/100),IF(K286="L",-H286,0))</f>
        <v/>
      </c>
      <c r="M286" s="11">
        <f>Settings!$B$4+SUM(L$2:L286)</f>
        <v/>
      </c>
    </row>
    <row r="287">
      <c r="J287" s="12">
        <f>IF(I287="","",I287-F287)</f>
        <v/>
      </c>
      <c r="L287" s="11">
        <f>IF(K287="W",IF(G287&lt;0,H287*100/ABS(G287),H287*G287/100),IF(K287="L",-H287,0))</f>
        <v/>
      </c>
      <c r="M287" s="11">
        <f>Settings!$B$4+SUM(L$2:L287)</f>
        <v/>
      </c>
    </row>
    <row r="288">
      <c r="J288" s="12">
        <f>IF(I288="","",I288-F288)</f>
        <v/>
      </c>
      <c r="L288" s="11">
        <f>IF(K288="W",IF(G288&lt;0,H288*100/ABS(G288),H288*G288/100),IF(K288="L",-H288,0))</f>
        <v/>
      </c>
      <c r="M288" s="11">
        <f>Settings!$B$4+SUM(L$2:L288)</f>
        <v/>
      </c>
    </row>
    <row r="289">
      <c r="J289" s="12">
        <f>IF(I289="","",I289-F289)</f>
        <v/>
      </c>
      <c r="L289" s="11">
        <f>IF(K289="W",IF(G289&lt;0,H289*100/ABS(G289),H289*G289/100),IF(K289="L",-H289,0))</f>
        <v/>
      </c>
      <c r="M289" s="11">
        <f>Settings!$B$4+SUM(L$2:L289)</f>
        <v/>
      </c>
    </row>
    <row r="290">
      <c r="J290" s="12">
        <f>IF(I290="","",I290-F290)</f>
        <v/>
      </c>
      <c r="L290" s="11">
        <f>IF(K290="W",IF(G290&lt;0,H290*100/ABS(G290),H290*G290/100),IF(K290="L",-H290,0))</f>
        <v/>
      </c>
      <c r="M290" s="11">
        <f>Settings!$B$4+SUM(L$2:L290)</f>
        <v/>
      </c>
    </row>
    <row r="291">
      <c r="J291" s="12">
        <f>IF(I291="","",I291-F291)</f>
        <v/>
      </c>
      <c r="L291" s="11">
        <f>IF(K291="W",IF(G291&lt;0,H291*100/ABS(G291),H291*G291/100),IF(K291="L",-H291,0))</f>
        <v/>
      </c>
      <c r="M291" s="11">
        <f>Settings!$B$4+SUM(L$2:L291)</f>
        <v/>
      </c>
    </row>
    <row r="292">
      <c r="J292" s="12">
        <f>IF(I292="","",I292-F292)</f>
        <v/>
      </c>
      <c r="L292" s="11">
        <f>IF(K292="W",IF(G292&lt;0,H292*100/ABS(G292),H292*G292/100),IF(K292="L",-H292,0))</f>
        <v/>
      </c>
      <c r="M292" s="11">
        <f>Settings!$B$4+SUM(L$2:L292)</f>
        <v/>
      </c>
    </row>
    <row r="293">
      <c r="J293" s="12">
        <f>IF(I293="","",I293-F293)</f>
        <v/>
      </c>
      <c r="L293" s="11">
        <f>IF(K293="W",IF(G293&lt;0,H293*100/ABS(G293),H293*G293/100),IF(K293="L",-H293,0))</f>
        <v/>
      </c>
      <c r="M293" s="11">
        <f>Settings!$B$4+SUM(L$2:L293)</f>
        <v/>
      </c>
    </row>
    <row r="294">
      <c r="J294" s="12">
        <f>IF(I294="","",I294-F294)</f>
        <v/>
      </c>
      <c r="L294" s="11">
        <f>IF(K294="W",IF(G294&lt;0,H294*100/ABS(G294),H294*G294/100),IF(K294="L",-H294,0))</f>
        <v/>
      </c>
      <c r="M294" s="11">
        <f>Settings!$B$4+SUM(L$2:L294)</f>
        <v/>
      </c>
    </row>
    <row r="295">
      <c r="J295" s="12">
        <f>IF(I295="","",I295-F295)</f>
        <v/>
      </c>
      <c r="L295" s="11">
        <f>IF(K295="W",IF(G295&lt;0,H295*100/ABS(G295),H295*G295/100),IF(K295="L",-H295,0))</f>
        <v/>
      </c>
      <c r="M295" s="11">
        <f>Settings!$B$4+SUM(L$2:L295)</f>
        <v/>
      </c>
    </row>
    <row r="296">
      <c r="J296" s="12">
        <f>IF(I296="","",I296-F296)</f>
        <v/>
      </c>
      <c r="L296" s="11">
        <f>IF(K296="W",IF(G296&lt;0,H296*100/ABS(G296),H296*G296/100),IF(K296="L",-H296,0))</f>
        <v/>
      </c>
      <c r="M296" s="11">
        <f>Settings!$B$4+SUM(L$2:L296)</f>
        <v/>
      </c>
    </row>
    <row r="297">
      <c r="J297" s="12">
        <f>IF(I297="","",I297-F297)</f>
        <v/>
      </c>
      <c r="L297" s="11">
        <f>IF(K297="W",IF(G297&lt;0,H297*100/ABS(G297),H297*G297/100),IF(K297="L",-H297,0))</f>
        <v/>
      </c>
      <c r="M297" s="11">
        <f>Settings!$B$4+SUM(L$2:L297)</f>
        <v/>
      </c>
    </row>
    <row r="298">
      <c r="J298" s="12">
        <f>IF(I298="","",I298-F298)</f>
        <v/>
      </c>
      <c r="L298" s="11">
        <f>IF(K298="W",IF(G298&lt;0,H298*100/ABS(G298),H298*G298/100),IF(K298="L",-H298,0))</f>
        <v/>
      </c>
      <c r="M298" s="11">
        <f>Settings!$B$4+SUM(L$2:L298)</f>
        <v/>
      </c>
    </row>
    <row r="299">
      <c r="J299" s="12">
        <f>IF(I299="","",I299-F299)</f>
        <v/>
      </c>
      <c r="L299" s="11">
        <f>IF(K299="W",IF(G299&lt;0,H299*100/ABS(G299),H299*G299/100),IF(K299="L",-H299,0))</f>
        <v/>
      </c>
      <c r="M299" s="11">
        <f>Settings!$B$4+SUM(L$2:L299)</f>
        <v/>
      </c>
    </row>
    <row r="300">
      <c r="J300" s="12">
        <f>IF(I300="","",I300-F300)</f>
        <v/>
      </c>
      <c r="L300" s="11">
        <f>IF(K300="W",IF(G300&lt;0,H300*100/ABS(G300),H300*G300/100),IF(K300="L",-H300,0))</f>
        <v/>
      </c>
      <c r="M300" s="11">
        <f>Settings!$B$4+SUM(L$2:L300)</f>
        <v/>
      </c>
    </row>
    <row r="301">
      <c r="J301" s="12">
        <f>IF(I301="","",I301-F301)</f>
        <v/>
      </c>
      <c r="L301" s="11">
        <f>IF(K301="W",IF(G301&lt;0,H301*100/ABS(G301),H301*G301/100),IF(K301="L",-H301,0))</f>
        <v/>
      </c>
      <c r="M301" s="11">
        <f>Settings!$B$4+SUM(L$2:L301)</f>
        <v/>
      </c>
    </row>
    <row r="302">
      <c r="J302" s="12">
        <f>IF(I302="","",I302-F302)</f>
        <v/>
      </c>
      <c r="L302" s="11">
        <f>IF(K302="W",IF(G302&lt;0,H302*100/ABS(G302),H302*G302/100),IF(K302="L",-H302,0))</f>
        <v/>
      </c>
      <c r="M302" s="11">
        <f>Settings!$B$4+SUM(L$2:L302)</f>
        <v/>
      </c>
    </row>
    <row r="303">
      <c r="J303" s="12">
        <f>IF(I303="","",I303-F303)</f>
        <v/>
      </c>
      <c r="L303" s="11">
        <f>IF(K303="W",IF(G303&lt;0,H303*100/ABS(G303),H303*G303/100),IF(K303="L",-H303,0))</f>
        <v/>
      </c>
      <c r="M303" s="11">
        <f>Settings!$B$4+SUM(L$2:L303)</f>
        <v/>
      </c>
    </row>
    <row r="304">
      <c r="J304" s="12">
        <f>IF(I304="","",I304-F304)</f>
        <v/>
      </c>
      <c r="L304" s="11">
        <f>IF(K304="W",IF(G304&lt;0,H304*100/ABS(G304),H304*G304/100),IF(K304="L",-H304,0))</f>
        <v/>
      </c>
      <c r="M304" s="11">
        <f>Settings!$B$4+SUM(L$2:L304)</f>
        <v/>
      </c>
    </row>
    <row r="305">
      <c r="J305" s="12">
        <f>IF(I305="","",I305-F305)</f>
        <v/>
      </c>
      <c r="L305" s="11">
        <f>IF(K305="W",IF(G305&lt;0,H305*100/ABS(G305),H305*G305/100),IF(K305="L",-H305,0))</f>
        <v/>
      </c>
      <c r="M305" s="11">
        <f>Settings!$B$4+SUM(L$2:L305)</f>
        <v/>
      </c>
    </row>
    <row r="306">
      <c r="J306" s="12">
        <f>IF(I306="","",I306-F306)</f>
        <v/>
      </c>
      <c r="L306" s="11">
        <f>IF(K306="W",IF(G306&lt;0,H306*100/ABS(G306),H306*G306/100),IF(K306="L",-H306,0))</f>
        <v/>
      </c>
      <c r="M306" s="11">
        <f>Settings!$B$4+SUM(L$2:L306)</f>
        <v/>
      </c>
    </row>
    <row r="307">
      <c r="J307" s="12">
        <f>IF(I307="","",I307-F307)</f>
        <v/>
      </c>
      <c r="L307" s="11">
        <f>IF(K307="W",IF(G307&lt;0,H307*100/ABS(G307),H307*G307/100),IF(K307="L",-H307,0))</f>
        <v/>
      </c>
      <c r="M307" s="11">
        <f>Settings!$B$4+SUM(L$2:L307)</f>
        <v/>
      </c>
    </row>
    <row r="308">
      <c r="J308" s="12">
        <f>IF(I308="","",I308-F308)</f>
        <v/>
      </c>
      <c r="L308" s="11">
        <f>IF(K308="W",IF(G308&lt;0,H308*100/ABS(G308),H308*G308/100),IF(K308="L",-H308,0))</f>
        <v/>
      </c>
      <c r="M308" s="11">
        <f>Settings!$B$4+SUM(L$2:L308)</f>
        <v/>
      </c>
    </row>
    <row r="309">
      <c r="J309" s="12">
        <f>IF(I309="","",I309-F309)</f>
        <v/>
      </c>
      <c r="L309" s="11">
        <f>IF(K309="W",IF(G309&lt;0,H309*100/ABS(G309),H309*G309/100),IF(K309="L",-H309,0))</f>
        <v/>
      </c>
      <c r="M309" s="11">
        <f>Settings!$B$4+SUM(L$2:L309)</f>
        <v/>
      </c>
    </row>
    <row r="310">
      <c r="J310" s="12">
        <f>IF(I310="","",I310-F310)</f>
        <v/>
      </c>
      <c r="L310" s="11">
        <f>IF(K310="W",IF(G310&lt;0,H310*100/ABS(G310),H310*G310/100),IF(K310="L",-H310,0))</f>
        <v/>
      </c>
      <c r="M310" s="11">
        <f>Settings!$B$4+SUM(L$2:L310)</f>
        <v/>
      </c>
    </row>
    <row r="311">
      <c r="J311" s="12">
        <f>IF(I311="","",I311-F311)</f>
        <v/>
      </c>
      <c r="L311" s="11">
        <f>IF(K311="W",IF(G311&lt;0,H311*100/ABS(G311),H311*G311/100),IF(K311="L",-H311,0))</f>
        <v/>
      </c>
      <c r="M311" s="11">
        <f>Settings!$B$4+SUM(L$2:L311)</f>
        <v/>
      </c>
    </row>
    <row r="312">
      <c r="J312" s="12">
        <f>IF(I312="","",I312-F312)</f>
        <v/>
      </c>
      <c r="L312" s="11">
        <f>IF(K312="W",IF(G312&lt;0,H312*100/ABS(G312),H312*G312/100),IF(K312="L",-H312,0))</f>
        <v/>
      </c>
      <c r="M312" s="11">
        <f>Settings!$B$4+SUM(L$2:L312)</f>
        <v/>
      </c>
    </row>
    <row r="313">
      <c r="J313" s="12">
        <f>IF(I313="","",I313-F313)</f>
        <v/>
      </c>
      <c r="L313" s="11">
        <f>IF(K313="W",IF(G313&lt;0,H313*100/ABS(G313),H313*G313/100),IF(K313="L",-H313,0))</f>
        <v/>
      </c>
      <c r="M313" s="11">
        <f>Settings!$B$4+SUM(L$2:L313)</f>
        <v/>
      </c>
    </row>
    <row r="314">
      <c r="J314" s="12">
        <f>IF(I314="","",I314-F314)</f>
        <v/>
      </c>
      <c r="L314" s="11">
        <f>IF(K314="W",IF(G314&lt;0,H314*100/ABS(G314),H314*G314/100),IF(K314="L",-H314,0))</f>
        <v/>
      </c>
      <c r="M314" s="11">
        <f>Settings!$B$4+SUM(L$2:L314)</f>
        <v/>
      </c>
    </row>
    <row r="315">
      <c r="J315" s="12">
        <f>IF(I315="","",I315-F315)</f>
        <v/>
      </c>
      <c r="L315" s="11">
        <f>IF(K315="W",IF(G315&lt;0,H315*100/ABS(G315),H315*G315/100),IF(K315="L",-H315,0))</f>
        <v/>
      </c>
      <c r="M315" s="11">
        <f>Settings!$B$4+SUM(L$2:L315)</f>
        <v/>
      </c>
    </row>
    <row r="316">
      <c r="J316" s="12">
        <f>IF(I316="","",I316-F316)</f>
        <v/>
      </c>
      <c r="L316" s="11">
        <f>IF(K316="W",IF(G316&lt;0,H316*100/ABS(G316),H316*G316/100),IF(K316="L",-H316,0))</f>
        <v/>
      </c>
      <c r="M316" s="11">
        <f>Settings!$B$4+SUM(L$2:L316)</f>
        <v/>
      </c>
    </row>
    <row r="317">
      <c r="J317" s="12">
        <f>IF(I317="","",I317-F317)</f>
        <v/>
      </c>
      <c r="L317" s="11">
        <f>IF(K317="W",IF(G317&lt;0,H317*100/ABS(G317),H317*G317/100),IF(K317="L",-H317,0))</f>
        <v/>
      </c>
      <c r="M317" s="11">
        <f>Settings!$B$4+SUM(L$2:L317)</f>
        <v/>
      </c>
    </row>
    <row r="318">
      <c r="J318" s="12">
        <f>IF(I318="","",I318-F318)</f>
        <v/>
      </c>
      <c r="L318" s="11">
        <f>IF(K318="W",IF(G318&lt;0,H318*100/ABS(G318),H318*G318/100),IF(K318="L",-H318,0))</f>
        <v/>
      </c>
      <c r="M318" s="11">
        <f>Settings!$B$4+SUM(L$2:L318)</f>
        <v/>
      </c>
    </row>
    <row r="319">
      <c r="J319" s="12">
        <f>IF(I319="","",I319-F319)</f>
        <v/>
      </c>
      <c r="L319" s="11">
        <f>IF(K319="W",IF(G319&lt;0,H319*100/ABS(G319),H319*G319/100),IF(K319="L",-H319,0))</f>
        <v/>
      </c>
      <c r="M319" s="11">
        <f>Settings!$B$4+SUM(L$2:L319)</f>
        <v/>
      </c>
    </row>
    <row r="320">
      <c r="J320" s="12">
        <f>IF(I320="","",I320-F320)</f>
        <v/>
      </c>
      <c r="L320" s="11">
        <f>IF(K320="W",IF(G320&lt;0,H320*100/ABS(G320),H320*G320/100),IF(K320="L",-H320,0))</f>
        <v/>
      </c>
      <c r="M320" s="11">
        <f>Settings!$B$4+SUM(L$2:L320)</f>
        <v/>
      </c>
    </row>
    <row r="321">
      <c r="J321" s="12">
        <f>IF(I321="","",I321-F321)</f>
        <v/>
      </c>
      <c r="L321" s="11">
        <f>IF(K321="W",IF(G321&lt;0,H321*100/ABS(G321),H321*G321/100),IF(K321="L",-H321,0))</f>
        <v/>
      </c>
      <c r="M321" s="11">
        <f>Settings!$B$4+SUM(L$2:L321)</f>
        <v/>
      </c>
    </row>
    <row r="322">
      <c r="J322" s="12">
        <f>IF(I322="","",I322-F322)</f>
        <v/>
      </c>
      <c r="L322" s="11">
        <f>IF(K322="W",IF(G322&lt;0,H322*100/ABS(G322),H322*G322/100),IF(K322="L",-H322,0))</f>
        <v/>
      </c>
      <c r="M322" s="11">
        <f>Settings!$B$4+SUM(L$2:L322)</f>
        <v/>
      </c>
    </row>
    <row r="323">
      <c r="J323" s="12">
        <f>IF(I323="","",I323-F323)</f>
        <v/>
      </c>
      <c r="L323" s="11">
        <f>IF(K323="W",IF(G323&lt;0,H323*100/ABS(G323),H323*G323/100),IF(K323="L",-H323,0))</f>
        <v/>
      </c>
      <c r="M323" s="11">
        <f>Settings!$B$4+SUM(L$2:L323)</f>
        <v/>
      </c>
    </row>
    <row r="324">
      <c r="J324" s="12">
        <f>IF(I324="","",I324-F324)</f>
        <v/>
      </c>
      <c r="L324" s="11">
        <f>IF(K324="W",IF(G324&lt;0,H324*100/ABS(G324),H324*G324/100),IF(K324="L",-H324,0))</f>
        <v/>
      </c>
      <c r="M324" s="11">
        <f>Settings!$B$4+SUM(L$2:L324)</f>
        <v/>
      </c>
    </row>
    <row r="325">
      <c r="J325" s="12">
        <f>IF(I325="","",I325-F325)</f>
        <v/>
      </c>
      <c r="L325" s="11">
        <f>IF(K325="W",IF(G325&lt;0,H325*100/ABS(G325),H325*G325/100),IF(K325="L",-H325,0))</f>
        <v/>
      </c>
      <c r="M325" s="11">
        <f>Settings!$B$4+SUM(L$2:L325)</f>
        <v/>
      </c>
    </row>
    <row r="326">
      <c r="J326" s="12">
        <f>IF(I326="","",I326-F326)</f>
        <v/>
      </c>
      <c r="L326" s="11">
        <f>IF(K326="W",IF(G326&lt;0,H326*100/ABS(G326),H326*G326/100),IF(K326="L",-H326,0))</f>
        <v/>
      </c>
      <c r="M326" s="11">
        <f>Settings!$B$4+SUM(L$2:L326)</f>
        <v/>
      </c>
    </row>
    <row r="327">
      <c r="J327" s="12">
        <f>IF(I327="","",I327-F327)</f>
        <v/>
      </c>
      <c r="L327" s="11">
        <f>IF(K327="W",IF(G327&lt;0,H327*100/ABS(G327),H327*G327/100),IF(K327="L",-H327,0))</f>
        <v/>
      </c>
      <c r="M327" s="11">
        <f>Settings!$B$4+SUM(L$2:L327)</f>
        <v/>
      </c>
    </row>
    <row r="328">
      <c r="J328" s="12">
        <f>IF(I328="","",I328-F328)</f>
        <v/>
      </c>
      <c r="L328" s="11">
        <f>IF(K328="W",IF(G328&lt;0,H328*100/ABS(G328),H328*G328/100),IF(K328="L",-H328,0))</f>
        <v/>
      </c>
      <c r="M328" s="11">
        <f>Settings!$B$4+SUM(L$2:L328)</f>
        <v/>
      </c>
    </row>
    <row r="329">
      <c r="J329" s="12">
        <f>IF(I329="","",I329-F329)</f>
        <v/>
      </c>
      <c r="L329" s="11">
        <f>IF(K329="W",IF(G329&lt;0,H329*100/ABS(G329),H329*G329/100),IF(K329="L",-H329,0))</f>
        <v/>
      </c>
      <c r="M329" s="11">
        <f>Settings!$B$4+SUM(L$2:L329)</f>
        <v/>
      </c>
    </row>
    <row r="330">
      <c r="J330" s="12">
        <f>IF(I330="","",I330-F330)</f>
        <v/>
      </c>
      <c r="L330" s="11">
        <f>IF(K330="W",IF(G330&lt;0,H330*100/ABS(G330),H330*G330/100),IF(K330="L",-H330,0))</f>
        <v/>
      </c>
      <c r="M330" s="11">
        <f>Settings!$B$4+SUM(L$2:L330)</f>
        <v/>
      </c>
    </row>
    <row r="331">
      <c r="J331" s="12">
        <f>IF(I331="","",I331-F331)</f>
        <v/>
      </c>
      <c r="L331" s="11">
        <f>IF(K331="W",IF(G331&lt;0,H331*100/ABS(G331),H331*G331/100),IF(K331="L",-H331,0))</f>
        <v/>
      </c>
      <c r="M331" s="11">
        <f>Settings!$B$4+SUM(L$2:L331)</f>
        <v/>
      </c>
    </row>
    <row r="332">
      <c r="J332" s="12">
        <f>IF(I332="","",I332-F332)</f>
        <v/>
      </c>
      <c r="L332" s="11">
        <f>IF(K332="W",IF(G332&lt;0,H332*100/ABS(G332),H332*G332/100),IF(K332="L",-H332,0))</f>
        <v/>
      </c>
      <c r="M332" s="11">
        <f>Settings!$B$4+SUM(L$2:L332)</f>
        <v/>
      </c>
    </row>
    <row r="333">
      <c r="J333" s="12">
        <f>IF(I333="","",I333-F333)</f>
        <v/>
      </c>
      <c r="L333" s="11">
        <f>IF(K333="W",IF(G333&lt;0,H333*100/ABS(G333),H333*G333/100),IF(K333="L",-H333,0))</f>
        <v/>
      </c>
      <c r="M333" s="11">
        <f>Settings!$B$4+SUM(L$2:L333)</f>
        <v/>
      </c>
    </row>
    <row r="334">
      <c r="J334" s="12">
        <f>IF(I334="","",I334-F334)</f>
        <v/>
      </c>
      <c r="L334" s="11">
        <f>IF(K334="W",IF(G334&lt;0,H334*100/ABS(G334),H334*G334/100),IF(K334="L",-H334,0))</f>
        <v/>
      </c>
      <c r="M334" s="11">
        <f>Settings!$B$4+SUM(L$2:L334)</f>
        <v/>
      </c>
    </row>
    <row r="335">
      <c r="J335" s="12">
        <f>IF(I335="","",I335-F335)</f>
        <v/>
      </c>
      <c r="L335" s="11">
        <f>IF(K335="W",IF(G335&lt;0,H335*100/ABS(G335),H335*G335/100),IF(K335="L",-H335,0))</f>
        <v/>
      </c>
      <c r="M335" s="11">
        <f>Settings!$B$4+SUM(L$2:L335)</f>
        <v/>
      </c>
    </row>
    <row r="336">
      <c r="J336" s="12">
        <f>IF(I336="","",I336-F336)</f>
        <v/>
      </c>
      <c r="L336" s="11">
        <f>IF(K336="W",IF(G336&lt;0,H336*100/ABS(G336),H336*G336/100),IF(K336="L",-H336,0))</f>
        <v/>
      </c>
      <c r="M336" s="11">
        <f>Settings!$B$4+SUM(L$2:L336)</f>
        <v/>
      </c>
    </row>
    <row r="337">
      <c r="J337" s="12">
        <f>IF(I337="","",I337-F337)</f>
        <v/>
      </c>
      <c r="L337" s="11">
        <f>IF(K337="W",IF(G337&lt;0,H337*100/ABS(G337),H337*G337/100),IF(K337="L",-H337,0))</f>
        <v/>
      </c>
      <c r="M337" s="11">
        <f>Settings!$B$4+SUM(L$2:L337)</f>
        <v/>
      </c>
    </row>
    <row r="338">
      <c r="J338" s="12">
        <f>IF(I338="","",I338-F338)</f>
        <v/>
      </c>
      <c r="L338" s="11">
        <f>IF(K338="W",IF(G338&lt;0,H338*100/ABS(G338),H338*G338/100),IF(K338="L",-H338,0))</f>
        <v/>
      </c>
      <c r="M338" s="11">
        <f>Settings!$B$4+SUM(L$2:L338)</f>
        <v/>
      </c>
    </row>
    <row r="339">
      <c r="J339" s="12">
        <f>IF(I339="","",I339-F339)</f>
        <v/>
      </c>
      <c r="L339" s="11">
        <f>IF(K339="W",IF(G339&lt;0,H339*100/ABS(G339),H339*G339/100),IF(K339="L",-H339,0))</f>
        <v/>
      </c>
      <c r="M339" s="11">
        <f>Settings!$B$4+SUM(L$2:L339)</f>
        <v/>
      </c>
    </row>
    <row r="340">
      <c r="J340" s="12">
        <f>IF(I340="","",I340-F340)</f>
        <v/>
      </c>
      <c r="L340" s="11">
        <f>IF(K340="W",IF(G340&lt;0,H340*100/ABS(G340),H340*G340/100),IF(K340="L",-H340,0))</f>
        <v/>
      </c>
      <c r="M340" s="11">
        <f>Settings!$B$4+SUM(L$2:L340)</f>
        <v/>
      </c>
    </row>
    <row r="341">
      <c r="J341" s="12">
        <f>IF(I341="","",I341-F341)</f>
        <v/>
      </c>
      <c r="L341" s="11">
        <f>IF(K341="W",IF(G341&lt;0,H341*100/ABS(G341),H341*G341/100),IF(K341="L",-H341,0))</f>
        <v/>
      </c>
      <c r="M341" s="11">
        <f>Settings!$B$4+SUM(L$2:L341)</f>
        <v/>
      </c>
    </row>
    <row r="342">
      <c r="J342" s="12">
        <f>IF(I342="","",I342-F342)</f>
        <v/>
      </c>
      <c r="L342" s="11">
        <f>IF(K342="W",IF(G342&lt;0,H342*100/ABS(G342),H342*G342/100),IF(K342="L",-H342,0))</f>
        <v/>
      </c>
      <c r="M342" s="11">
        <f>Settings!$B$4+SUM(L$2:L342)</f>
        <v/>
      </c>
    </row>
    <row r="343">
      <c r="J343" s="12">
        <f>IF(I343="","",I343-F343)</f>
        <v/>
      </c>
      <c r="L343" s="11">
        <f>IF(K343="W",IF(G343&lt;0,H343*100/ABS(G343),H343*G343/100),IF(K343="L",-H343,0))</f>
        <v/>
      </c>
      <c r="M343" s="11">
        <f>Settings!$B$4+SUM(L$2:L343)</f>
        <v/>
      </c>
    </row>
    <row r="344">
      <c r="J344" s="12">
        <f>IF(I344="","",I344-F344)</f>
        <v/>
      </c>
      <c r="L344" s="11">
        <f>IF(K344="W",IF(G344&lt;0,H344*100/ABS(G344),H344*G344/100),IF(K344="L",-H344,0))</f>
        <v/>
      </c>
      <c r="M344" s="11">
        <f>Settings!$B$4+SUM(L$2:L344)</f>
        <v/>
      </c>
    </row>
    <row r="345">
      <c r="J345" s="12">
        <f>IF(I345="","",I345-F345)</f>
        <v/>
      </c>
      <c r="L345" s="11">
        <f>IF(K345="W",IF(G345&lt;0,H345*100/ABS(G345),H345*G345/100),IF(K345="L",-H345,0))</f>
        <v/>
      </c>
      <c r="M345" s="11">
        <f>Settings!$B$4+SUM(L$2:L345)</f>
        <v/>
      </c>
    </row>
    <row r="346">
      <c r="J346" s="12">
        <f>IF(I346="","",I346-F346)</f>
        <v/>
      </c>
      <c r="L346" s="11">
        <f>IF(K346="W",IF(G346&lt;0,H346*100/ABS(G346),H346*G346/100),IF(K346="L",-H346,0))</f>
        <v/>
      </c>
      <c r="M346" s="11">
        <f>Settings!$B$4+SUM(L$2:L346)</f>
        <v/>
      </c>
    </row>
    <row r="347">
      <c r="J347" s="12">
        <f>IF(I347="","",I347-F347)</f>
        <v/>
      </c>
      <c r="L347" s="11">
        <f>IF(K347="W",IF(G347&lt;0,H347*100/ABS(G347),H347*G347/100),IF(K347="L",-H347,0))</f>
        <v/>
      </c>
      <c r="M347" s="11">
        <f>Settings!$B$4+SUM(L$2:L347)</f>
        <v/>
      </c>
    </row>
    <row r="348">
      <c r="J348" s="12">
        <f>IF(I348="","",I348-F348)</f>
        <v/>
      </c>
      <c r="L348" s="11">
        <f>IF(K348="W",IF(G348&lt;0,H348*100/ABS(G348),H348*G348/100),IF(K348="L",-H348,0))</f>
        <v/>
      </c>
      <c r="M348" s="11">
        <f>Settings!$B$4+SUM(L$2:L348)</f>
        <v/>
      </c>
    </row>
    <row r="349">
      <c r="J349" s="12">
        <f>IF(I349="","",I349-F349)</f>
        <v/>
      </c>
      <c r="L349" s="11">
        <f>IF(K349="W",IF(G349&lt;0,H349*100/ABS(G349),H349*G349/100),IF(K349="L",-H349,0))</f>
        <v/>
      </c>
      <c r="M349" s="11">
        <f>Settings!$B$4+SUM(L$2:L349)</f>
        <v/>
      </c>
    </row>
    <row r="350">
      <c r="J350" s="12">
        <f>IF(I350="","",I350-F350)</f>
        <v/>
      </c>
      <c r="L350" s="11">
        <f>IF(K350="W",IF(G350&lt;0,H350*100/ABS(G350),H350*G350/100),IF(K350="L",-H350,0))</f>
        <v/>
      </c>
      <c r="M350" s="11">
        <f>Settings!$B$4+SUM(L$2:L350)</f>
        <v/>
      </c>
    </row>
    <row r="351">
      <c r="J351" s="12">
        <f>IF(I351="","",I351-F351)</f>
        <v/>
      </c>
      <c r="L351" s="11">
        <f>IF(K351="W",IF(G351&lt;0,H351*100/ABS(G351),H351*G351/100),IF(K351="L",-H351,0))</f>
        <v/>
      </c>
      <c r="M351" s="11">
        <f>Settings!$B$4+SUM(L$2:L351)</f>
        <v/>
      </c>
    </row>
    <row r="352">
      <c r="J352" s="12">
        <f>IF(I352="","",I352-F352)</f>
        <v/>
      </c>
      <c r="L352" s="11">
        <f>IF(K352="W",IF(G352&lt;0,H352*100/ABS(G352),H352*G352/100),IF(K352="L",-H352,0))</f>
        <v/>
      </c>
      <c r="M352" s="11">
        <f>Settings!$B$4+SUM(L$2:L352)</f>
        <v/>
      </c>
    </row>
    <row r="353">
      <c r="J353" s="12">
        <f>IF(I353="","",I353-F353)</f>
        <v/>
      </c>
      <c r="L353" s="11">
        <f>IF(K353="W",IF(G353&lt;0,H353*100/ABS(G353),H353*G353/100),IF(K353="L",-H353,0))</f>
        <v/>
      </c>
      <c r="M353" s="11">
        <f>Settings!$B$4+SUM(L$2:L353)</f>
        <v/>
      </c>
    </row>
    <row r="354">
      <c r="J354" s="12">
        <f>IF(I354="","",I354-F354)</f>
        <v/>
      </c>
      <c r="L354" s="11">
        <f>IF(K354="W",IF(G354&lt;0,H354*100/ABS(G354),H354*G354/100),IF(K354="L",-H354,0))</f>
        <v/>
      </c>
      <c r="M354" s="11">
        <f>Settings!$B$4+SUM(L$2:L354)</f>
        <v/>
      </c>
    </row>
    <row r="355">
      <c r="J355" s="12">
        <f>IF(I355="","",I355-F355)</f>
        <v/>
      </c>
      <c r="L355" s="11">
        <f>IF(K355="W",IF(G355&lt;0,H355*100/ABS(G355),H355*G355/100),IF(K355="L",-H355,0))</f>
        <v/>
      </c>
      <c r="M355" s="11">
        <f>Settings!$B$4+SUM(L$2:L355)</f>
        <v/>
      </c>
    </row>
    <row r="356">
      <c r="J356" s="12">
        <f>IF(I356="","",I356-F356)</f>
        <v/>
      </c>
      <c r="L356" s="11">
        <f>IF(K356="W",IF(G356&lt;0,H356*100/ABS(G356),H356*G356/100),IF(K356="L",-H356,0))</f>
        <v/>
      </c>
      <c r="M356" s="11">
        <f>Settings!$B$4+SUM(L$2:L356)</f>
        <v/>
      </c>
    </row>
    <row r="357">
      <c r="J357" s="12">
        <f>IF(I357="","",I357-F357)</f>
        <v/>
      </c>
      <c r="L357" s="11">
        <f>IF(K357="W",IF(G357&lt;0,H357*100/ABS(G357),H357*G357/100),IF(K357="L",-H357,0))</f>
        <v/>
      </c>
      <c r="M357" s="11">
        <f>Settings!$B$4+SUM(L$2:L357)</f>
        <v/>
      </c>
    </row>
    <row r="358">
      <c r="J358" s="12">
        <f>IF(I358="","",I358-F358)</f>
        <v/>
      </c>
      <c r="L358" s="11">
        <f>IF(K358="W",IF(G358&lt;0,H358*100/ABS(G358),H358*G358/100),IF(K358="L",-H358,0))</f>
        <v/>
      </c>
      <c r="M358" s="11">
        <f>Settings!$B$4+SUM(L$2:L358)</f>
        <v/>
      </c>
    </row>
    <row r="359">
      <c r="J359" s="12">
        <f>IF(I359="","",I359-F359)</f>
        <v/>
      </c>
      <c r="L359" s="11">
        <f>IF(K359="W",IF(G359&lt;0,H359*100/ABS(G359),H359*G359/100),IF(K359="L",-H359,0))</f>
        <v/>
      </c>
      <c r="M359" s="11">
        <f>Settings!$B$4+SUM(L$2:L359)</f>
        <v/>
      </c>
    </row>
    <row r="360">
      <c r="J360" s="12">
        <f>IF(I360="","",I360-F360)</f>
        <v/>
      </c>
      <c r="L360" s="11">
        <f>IF(K360="W",IF(G360&lt;0,H360*100/ABS(G360),H360*G360/100),IF(K360="L",-H360,0))</f>
        <v/>
      </c>
      <c r="M360" s="11">
        <f>Settings!$B$4+SUM(L$2:L360)</f>
        <v/>
      </c>
    </row>
    <row r="361">
      <c r="J361" s="12">
        <f>IF(I361="","",I361-F361)</f>
        <v/>
      </c>
      <c r="L361" s="11">
        <f>IF(K361="W",IF(G361&lt;0,H361*100/ABS(G361),H361*G361/100),IF(K361="L",-H361,0))</f>
        <v/>
      </c>
      <c r="M361" s="11">
        <f>Settings!$B$4+SUM(L$2:L361)</f>
        <v/>
      </c>
    </row>
    <row r="362">
      <c r="J362" s="12">
        <f>IF(I362="","",I362-F362)</f>
        <v/>
      </c>
      <c r="L362" s="11">
        <f>IF(K362="W",IF(G362&lt;0,H362*100/ABS(G362),H362*G362/100),IF(K362="L",-H362,0))</f>
        <v/>
      </c>
      <c r="M362" s="11">
        <f>Settings!$B$4+SUM(L$2:L362)</f>
        <v/>
      </c>
    </row>
    <row r="363">
      <c r="J363" s="12">
        <f>IF(I363="","",I363-F363)</f>
        <v/>
      </c>
      <c r="L363" s="11">
        <f>IF(K363="W",IF(G363&lt;0,H363*100/ABS(G363),H363*G363/100),IF(K363="L",-H363,0))</f>
        <v/>
      </c>
      <c r="M363" s="11">
        <f>Settings!$B$4+SUM(L$2:L363)</f>
        <v/>
      </c>
    </row>
    <row r="364">
      <c r="J364" s="12">
        <f>IF(I364="","",I364-F364)</f>
        <v/>
      </c>
      <c r="L364" s="11">
        <f>IF(K364="W",IF(G364&lt;0,H364*100/ABS(G364),H364*G364/100),IF(K364="L",-H364,0))</f>
        <v/>
      </c>
      <c r="M364" s="11">
        <f>Settings!$B$4+SUM(L$2:L364)</f>
        <v/>
      </c>
    </row>
    <row r="365">
      <c r="J365" s="12">
        <f>IF(I365="","",I365-F365)</f>
        <v/>
      </c>
      <c r="L365" s="11">
        <f>IF(K365="W",IF(G365&lt;0,H365*100/ABS(G365),H365*G365/100),IF(K365="L",-H365,0))</f>
        <v/>
      </c>
      <c r="M365" s="11">
        <f>Settings!$B$4+SUM(L$2:L365)</f>
        <v/>
      </c>
    </row>
    <row r="366">
      <c r="J366" s="12">
        <f>IF(I366="","",I366-F366)</f>
        <v/>
      </c>
      <c r="L366" s="11">
        <f>IF(K366="W",IF(G366&lt;0,H366*100/ABS(G366),H366*G366/100),IF(K366="L",-H366,0))</f>
        <v/>
      </c>
      <c r="M366" s="11">
        <f>Settings!$B$4+SUM(L$2:L366)</f>
        <v/>
      </c>
    </row>
    <row r="367">
      <c r="J367" s="12">
        <f>IF(I367="","",I367-F367)</f>
        <v/>
      </c>
      <c r="L367" s="11">
        <f>IF(K367="W",IF(G367&lt;0,H367*100/ABS(G367),H367*G367/100),IF(K367="L",-H367,0))</f>
        <v/>
      </c>
      <c r="M367" s="11">
        <f>Settings!$B$4+SUM(L$2:L367)</f>
        <v/>
      </c>
    </row>
    <row r="368">
      <c r="J368" s="12">
        <f>IF(I368="","",I368-F368)</f>
        <v/>
      </c>
      <c r="L368" s="11">
        <f>IF(K368="W",IF(G368&lt;0,H368*100/ABS(G368),H368*G368/100),IF(K368="L",-H368,0))</f>
        <v/>
      </c>
      <c r="M368" s="11">
        <f>Settings!$B$4+SUM(L$2:L368)</f>
        <v/>
      </c>
    </row>
    <row r="369">
      <c r="J369" s="12">
        <f>IF(I369="","",I369-F369)</f>
        <v/>
      </c>
      <c r="L369" s="11">
        <f>IF(K369="W",IF(G369&lt;0,H369*100/ABS(G369),H369*G369/100),IF(K369="L",-H369,0))</f>
        <v/>
      </c>
      <c r="M369" s="11">
        <f>Settings!$B$4+SUM(L$2:L369)</f>
        <v/>
      </c>
    </row>
    <row r="370">
      <c r="J370" s="12">
        <f>IF(I370="","",I370-F370)</f>
        <v/>
      </c>
      <c r="L370" s="11">
        <f>IF(K370="W",IF(G370&lt;0,H370*100/ABS(G370),H370*G370/100),IF(K370="L",-H370,0))</f>
        <v/>
      </c>
      <c r="M370" s="11">
        <f>Settings!$B$4+SUM(L$2:L370)</f>
        <v/>
      </c>
    </row>
    <row r="371">
      <c r="J371" s="12">
        <f>IF(I371="","",I371-F371)</f>
        <v/>
      </c>
      <c r="L371" s="11">
        <f>IF(K371="W",IF(G371&lt;0,H371*100/ABS(G371),H371*G371/100),IF(K371="L",-H371,0))</f>
        <v/>
      </c>
      <c r="M371" s="11">
        <f>Settings!$B$4+SUM(L$2:L371)</f>
        <v/>
      </c>
    </row>
    <row r="372">
      <c r="J372" s="12">
        <f>IF(I372="","",I372-F372)</f>
        <v/>
      </c>
      <c r="L372" s="11">
        <f>IF(K372="W",IF(G372&lt;0,H372*100/ABS(G372),H372*G372/100),IF(K372="L",-H372,0))</f>
        <v/>
      </c>
      <c r="M372" s="11">
        <f>Settings!$B$4+SUM(L$2:L372)</f>
        <v/>
      </c>
    </row>
    <row r="373">
      <c r="J373" s="12">
        <f>IF(I373="","",I373-F373)</f>
        <v/>
      </c>
      <c r="L373" s="11">
        <f>IF(K373="W",IF(G373&lt;0,H373*100/ABS(G373),H373*G373/100),IF(K373="L",-H373,0))</f>
        <v/>
      </c>
      <c r="M373" s="11">
        <f>Settings!$B$4+SUM(L$2:L373)</f>
        <v/>
      </c>
    </row>
    <row r="374">
      <c r="J374" s="12">
        <f>IF(I374="","",I374-F374)</f>
        <v/>
      </c>
      <c r="L374" s="11">
        <f>IF(K374="W",IF(G374&lt;0,H374*100/ABS(G374),H374*G374/100),IF(K374="L",-H374,0))</f>
        <v/>
      </c>
      <c r="M374" s="11">
        <f>Settings!$B$4+SUM(L$2:L374)</f>
        <v/>
      </c>
    </row>
    <row r="375">
      <c r="J375" s="12">
        <f>IF(I375="","",I375-F375)</f>
        <v/>
      </c>
      <c r="L375" s="11">
        <f>IF(K375="W",IF(G375&lt;0,H375*100/ABS(G375),H375*G375/100),IF(K375="L",-H375,0))</f>
        <v/>
      </c>
      <c r="M375" s="11">
        <f>Settings!$B$4+SUM(L$2:L375)</f>
        <v/>
      </c>
    </row>
    <row r="376">
      <c r="J376" s="12">
        <f>IF(I376="","",I376-F376)</f>
        <v/>
      </c>
      <c r="L376" s="11">
        <f>IF(K376="W",IF(G376&lt;0,H376*100/ABS(G376),H376*G376/100),IF(K376="L",-H376,0))</f>
        <v/>
      </c>
      <c r="M376" s="11">
        <f>Settings!$B$4+SUM(L$2:L376)</f>
        <v/>
      </c>
    </row>
    <row r="377">
      <c r="J377" s="12">
        <f>IF(I377="","",I377-F377)</f>
        <v/>
      </c>
      <c r="L377" s="11">
        <f>IF(K377="W",IF(G377&lt;0,H377*100/ABS(G377),H377*G377/100),IF(K377="L",-H377,0))</f>
        <v/>
      </c>
      <c r="M377" s="11">
        <f>Settings!$B$4+SUM(L$2:L377)</f>
        <v/>
      </c>
    </row>
    <row r="378">
      <c r="J378" s="12">
        <f>IF(I378="","",I378-F378)</f>
        <v/>
      </c>
      <c r="L378" s="11">
        <f>IF(K378="W",IF(G378&lt;0,H378*100/ABS(G378),H378*G378/100),IF(K378="L",-H378,0))</f>
        <v/>
      </c>
      <c r="M378" s="11">
        <f>Settings!$B$4+SUM(L$2:L378)</f>
        <v/>
      </c>
    </row>
    <row r="379">
      <c r="J379" s="12">
        <f>IF(I379="","",I379-F379)</f>
        <v/>
      </c>
      <c r="L379" s="11">
        <f>IF(K379="W",IF(G379&lt;0,H379*100/ABS(G379),H379*G379/100),IF(K379="L",-H379,0))</f>
        <v/>
      </c>
      <c r="M379" s="11">
        <f>Settings!$B$4+SUM(L$2:L379)</f>
        <v/>
      </c>
    </row>
    <row r="380">
      <c r="J380" s="12">
        <f>IF(I380="","",I380-F380)</f>
        <v/>
      </c>
      <c r="L380" s="11">
        <f>IF(K380="W",IF(G380&lt;0,H380*100/ABS(G380),H380*G380/100),IF(K380="L",-H380,0))</f>
        <v/>
      </c>
      <c r="M380" s="11">
        <f>Settings!$B$4+SUM(L$2:L380)</f>
        <v/>
      </c>
    </row>
    <row r="381">
      <c r="J381" s="12">
        <f>IF(I381="","",I381-F381)</f>
        <v/>
      </c>
      <c r="L381" s="11">
        <f>IF(K381="W",IF(G381&lt;0,H381*100/ABS(G381),H381*G381/100),IF(K381="L",-H381,0))</f>
        <v/>
      </c>
      <c r="M381" s="11">
        <f>Settings!$B$4+SUM(L$2:L381)</f>
        <v/>
      </c>
    </row>
    <row r="382">
      <c r="J382" s="12">
        <f>IF(I382="","",I382-F382)</f>
        <v/>
      </c>
      <c r="L382" s="11">
        <f>IF(K382="W",IF(G382&lt;0,H382*100/ABS(G382),H382*G382/100),IF(K382="L",-H382,0))</f>
        <v/>
      </c>
      <c r="M382" s="11">
        <f>Settings!$B$4+SUM(L$2:L382)</f>
        <v/>
      </c>
    </row>
    <row r="383">
      <c r="J383" s="12">
        <f>IF(I383="","",I383-F383)</f>
        <v/>
      </c>
      <c r="L383" s="11">
        <f>IF(K383="W",IF(G383&lt;0,H383*100/ABS(G383),H383*G383/100),IF(K383="L",-H383,0))</f>
        <v/>
      </c>
      <c r="M383" s="11">
        <f>Settings!$B$4+SUM(L$2:L383)</f>
        <v/>
      </c>
    </row>
    <row r="384">
      <c r="J384" s="12">
        <f>IF(I384="","",I384-F384)</f>
        <v/>
      </c>
      <c r="L384" s="11">
        <f>IF(K384="W",IF(G384&lt;0,H384*100/ABS(G384),H384*G384/100),IF(K384="L",-H384,0))</f>
        <v/>
      </c>
      <c r="M384" s="11">
        <f>Settings!$B$4+SUM(L$2:L384)</f>
        <v/>
      </c>
    </row>
    <row r="385">
      <c r="J385" s="12">
        <f>IF(I385="","",I385-F385)</f>
        <v/>
      </c>
      <c r="L385" s="11">
        <f>IF(K385="W",IF(G385&lt;0,H385*100/ABS(G385),H385*G385/100),IF(K385="L",-H385,0))</f>
        <v/>
      </c>
      <c r="M385" s="11">
        <f>Settings!$B$4+SUM(L$2:L385)</f>
        <v/>
      </c>
    </row>
    <row r="386">
      <c r="J386" s="12">
        <f>IF(I386="","",I386-F386)</f>
        <v/>
      </c>
      <c r="L386" s="11">
        <f>IF(K386="W",IF(G386&lt;0,H386*100/ABS(G386),H386*G386/100),IF(K386="L",-H386,0))</f>
        <v/>
      </c>
      <c r="M386" s="11">
        <f>Settings!$B$4+SUM(L$2:L386)</f>
        <v/>
      </c>
    </row>
    <row r="387">
      <c r="J387" s="12">
        <f>IF(I387="","",I387-F387)</f>
        <v/>
      </c>
      <c r="L387" s="11">
        <f>IF(K387="W",IF(G387&lt;0,H387*100/ABS(G387),H387*G387/100),IF(K387="L",-H387,0))</f>
        <v/>
      </c>
      <c r="M387" s="11">
        <f>Settings!$B$4+SUM(L$2:L387)</f>
        <v/>
      </c>
    </row>
    <row r="388">
      <c r="J388" s="12">
        <f>IF(I388="","",I388-F388)</f>
        <v/>
      </c>
      <c r="L388" s="11">
        <f>IF(K388="W",IF(G388&lt;0,H388*100/ABS(G388),H388*G388/100),IF(K388="L",-H388,0))</f>
        <v/>
      </c>
      <c r="M388" s="11">
        <f>Settings!$B$4+SUM(L$2:L388)</f>
        <v/>
      </c>
    </row>
    <row r="389">
      <c r="J389" s="12">
        <f>IF(I389="","",I389-F389)</f>
        <v/>
      </c>
      <c r="L389" s="11">
        <f>IF(K389="W",IF(G389&lt;0,H389*100/ABS(G389),H389*G389/100),IF(K389="L",-H389,0))</f>
        <v/>
      </c>
      <c r="M389" s="11">
        <f>Settings!$B$4+SUM(L$2:L389)</f>
        <v/>
      </c>
    </row>
    <row r="390">
      <c r="J390" s="12">
        <f>IF(I390="","",I390-F390)</f>
        <v/>
      </c>
      <c r="L390" s="11">
        <f>IF(K390="W",IF(G390&lt;0,H390*100/ABS(G390),H390*G390/100),IF(K390="L",-H390,0))</f>
        <v/>
      </c>
      <c r="M390" s="11">
        <f>Settings!$B$4+SUM(L$2:L390)</f>
        <v/>
      </c>
    </row>
    <row r="391">
      <c r="J391" s="12">
        <f>IF(I391="","",I391-F391)</f>
        <v/>
      </c>
      <c r="L391" s="11">
        <f>IF(K391="W",IF(G391&lt;0,H391*100/ABS(G391),H391*G391/100),IF(K391="L",-H391,0))</f>
        <v/>
      </c>
      <c r="M391" s="11">
        <f>Settings!$B$4+SUM(L$2:L391)</f>
        <v/>
      </c>
    </row>
    <row r="392">
      <c r="J392" s="12">
        <f>IF(I392="","",I392-F392)</f>
        <v/>
      </c>
      <c r="L392" s="11">
        <f>IF(K392="W",IF(G392&lt;0,H392*100/ABS(G392),H392*G392/100),IF(K392="L",-H392,0))</f>
        <v/>
      </c>
      <c r="M392" s="11">
        <f>Settings!$B$4+SUM(L$2:L392)</f>
        <v/>
      </c>
    </row>
    <row r="393">
      <c r="J393" s="12">
        <f>IF(I393="","",I393-F393)</f>
        <v/>
      </c>
      <c r="L393" s="11">
        <f>IF(K393="W",IF(G393&lt;0,H393*100/ABS(G393),H393*G393/100),IF(K393="L",-H393,0))</f>
        <v/>
      </c>
      <c r="M393" s="11">
        <f>Settings!$B$4+SUM(L$2:L393)</f>
        <v/>
      </c>
    </row>
    <row r="394">
      <c r="J394" s="12">
        <f>IF(I394="","",I394-F394)</f>
        <v/>
      </c>
      <c r="L394" s="11">
        <f>IF(K394="W",IF(G394&lt;0,H394*100/ABS(G394),H394*G394/100),IF(K394="L",-H394,0))</f>
        <v/>
      </c>
      <c r="M394" s="11">
        <f>Settings!$B$4+SUM(L$2:L394)</f>
        <v/>
      </c>
    </row>
    <row r="395">
      <c r="J395" s="12">
        <f>IF(I395="","",I395-F395)</f>
        <v/>
      </c>
      <c r="L395" s="11">
        <f>IF(K395="W",IF(G395&lt;0,H395*100/ABS(G395),H395*G395/100),IF(K395="L",-H395,0))</f>
        <v/>
      </c>
      <c r="M395" s="11">
        <f>Settings!$B$4+SUM(L$2:L395)</f>
        <v/>
      </c>
    </row>
    <row r="396">
      <c r="J396" s="12">
        <f>IF(I396="","",I396-F396)</f>
        <v/>
      </c>
      <c r="L396" s="11">
        <f>IF(K396="W",IF(G396&lt;0,H396*100/ABS(G396),H396*G396/100),IF(K396="L",-H396,0))</f>
        <v/>
      </c>
      <c r="M396" s="11">
        <f>Settings!$B$4+SUM(L$2:L396)</f>
        <v/>
      </c>
    </row>
    <row r="397">
      <c r="J397" s="12">
        <f>IF(I397="","",I397-F397)</f>
        <v/>
      </c>
      <c r="L397" s="11">
        <f>IF(K397="W",IF(G397&lt;0,H397*100/ABS(G397),H397*G397/100),IF(K397="L",-H397,0))</f>
        <v/>
      </c>
      <c r="M397" s="11">
        <f>Settings!$B$4+SUM(L$2:L397)</f>
        <v/>
      </c>
    </row>
    <row r="398">
      <c r="J398" s="12">
        <f>IF(I398="","",I398-F398)</f>
        <v/>
      </c>
      <c r="L398" s="11">
        <f>IF(K398="W",IF(G398&lt;0,H398*100/ABS(G398),H398*G398/100),IF(K398="L",-H398,0))</f>
        <v/>
      </c>
      <c r="M398" s="11">
        <f>Settings!$B$4+SUM(L$2:L398)</f>
        <v/>
      </c>
    </row>
    <row r="399">
      <c r="J399" s="12">
        <f>IF(I399="","",I399-F399)</f>
        <v/>
      </c>
      <c r="L399" s="11">
        <f>IF(K399="W",IF(G399&lt;0,H399*100/ABS(G399),H399*G399/100),IF(K399="L",-H399,0))</f>
        <v/>
      </c>
      <c r="M399" s="11">
        <f>Settings!$B$4+SUM(L$2:L399)</f>
        <v/>
      </c>
    </row>
    <row r="400">
      <c r="J400" s="12">
        <f>IF(I400="","",I400-F400)</f>
        <v/>
      </c>
      <c r="L400" s="11">
        <f>IF(K400="W",IF(G400&lt;0,H400*100/ABS(G400),H400*G400/100),IF(K400="L",-H400,0))</f>
        <v/>
      </c>
      <c r="M400" s="11">
        <f>Settings!$B$4+SUM(L$2:L400)</f>
        <v/>
      </c>
    </row>
    <row r="401">
      <c r="J401" s="12">
        <f>IF(I401="","",I401-F401)</f>
        <v/>
      </c>
      <c r="L401" s="11">
        <f>IF(K401="W",IF(G401&lt;0,H401*100/ABS(G401),H401*G401/100),IF(K401="L",-H401,0))</f>
        <v/>
      </c>
      <c r="M401" s="11">
        <f>Settings!$B$4+SUM(L$2:L401)</f>
        <v/>
      </c>
    </row>
    <row r="402">
      <c r="J402" s="12">
        <f>IF(I402="","",I402-F402)</f>
        <v/>
      </c>
      <c r="L402" s="11">
        <f>IF(K402="W",IF(G402&lt;0,H402*100/ABS(G402),H402*G402/100),IF(K402="L",-H402,0))</f>
        <v/>
      </c>
      <c r="M402" s="11">
        <f>Settings!$B$4+SUM(L$2:L402)</f>
        <v/>
      </c>
    </row>
    <row r="403">
      <c r="J403" s="12">
        <f>IF(I403="","",I403-F403)</f>
        <v/>
      </c>
      <c r="L403" s="11">
        <f>IF(K403="W",IF(G403&lt;0,H403*100/ABS(G403),H403*G403/100),IF(K403="L",-H403,0))</f>
        <v/>
      </c>
      <c r="M403" s="11">
        <f>Settings!$B$4+SUM(L$2:L403)</f>
        <v/>
      </c>
    </row>
    <row r="404">
      <c r="J404" s="12">
        <f>IF(I404="","",I404-F404)</f>
        <v/>
      </c>
      <c r="L404" s="11">
        <f>IF(K404="W",IF(G404&lt;0,H404*100/ABS(G404),H404*G404/100),IF(K404="L",-H404,0))</f>
        <v/>
      </c>
      <c r="M404" s="11">
        <f>Settings!$B$4+SUM(L$2:L404)</f>
        <v/>
      </c>
    </row>
    <row r="405">
      <c r="J405" s="12">
        <f>IF(I405="","",I405-F405)</f>
        <v/>
      </c>
      <c r="L405" s="11">
        <f>IF(K405="W",IF(G405&lt;0,H405*100/ABS(G405),H405*G405/100),IF(K405="L",-H405,0))</f>
        <v/>
      </c>
      <c r="M405" s="11">
        <f>Settings!$B$4+SUM(L$2:L405)</f>
        <v/>
      </c>
    </row>
    <row r="406">
      <c r="J406" s="12">
        <f>IF(I406="","",I406-F406)</f>
        <v/>
      </c>
      <c r="L406" s="11">
        <f>IF(K406="W",IF(G406&lt;0,H406*100/ABS(G406),H406*G406/100),IF(K406="L",-H406,0))</f>
        <v/>
      </c>
      <c r="M406" s="11">
        <f>Settings!$B$4+SUM(L$2:L406)</f>
        <v/>
      </c>
    </row>
    <row r="407">
      <c r="J407" s="12">
        <f>IF(I407="","",I407-F407)</f>
        <v/>
      </c>
      <c r="L407" s="11">
        <f>IF(K407="W",IF(G407&lt;0,H407*100/ABS(G407),H407*G407/100),IF(K407="L",-H407,0))</f>
        <v/>
      </c>
      <c r="M407" s="11">
        <f>Settings!$B$4+SUM(L$2:L407)</f>
        <v/>
      </c>
    </row>
    <row r="408">
      <c r="J408" s="12">
        <f>IF(I408="","",I408-F408)</f>
        <v/>
      </c>
      <c r="L408" s="11">
        <f>IF(K408="W",IF(G408&lt;0,H408*100/ABS(G408),H408*G408/100),IF(K408="L",-H408,0))</f>
        <v/>
      </c>
      <c r="M408" s="11">
        <f>Settings!$B$4+SUM(L$2:L408)</f>
        <v/>
      </c>
    </row>
    <row r="409">
      <c r="J409" s="12">
        <f>IF(I409="","",I409-F409)</f>
        <v/>
      </c>
      <c r="L409" s="11">
        <f>IF(K409="W",IF(G409&lt;0,H409*100/ABS(G409),H409*G409/100),IF(K409="L",-H409,0))</f>
        <v/>
      </c>
      <c r="M409" s="11">
        <f>Settings!$B$4+SUM(L$2:L409)</f>
        <v/>
      </c>
    </row>
    <row r="410">
      <c r="J410" s="12">
        <f>IF(I410="","",I410-F410)</f>
        <v/>
      </c>
      <c r="L410" s="11">
        <f>IF(K410="W",IF(G410&lt;0,H410*100/ABS(G410),H410*G410/100),IF(K410="L",-H410,0))</f>
        <v/>
      </c>
      <c r="M410" s="11">
        <f>Settings!$B$4+SUM(L$2:L410)</f>
        <v/>
      </c>
    </row>
    <row r="411">
      <c r="J411" s="12">
        <f>IF(I411="","",I411-F411)</f>
        <v/>
      </c>
      <c r="L411" s="11">
        <f>IF(K411="W",IF(G411&lt;0,H411*100/ABS(G411),H411*G411/100),IF(K411="L",-H411,0))</f>
        <v/>
      </c>
      <c r="M411" s="11">
        <f>Settings!$B$4+SUM(L$2:L411)</f>
        <v/>
      </c>
    </row>
    <row r="412">
      <c r="J412" s="12">
        <f>IF(I412="","",I412-F412)</f>
        <v/>
      </c>
      <c r="L412" s="11">
        <f>IF(K412="W",IF(G412&lt;0,H412*100/ABS(G412),H412*G412/100),IF(K412="L",-H412,0))</f>
        <v/>
      </c>
      <c r="M412" s="11">
        <f>Settings!$B$4+SUM(L$2:L412)</f>
        <v/>
      </c>
    </row>
    <row r="413">
      <c r="J413" s="12">
        <f>IF(I413="","",I413-F413)</f>
        <v/>
      </c>
      <c r="L413" s="11">
        <f>IF(K413="W",IF(G413&lt;0,H413*100/ABS(G413),H413*G413/100),IF(K413="L",-H413,0))</f>
        <v/>
      </c>
      <c r="M413" s="11">
        <f>Settings!$B$4+SUM(L$2:L413)</f>
        <v/>
      </c>
    </row>
    <row r="414">
      <c r="J414" s="12">
        <f>IF(I414="","",I414-F414)</f>
        <v/>
      </c>
      <c r="L414" s="11">
        <f>IF(K414="W",IF(G414&lt;0,H414*100/ABS(G414),H414*G414/100),IF(K414="L",-H414,0))</f>
        <v/>
      </c>
      <c r="M414" s="11">
        <f>Settings!$B$4+SUM(L$2:L414)</f>
        <v/>
      </c>
    </row>
    <row r="415">
      <c r="J415" s="12">
        <f>IF(I415="","",I415-F415)</f>
        <v/>
      </c>
      <c r="L415" s="11">
        <f>IF(K415="W",IF(G415&lt;0,H415*100/ABS(G415),H415*G415/100),IF(K415="L",-H415,0))</f>
        <v/>
      </c>
      <c r="M415" s="11">
        <f>Settings!$B$4+SUM(L$2:L415)</f>
        <v/>
      </c>
    </row>
    <row r="416">
      <c r="J416" s="12">
        <f>IF(I416="","",I416-F416)</f>
        <v/>
      </c>
      <c r="L416" s="11">
        <f>IF(K416="W",IF(G416&lt;0,H416*100/ABS(G416),H416*G416/100),IF(K416="L",-H416,0))</f>
        <v/>
      </c>
      <c r="M416" s="11">
        <f>Settings!$B$4+SUM(L$2:L416)</f>
        <v/>
      </c>
    </row>
    <row r="417">
      <c r="J417" s="12">
        <f>IF(I417="","",I417-F417)</f>
        <v/>
      </c>
      <c r="L417" s="11">
        <f>IF(K417="W",IF(G417&lt;0,H417*100/ABS(G417),H417*G417/100),IF(K417="L",-H417,0))</f>
        <v/>
      </c>
      <c r="M417" s="11">
        <f>Settings!$B$4+SUM(L$2:L417)</f>
        <v/>
      </c>
    </row>
    <row r="418">
      <c r="J418" s="12">
        <f>IF(I418="","",I418-F418)</f>
        <v/>
      </c>
      <c r="L418" s="11">
        <f>IF(K418="W",IF(G418&lt;0,H418*100/ABS(G418),H418*G418/100),IF(K418="L",-H418,0))</f>
        <v/>
      </c>
      <c r="M418" s="11">
        <f>Settings!$B$4+SUM(L$2:L418)</f>
        <v/>
      </c>
    </row>
    <row r="419">
      <c r="J419" s="12">
        <f>IF(I419="","",I419-F419)</f>
        <v/>
      </c>
      <c r="L419" s="11">
        <f>IF(K419="W",IF(G419&lt;0,H419*100/ABS(G419),H419*G419/100),IF(K419="L",-H419,0))</f>
        <v/>
      </c>
      <c r="M419" s="11">
        <f>Settings!$B$4+SUM(L$2:L419)</f>
        <v/>
      </c>
    </row>
    <row r="420">
      <c r="J420" s="12">
        <f>IF(I420="","",I420-F420)</f>
        <v/>
      </c>
      <c r="L420" s="11">
        <f>IF(K420="W",IF(G420&lt;0,H420*100/ABS(G420),H420*G420/100),IF(K420="L",-H420,0))</f>
        <v/>
      </c>
      <c r="M420" s="11">
        <f>Settings!$B$4+SUM(L$2:L420)</f>
        <v/>
      </c>
    </row>
    <row r="421">
      <c r="J421" s="12">
        <f>IF(I421="","",I421-F421)</f>
        <v/>
      </c>
      <c r="L421" s="11">
        <f>IF(K421="W",IF(G421&lt;0,H421*100/ABS(G421),H421*G421/100),IF(K421="L",-H421,0))</f>
        <v/>
      </c>
      <c r="M421" s="11">
        <f>Settings!$B$4+SUM(L$2:L421)</f>
        <v/>
      </c>
    </row>
    <row r="422">
      <c r="J422" s="12">
        <f>IF(I422="","",I422-F422)</f>
        <v/>
      </c>
      <c r="L422" s="11">
        <f>IF(K422="W",IF(G422&lt;0,H422*100/ABS(G422),H422*G422/100),IF(K422="L",-H422,0))</f>
        <v/>
      </c>
      <c r="M422" s="11">
        <f>Settings!$B$4+SUM(L$2:L422)</f>
        <v/>
      </c>
    </row>
    <row r="423">
      <c r="J423" s="12">
        <f>IF(I423="","",I423-F423)</f>
        <v/>
      </c>
      <c r="L423" s="11">
        <f>IF(K423="W",IF(G423&lt;0,H423*100/ABS(G423),H423*G423/100),IF(K423="L",-H423,0))</f>
        <v/>
      </c>
      <c r="M423" s="11">
        <f>Settings!$B$4+SUM(L$2:L423)</f>
        <v/>
      </c>
    </row>
    <row r="424">
      <c r="J424" s="12">
        <f>IF(I424="","",I424-F424)</f>
        <v/>
      </c>
      <c r="L424" s="11">
        <f>IF(K424="W",IF(G424&lt;0,H424*100/ABS(G424),H424*G424/100),IF(K424="L",-H424,0))</f>
        <v/>
      </c>
      <c r="M424" s="11">
        <f>Settings!$B$4+SUM(L$2:L424)</f>
        <v/>
      </c>
    </row>
    <row r="425">
      <c r="J425" s="12">
        <f>IF(I425="","",I425-F425)</f>
        <v/>
      </c>
      <c r="L425" s="11">
        <f>IF(K425="W",IF(G425&lt;0,H425*100/ABS(G425),H425*G425/100),IF(K425="L",-H425,0))</f>
        <v/>
      </c>
      <c r="M425" s="11">
        <f>Settings!$B$4+SUM(L$2:L425)</f>
        <v/>
      </c>
    </row>
    <row r="426">
      <c r="J426" s="12">
        <f>IF(I426="","",I426-F426)</f>
        <v/>
      </c>
      <c r="L426" s="11">
        <f>IF(K426="W",IF(G426&lt;0,H426*100/ABS(G426),H426*G426/100),IF(K426="L",-H426,0))</f>
        <v/>
      </c>
      <c r="M426" s="11">
        <f>Settings!$B$4+SUM(L$2:L426)</f>
        <v/>
      </c>
    </row>
    <row r="427">
      <c r="J427" s="12">
        <f>IF(I427="","",I427-F427)</f>
        <v/>
      </c>
      <c r="L427" s="11">
        <f>IF(K427="W",IF(G427&lt;0,H427*100/ABS(G427),H427*G427/100),IF(K427="L",-H427,0))</f>
        <v/>
      </c>
      <c r="M427" s="11">
        <f>Settings!$B$4+SUM(L$2:L427)</f>
        <v/>
      </c>
    </row>
    <row r="428">
      <c r="J428" s="12">
        <f>IF(I428="","",I428-F428)</f>
        <v/>
      </c>
      <c r="L428" s="11">
        <f>IF(K428="W",IF(G428&lt;0,H428*100/ABS(G428),H428*G428/100),IF(K428="L",-H428,0))</f>
        <v/>
      </c>
      <c r="M428" s="11">
        <f>Settings!$B$4+SUM(L$2:L428)</f>
        <v/>
      </c>
    </row>
    <row r="429">
      <c r="J429" s="12">
        <f>IF(I429="","",I429-F429)</f>
        <v/>
      </c>
      <c r="L429" s="11">
        <f>IF(K429="W",IF(G429&lt;0,H429*100/ABS(G429),H429*G429/100),IF(K429="L",-H429,0))</f>
        <v/>
      </c>
      <c r="M429" s="11">
        <f>Settings!$B$4+SUM(L$2:L429)</f>
        <v/>
      </c>
    </row>
    <row r="430">
      <c r="J430" s="12">
        <f>IF(I430="","",I430-F430)</f>
        <v/>
      </c>
      <c r="L430" s="11">
        <f>IF(K430="W",IF(G430&lt;0,H430*100/ABS(G430),H430*G430/100),IF(K430="L",-H430,0))</f>
        <v/>
      </c>
      <c r="M430" s="11">
        <f>Settings!$B$4+SUM(L$2:L430)</f>
        <v/>
      </c>
    </row>
    <row r="431">
      <c r="J431" s="12">
        <f>IF(I431="","",I431-F431)</f>
        <v/>
      </c>
      <c r="L431" s="11">
        <f>IF(K431="W",IF(G431&lt;0,H431*100/ABS(G431),H431*G431/100),IF(K431="L",-H431,0))</f>
        <v/>
      </c>
      <c r="M431" s="11">
        <f>Settings!$B$4+SUM(L$2:L431)</f>
        <v/>
      </c>
    </row>
    <row r="432">
      <c r="J432" s="12">
        <f>IF(I432="","",I432-F432)</f>
        <v/>
      </c>
      <c r="L432" s="11">
        <f>IF(K432="W",IF(G432&lt;0,H432*100/ABS(G432),H432*G432/100),IF(K432="L",-H432,0))</f>
        <v/>
      </c>
      <c r="M432" s="11">
        <f>Settings!$B$4+SUM(L$2:L432)</f>
        <v/>
      </c>
    </row>
    <row r="433">
      <c r="J433" s="12">
        <f>IF(I433="","",I433-F433)</f>
        <v/>
      </c>
      <c r="L433" s="11">
        <f>IF(K433="W",IF(G433&lt;0,H433*100/ABS(G433),H433*G433/100),IF(K433="L",-H433,0))</f>
        <v/>
      </c>
      <c r="M433" s="11">
        <f>Settings!$B$4+SUM(L$2:L433)</f>
        <v/>
      </c>
    </row>
    <row r="434">
      <c r="J434" s="12">
        <f>IF(I434="","",I434-F434)</f>
        <v/>
      </c>
      <c r="L434" s="11">
        <f>IF(K434="W",IF(G434&lt;0,H434*100/ABS(G434),H434*G434/100),IF(K434="L",-H434,0))</f>
        <v/>
      </c>
      <c r="M434" s="11">
        <f>Settings!$B$4+SUM(L$2:L434)</f>
        <v/>
      </c>
    </row>
    <row r="435">
      <c r="J435" s="12">
        <f>IF(I435="","",I435-F435)</f>
        <v/>
      </c>
      <c r="L435" s="11">
        <f>IF(K435="W",IF(G435&lt;0,H435*100/ABS(G435),H435*G435/100),IF(K435="L",-H435,0))</f>
        <v/>
      </c>
      <c r="M435" s="11">
        <f>Settings!$B$4+SUM(L$2:L435)</f>
        <v/>
      </c>
    </row>
    <row r="436">
      <c r="J436" s="12">
        <f>IF(I436="","",I436-F436)</f>
        <v/>
      </c>
      <c r="L436" s="11">
        <f>IF(K436="W",IF(G436&lt;0,H436*100/ABS(G436),H436*G436/100),IF(K436="L",-H436,0))</f>
        <v/>
      </c>
      <c r="M436" s="11">
        <f>Settings!$B$4+SUM(L$2:L436)</f>
        <v/>
      </c>
    </row>
    <row r="437">
      <c r="J437" s="12">
        <f>IF(I437="","",I437-F437)</f>
        <v/>
      </c>
      <c r="L437" s="11">
        <f>IF(K437="W",IF(G437&lt;0,H437*100/ABS(G437),H437*G437/100),IF(K437="L",-H437,0))</f>
        <v/>
      </c>
      <c r="M437" s="11">
        <f>Settings!$B$4+SUM(L$2:L437)</f>
        <v/>
      </c>
    </row>
    <row r="438">
      <c r="J438" s="12">
        <f>IF(I438="","",I438-F438)</f>
        <v/>
      </c>
      <c r="L438" s="11">
        <f>IF(K438="W",IF(G438&lt;0,H438*100/ABS(G438),H438*G438/100),IF(K438="L",-H438,0))</f>
        <v/>
      </c>
      <c r="M438" s="11">
        <f>Settings!$B$4+SUM(L$2:L438)</f>
        <v/>
      </c>
    </row>
    <row r="439">
      <c r="J439" s="12">
        <f>IF(I439="","",I439-F439)</f>
        <v/>
      </c>
      <c r="L439" s="11">
        <f>IF(K439="W",IF(G439&lt;0,H439*100/ABS(G439),H439*G439/100),IF(K439="L",-H439,0))</f>
        <v/>
      </c>
      <c r="M439" s="11">
        <f>Settings!$B$4+SUM(L$2:L439)</f>
        <v/>
      </c>
    </row>
    <row r="440">
      <c r="J440" s="12">
        <f>IF(I440="","",I440-F440)</f>
        <v/>
      </c>
      <c r="L440" s="11">
        <f>IF(K440="W",IF(G440&lt;0,H440*100/ABS(G440),H440*G440/100),IF(K440="L",-H440,0))</f>
        <v/>
      </c>
      <c r="M440" s="11">
        <f>Settings!$B$4+SUM(L$2:L440)</f>
        <v/>
      </c>
    </row>
    <row r="441">
      <c r="J441" s="12">
        <f>IF(I441="","",I441-F441)</f>
        <v/>
      </c>
      <c r="L441" s="11">
        <f>IF(K441="W",IF(G441&lt;0,H441*100/ABS(G441),H441*G441/100),IF(K441="L",-H441,0))</f>
        <v/>
      </c>
      <c r="M441" s="11">
        <f>Settings!$B$4+SUM(L$2:L441)</f>
        <v/>
      </c>
    </row>
    <row r="442">
      <c r="J442" s="12">
        <f>IF(I442="","",I442-F442)</f>
        <v/>
      </c>
      <c r="L442" s="11">
        <f>IF(K442="W",IF(G442&lt;0,H442*100/ABS(G442),H442*G442/100),IF(K442="L",-H442,0))</f>
        <v/>
      </c>
      <c r="M442" s="11">
        <f>Settings!$B$4+SUM(L$2:L442)</f>
        <v/>
      </c>
    </row>
    <row r="443">
      <c r="J443" s="12">
        <f>IF(I443="","",I443-F443)</f>
        <v/>
      </c>
      <c r="L443" s="11">
        <f>IF(K443="W",IF(G443&lt;0,H443*100/ABS(G443),H443*G443/100),IF(K443="L",-H443,0))</f>
        <v/>
      </c>
      <c r="M443" s="11">
        <f>Settings!$B$4+SUM(L$2:L443)</f>
        <v/>
      </c>
    </row>
    <row r="444">
      <c r="J444" s="12">
        <f>IF(I444="","",I444-F444)</f>
        <v/>
      </c>
      <c r="L444" s="11">
        <f>IF(K444="W",IF(G444&lt;0,H444*100/ABS(G444),H444*G444/100),IF(K444="L",-H444,0))</f>
        <v/>
      </c>
      <c r="M444" s="11">
        <f>Settings!$B$4+SUM(L$2:L444)</f>
        <v/>
      </c>
    </row>
    <row r="445">
      <c r="J445" s="12">
        <f>IF(I445="","",I445-F445)</f>
        <v/>
      </c>
      <c r="L445" s="11">
        <f>IF(K445="W",IF(G445&lt;0,H445*100/ABS(G445),H445*G445/100),IF(K445="L",-H445,0))</f>
        <v/>
      </c>
      <c r="M445" s="11">
        <f>Settings!$B$4+SUM(L$2:L445)</f>
        <v/>
      </c>
    </row>
    <row r="446">
      <c r="J446" s="12">
        <f>IF(I446="","",I446-F446)</f>
        <v/>
      </c>
      <c r="L446" s="11">
        <f>IF(K446="W",IF(G446&lt;0,H446*100/ABS(G446),H446*G446/100),IF(K446="L",-H446,0))</f>
        <v/>
      </c>
      <c r="M446" s="11">
        <f>Settings!$B$4+SUM(L$2:L446)</f>
        <v/>
      </c>
    </row>
    <row r="447">
      <c r="J447" s="12">
        <f>IF(I447="","",I447-F447)</f>
        <v/>
      </c>
      <c r="L447" s="11">
        <f>IF(K447="W",IF(G447&lt;0,H447*100/ABS(G447),H447*G447/100),IF(K447="L",-H447,0))</f>
        <v/>
      </c>
      <c r="M447" s="11">
        <f>Settings!$B$4+SUM(L$2:L447)</f>
        <v/>
      </c>
    </row>
    <row r="448">
      <c r="J448" s="12">
        <f>IF(I448="","",I448-F448)</f>
        <v/>
      </c>
      <c r="L448" s="11">
        <f>IF(K448="W",IF(G448&lt;0,H448*100/ABS(G448),H448*G448/100),IF(K448="L",-H448,0))</f>
        <v/>
      </c>
      <c r="M448" s="11">
        <f>Settings!$B$4+SUM(L$2:L448)</f>
        <v/>
      </c>
    </row>
    <row r="449">
      <c r="J449" s="12">
        <f>IF(I449="","",I449-F449)</f>
        <v/>
      </c>
      <c r="L449" s="11">
        <f>IF(K449="W",IF(G449&lt;0,H449*100/ABS(G449),H449*G449/100),IF(K449="L",-H449,0))</f>
        <v/>
      </c>
      <c r="M449" s="11">
        <f>Settings!$B$4+SUM(L$2:L449)</f>
        <v/>
      </c>
    </row>
    <row r="450">
      <c r="J450" s="12">
        <f>IF(I450="","",I450-F450)</f>
        <v/>
      </c>
      <c r="L450" s="11">
        <f>IF(K450="W",IF(G450&lt;0,H450*100/ABS(G450),H450*G450/100),IF(K450="L",-H450,0))</f>
        <v/>
      </c>
      <c r="M450" s="11">
        <f>Settings!$B$4+SUM(L$2:L450)</f>
        <v/>
      </c>
    </row>
    <row r="451">
      <c r="J451" s="12">
        <f>IF(I451="","",I451-F451)</f>
        <v/>
      </c>
      <c r="L451" s="11">
        <f>IF(K451="W",IF(G451&lt;0,H451*100/ABS(G451),H451*G451/100),IF(K451="L",-H451,0))</f>
        <v/>
      </c>
      <c r="M451" s="11">
        <f>Settings!$B$4+SUM(L$2:L451)</f>
        <v/>
      </c>
    </row>
    <row r="452">
      <c r="J452" s="12">
        <f>IF(I452="","",I452-F452)</f>
        <v/>
      </c>
      <c r="L452" s="11">
        <f>IF(K452="W",IF(G452&lt;0,H452*100/ABS(G452),H452*G452/100),IF(K452="L",-H452,0))</f>
        <v/>
      </c>
      <c r="M452" s="11">
        <f>Settings!$B$4+SUM(L$2:L452)</f>
        <v/>
      </c>
    </row>
    <row r="453">
      <c r="J453" s="12">
        <f>IF(I453="","",I453-F453)</f>
        <v/>
      </c>
      <c r="L453" s="11">
        <f>IF(K453="W",IF(G453&lt;0,H453*100/ABS(G453),H453*G453/100),IF(K453="L",-H453,0))</f>
        <v/>
      </c>
      <c r="M453" s="11">
        <f>Settings!$B$4+SUM(L$2:L453)</f>
        <v/>
      </c>
    </row>
    <row r="454">
      <c r="J454" s="12">
        <f>IF(I454="","",I454-F454)</f>
        <v/>
      </c>
      <c r="L454" s="11">
        <f>IF(K454="W",IF(G454&lt;0,H454*100/ABS(G454),H454*G454/100),IF(K454="L",-H454,0))</f>
        <v/>
      </c>
      <c r="M454" s="11">
        <f>Settings!$B$4+SUM(L$2:L454)</f>
        <v/>
      </c>
    </row>
    <row r="455">
      <c r="J455" s="12">
        <f>IF(I455="","",I455-F455)</f>
        <v/>
      </c>
      <c r="L455" s="11">
        <f>IF(K455="W",IF(G455&lt;0,H455*100/ABS(G455),H455*G455/100),IF(K455="L",-H455,0))</f>
        <v/>
      </c>
      <c r="M455" s="11">
        <f>Settings!$B$4+SUM(L$2:L455)</f>
        <v/>
      </c>
    </row>
    <row r="456">
      <c r="J456" s="12">
        <f>IF(I456="","",I456-F456)</f>
        <v/>
      </c>
      <c r="L456" s="11">
        <f>IF(K456="W",IF(G456&lt;0,H456*100/ABS(G456),H456*G456/100),IF(K456="L",-H456,0))</f>
        <v/>
      </c>
      <c r="M456" s="11">
        <f>Settings!$B$4+SUM(L$2:L456)</f>
        <v/>
      </c>
    </row>
    <row r="457">
      <c r="J457" s="12">
        <f>IF(I457="","",I457-F457)</f>
        <v/>
      </c>
      <c r="L457" s="11">
        <f>IF(K457="W",IF(G457&lt;0,H457*100/ABS(G457),H457*G457/100),IF(K457="L",-H457,0))</f>
        <v/>
      </c>
      <c r="M457" s="11">
        <f>Settings!$B$4+SUM(L$2:L457)</f>
        <v/>
      </c>
    </row>
    <row r="458">
      <c r="J458" s="12">
        <f>IF(I458="","",I458-F458)</f>
        <v/>
      </c>
      <c r="L458" s="11">
        <f>IF(K458="W",IF(G458&lt;0,H458*100/ABS(G458),H458*G458/100),IF(K458="L",-H458,0))</f>
        <v/>
      </c>
      <c r="M458" s="11">
        <f>Settings!$B$4+SUM(L$2:L458)</f>
        <v/>
      </c>
    </row>
    <row r="459">
      <c r="J459" s="12">
        <f>IF(I459="","",I459-F459)</f>
        <v/>
      </c>
      <c r="L459" s="11">
        <f>IF(K459="W",IF(G459&lt;0,H459*100/ABS(G459),H459*G459/100),IF(K459="L",-H459,0))</f>
        <v/>
      </c>
      <c r="M459" s="11">
        <f>Settings!$B$4+SUM(L$2:L459)</f>
        <v/>
      </c>
    </row>
    <row r="460">
      <c r="J460" s="12">
        <f>IF(I460="","",I460-F460)</f>
        <v/>
      </c>
      <c r="L460" s="11">
        <f>IF(K460="W",IF(G460&lt;0,H460*100/ABS(G460),H460*G460/100),IF(K460="L",-H460,0))</f>
        <v/>
      </c>
      <c r="M460" s="11">
        <f>Settings!$B$4+SUM(L$2:L460)</f>
        <v/>
      </c>
    </row>
    <row r="461">
      <c r="J461" s="12">
        <f>IF(I461="","",I461-F461)</f>
        <v/>
      </c>
      <c r="L461" s="11">
        <f>IF(K461="W",IF(G461&lt;0,H461*100/ABS(G461),H461*G461/100),IF(K461="L",-H461,0))</f>
        <v/>
      </c>
      <c r="M461" s="11">
        <f>Settings!$B$4+SUM(L$2:L461)</f>
        <v/>
      </c>
    </row>
    <row r="462">
      <c r="J462" s="12">
        <f>IF(I462="","",I462-F462)</f>
        <v/>
      </c>
      <c r="L462" s="11">
        <f>IF(K462="W",IF(G462&lt;0,H462*100/ABS(G462),H462*G462/100),IF(K462="L",-H462,0))</f>
        <v/>
      </c>
      <c r="M462" s="11">
        <f>Settings!$B$4+SUM(L$2:L462)</f>
        <v/>
      </c>
    </row>
    <row r="463">
      <c r="J463" s="12">
        <f>IF(I463="","",I463-F463)</f>
        <v/>
      </c>
      <c r="L463" s="11">
        <f>IF(K463="W",IF(G463&lt;0,H463*100/ABS(G463),H463*G463/100),IF(K463="L",-H463,0))</f>
        <v/>
      </c>
      <c r="M463" s="11">
        <f>Settings!$B$4+SUM(L$2:L463)</f>
        <v/>
      </c>
    </row>
    <row r="464">
      <c r="J464" s="12">
        <f>IF(I464="","",I464-F464)</f>
        <v/>
      </c>
      <c r="L464" s="11">
        <f>IF(K464="W",IF(G464&lt;0,H464*100/ABS(G464),H464*G464/100),IF(K464="L",-H464,0))</f>
        <v/>
      </c>
      <c r="M464" s="11">
        <f>Settings!$B$4+SUM(L$2:L464)</f>
        <v/>
      </c>
    </row>
    <row r="465">
      <c r="J465" s="12">
        <f>IF(I465="","",I465-F465)</f>
        <v/>
      </c>
      <c r="L465" s="11">
        <f>IF(K465="W",IF(G465&lt;0,H465*100/ABS(G465),H465*G465/100),IF(K465="L",-H465,0))</f>
        <v/>
      </c>
      <c r="M465" s="11">
        <f>Settings!$B$4+SUM(L$2:L465)</f>
        <v/>
      </c>
    </row>
    <row r="466">
      <c r="J466" s="12">
        <f>IF(I466="","",I466-F466)</f>
        <v/>
      </c>
      <c r="L466" s="11">
        <f>IF(K466="W",IF(G466&lt;0,H466*100/ABS(G466),H466*G466/100),IF(K466="L",-H466,0))</f>
        <v/>
      </c>
      <c r="M466" s="11">
        <f>Settings!$B$4+SUM(L$2:L466)</f>
        <v/>
      </c>
    </row>
    <row r="467">
      <c r="J467" s="12">
        <f>IF(I467="","",I467-F467)</f>
        <v/>
      </c>
      <c r="L467" s="11">
        <f>IF(K467="W",IF(G467&lt;0,H467*100/ABS(G467),H467*G467/100),IF(K467="L",-H467,0))</f>
        <v/>
      </c>
      <c r="M467" s="11">
        <f>Settings!$B$4+SUM(L$2:L467)</f>
        <v/>
      </c>
    </row>
    <row r="468">
      <c r="J468" s="12">
        <f>IF(I468="","",I468-F468)</f>
        <v/>
      </c>
      <c r="L468" s="11">
        <f>IF(K468="W",IF(G468&lt;0,H468*100/ABS(G468),H468*G468/100),IF(K468="L",-H468,0))</f>
        <v/>
      </c>
      <c r="M468" s="11">
        <f>Settings!$B$4+SUM(L$2:L468)</f>
        <v/>
      </c>
    </row>
    <row r="469">
      <c r="J469" s="12">
        <f>IF(I469="","",I469-F469)</f>
        <v/>
      </c>
      <c r="L469" s="11">
        <f>IF(K469="W",IF(G469&lt;0,H469*100/ABS(G469),H469*G469/100),IF(K469="L",-H469,0))</f>
        <v/>
      </c>
      <c r="M469" s="11">
        <f>Settings!$B$4+SUM(L$2:L469)</f>
        <v/>
      </c>
    </row>
    <row r="470">
      <c r="J470" s="12">
        <f>IF(I470="","",I470-F470)</f>
        <v/>
      </c>
      <c r="L470" s="11">
        <f>IF(K470="W",IF(G470&lt;0,H470*100/ABS(G470),H470*G470/100),IF(K470="L",-H470,0))</f>
        <v/>
      </c>
      <c r="M470" s="11">
        <f>Settings!$B$4+SUM(L$2:L470)</f>
        <v/>
      </c>
    </row>
    <row r="471">
      <c r="J471" s="12">
        <f>IF(I471="","",I471-F471)</f>
        <v/>
      </c>
      <c r="L471" s="11">
        <f>IF(K471="W",IF(G471&lt;0,H471*100/ABS(G471),H471*G471/100),IF(K471="L",-H471,0))</f>
        <v/>
      </c>
      <c r="M471" s="11">
        <f>Settings!$B$4+SUM(L$2:L471)</f>
        <v/>
      </c>
    </row>
    <row r="472">
      <c r="J472" s="12">
        <f>IF(I472="","",I472-F472)</f>
        <v/>
      </c>
      <c r="L472" s="11">
        <f>IF(K472="W",IF(G472&lt;0,H472*100/ABS(G472),H472*G472/100),IF(K472="L",-H472,0))</f>
        <v/>
      </c>
      <c r="M472" s="11">
        <f>Settings!$B$4+SUM(L$2:L472)</f>
        <v/>
      </c>
    </row>
    <row r="473">
      <c r="J473" s="12">
        <f>IF(I473="","",I473-F473)</f>
        <v/>
      </c>
      <c r="L473" s="11">
        <f>IF(K473="W",IF(G473&lt;0,H473*100/ABS(G473),H473*G473/100),IF(K473="L",-H473,0))</f>
        <v/>
      </c>
      <c r="M473" s="11">
        <f>Settings!$B$4+SUM(L$2:L473)</f>
        <v/>
      </c>
    </row>
    <row r="474">
      <c r="J474" s="12">
        <f>IF(I474="","",I474-F474)</f>
        <v/>
      </c>
      <c r="L474" s="11">
        <f>IF(K474="W",IF(G474&lt;0,H474*100/ABS(G474),H474*G474/100),IF(K474="L",-H474,0))</f>
        <v/>
      </c>
      <c r="M474" s="11">
        <f>Settings!$B$4+SUM(L$2:L474)</f>
        <v/>
      </c>
    </row>
    <row r="475">
      <c r="J475" s="12">
        <f>IF(I475="","",I475-F475)</f>
        <v/>
      </c>
      <c r="L475" s="11">
        <f>IF(K475="W",IF(G475&lt;0,H475*100/ABS(G475),H475*G475/100),IF(K475="L",-H475,0))</f>
        <v/>
      </c>
      <c r="M475" s="11">
        <f>Settings!$B$4+SUM(L$2:L475)</f>
        <v/>
      </c>
    </row>
    <row r="476">
      <c r="J476" s="12">
        <f>IF(I476="","",I476-F476)</f>
        <v/>
      </c>
      <c r="L476" s="11">
        <f>IF(K476="W",IF(G476&lt;0,H476*100/ABS(G476),H476*G476/100),IF(K476="L",-H476,0))</f>
        <v/>
      </c>
      <c r="M476" s="11">
        <f>Settings!$B$4+SUM(L$2:L476)</f>
        <v/>
      </c>
    </row>
    <row r="477">
      <c r="J477" s="12">
        <f>IF(I477="","",I477-F477)</f>
        <v/>
      </c>
      <c r="L477" s="11">
        <f>IF(K477="W",IF(G477&lt;0,H477*100/ABS(G477),H477*G477/100),IF(K477="L",-H477,0))</f>
        <v/>
      </c>
      <c r="M477" s="11">
        <f>Settings!$B$4+SUM(L$2:L477)</f>
        <v/>
      </c>
    </row>
    <row r="478">
      <c r="J478" s="12">
        <f>IF(I478="","",I478-F478)</f>
        <v/>
      </c>
      <c r="L478" s="11">
        <f>IF(K478="W",IF(G478&lt;0,H478*100/ABS(G478),H478*G478/100),IF(K478="L",-H478,0))</f>
        <v/>
      </c>
      <c r="M478" s="11">
        <f>Settings!$B$4+SUM(L$2:L478)</f>
        <v/>
      </c>
    </row>
    <row r="479">
      <c r="J479" s="12">
        <f>IF(I479="","",I479-F479)</f>
        <v/>
      </c>
      <c r="L479" s="11">
        <f>IF(K479="W",IF(G479&lt;0,H479*100/ABS(G479),H479*G479/100),IF(K479="L",-H479,0))</f>
        <v/>
      </c>
      <c r="M479" s="11">
        <f>Settings!$B$4+SUM(L$2:L479)</f>
        <v/>
      </c>
    </row>
    <row r="480">
      <c r="J480" s="12">
        <f>IF(I480="","",I480-F480)</f>
        <v/>
      </c>
      <c r="L480" s="11">
        <f>IF(K480="W",IF(G480&lt;0,H480*100/ABS(G480),H480*G480/100),IF(K480="L",-H480,0))</f>
        <v/>
      </c>
      <c r="M480" s="11">
        <f>Settings!$B$4+SUM(L$2:L480)</f>
        <v/>
      </c>
    </row>
    <row r="481">
      <c r="J481" s="12">
        <f>IF(I481="","",I481-F481)</f>
        <v/>
      </c>
      <c r="L481" s="11">
        <f>IF(K481="W",IF(G481&lt;0,H481*100/ABS(G481),H481*G481/100),IF(K481="L",-H481,0))</f>
        <v/>
      </c>
      <c r="M481" s="11">
        <f>Settings!$B$4+SUM(L$2:L481)</f>
        <v/>
      </c>
    </row>
    <row r="482">
      <c r="J482" s="12">
        <f>IF(I482="","",I482-F482)</f>
        <v/>
      </c>
      <c r="L482" s="11">
        <f>IF(K482="W",IF(G482&lt;0,H482*100/ABS(G482),H482*G482/100),IF(K482="L",-H482,0))</f>
        <v/>
      </c>
      <c r="M482" s="11">
        <f>Settings!$B$4+SUM(L$2:L482)</f>
        <v/>
      </c>
    </row>
    <row r="483">
      <c r="J483" s="12">
        <f>IF(I483="","",I483-F483)</f>
        <v/>
      </c>
      <c r="L483" s="11">
        <f>IF(K483="W",IF(G483&lt;0,H483*100/ABS(G483),H483*G483/100),IF(K483="L",-H483,0))</f>
        <v/>
      </c>
      <c r="M483" s="11">
        <f>Settings!$B$4+SUM(L$2:L483)</f>
        <v/>
      </c>
    </row>
    <row r="484">
      <c r="J484" s="12">
        <f>IF(I484="","",I484-F484)</f>
        <v/>
      </c>
      <c r="L484" s="11">
        <f>IF(K484="W",IF(G484&lt;0,H484*100/ABS(G484),H484*G484/100),IF(K484="L",-H484,0))</f>
        <v/>
      </c>
      <c r="M484" s="11">
        <f>Settings!$B$4+SUM(L$2:L484)</f>
        <v/>
      </c>
    </row>
    <row r="485">
      <c r="J485" s="12">
        <f>IF(I485="","",I485-F485)</f>
        <v/>
      </c>
      <c r="L485" s="11">
        <f>IF(K485="W",IF(G485&lt;0,H485*100/ABS(G485),H485*G485/100),IF(K485="L",-H485,0))</f>
        <v/>
      </c>
      <c r="M485" s="11">
        <f>Settings!$B$4+SUM(L$2:L485)</f>
        <v/>
      </c>
    </row>
    <row r="486">
      <c r="J486" s="12">
        <f>IF(I486="","",I486-F486)</f>
        <v/>
      </c>
      <c r="L486" s="11">
        <f>IF(K486="W",IF(G486&lt;0,H486*100/ABS(G486),H486*G486/100),IF(K486="L",-H486,0))</f>
        <v/>
      </c>
      <c r="M486" s="11">
        <f>Settings!$B$4+SUM(L$2:L486)</f>
        <v/>
      </c>
    </row>
    <row r="487">
      <c r="J487" s="12">
        <f>IF(I487="","",I487-F487)</f>
        <v/>
      </c>
      <c r="L487" s="11">
        <f>IF(K487="W",IF(G487&lt;0,H487*100/ABS(G487),H487*G487/100),IF(K487="L",-H487,0))</f>
        <v/>
      </c>
      <c r="M487" s="11">
        <f>Settings!$B$4+SUM(L$2:L487)</f>
        <v/>
      </c>
    </row>
    <row r="488">
      <c r="J488" s="12">
        <f>IF(I488="","",I488-F488)</f>
        <v/>
      </c>
      <c r="L488" s="11">
        <f>IF(K488="W",IF(G488&lt;0,H488*100/ABS(G488),H488*G488/100),IF(K488="L",-H488,0))</f>
        <v/>
      </c>
      <c r="M488" s="11">
        <f>Settings!$B$4+SUM(L$2:L488)</f>
        <v/>
      </c>
    </row>
    <row r="489">
      <c r="J489" s="12">
        <f>IF(I489="","",I489-F489)</f>
        <v/>
      </c>
      <c r="L489" s="11">
        <f>IF(K489="W",IF(G489&lt;0,H489*100/ABS(G489),H489*G489/100),IF(K489="L",-H489,0))</f>
        <v/>
      </c>
      <c r="M489" s="11">
        <f>Settings!$B$4+SUM(L$2:L489)</f>
        <v/>
      </c>
    </row>
    <row r="490">
      <c r="J490" s="12">
        <f>IF(I490="","",I490-F490)</f>
        <v/>
      </c>
      <c r="L490" s="11">
        <f>IF(K490="W",IF(G490&lt;0,H490*100/ABS(G490),H490*G490/100),IF(K490="L",-H490,0))</f>
        <v/>
      </c>
      <c r="M490" s="11">
        <f>Settings!$B$4+SUM(L$2:L490)</f>
        <v/>
      </c>
    </row>
    <row r="491">
      <c r="J491" s="12">
        <f>IF(I491="","",I491-F491)</f>
        <v/>
      </c>
      <c r="L491" s="11">
        <f>IF(K491="W",IF(G491&lt;0,H491*100/ABS(G491),H491*G491/100),IF(K491="L",-H491,0))</f>
        <v/>
      </c>
      <c r="M491" s="11">
        <f>Settings!$B$4+SUM(L$2:L491)</f>
        <v/>
      </c>
    </row>
    <row r="492">
      <c r="J492" s="12">
        <f>IF(I492="","",I492-F492)</f>
        <v/>
      </c>
      <c r="L492" s="11">
        <f>IF(K492="W",IF(G492&lt;0,H492*100/ABS(G492),H492*G492/100),IF(K492="L",-H492,0))</f>
        <v/>
      </c>
      <c r="M492" s="11">
        <f>Settings!$B$4+SUM(L$2:L492)</f>
        <v/>
      </c>
    </row>
    <row r="493">
      <c r="J493" s="12">
        <f>IF(I493="","",I493-F493)</f>
        <v/>
      </c>
      <c r="L493" s="11">
        <f>IF(K493="W",IF(G493&lt;0,H493*100/ABS(G493),H493*G493/100),IF(K493="L",-H493,0))</f>
        <v/>
      </c>
      <c r="M493" s="11">
        <f>Settings!$B$4+SUM(L$2:L493)</f>
        <v/>
      </c>
    </row>
    <row r="494">
      <c r="J494" s="12">
        <f>IF(I494="","",I494-F494)</f>
        <v/>
      </c>
      <c r="L494" s="11">
        <f>IF(K494="W",IF(G494&lt;0,H494*100/ABS(G494),H494*G494/100),IF(K494="L",-H494,0))</f>
        <v/>
      </c>
      <c r="M494" s="11">
        <f>Settings!$B$4+SUM(L$2:L494)</f>
        <v/>
      </c>
    </row>
    <row r="495">
      <c r="J495" s="12">
        <f>IF(I495="","",I495-F495)</f>
        <v/>
      </c>
      <c r="L495" s="11">
        <f>IF(K495="W",IF(G495&lt;0,H495*100/ABS(G495),H495*G495/100),IF(K495="L",-H495,0))</f>
        <v/>
      </c>
      <c r="M495" s="11">
        <f>Settings!$B$4+SUM(L$2:L495)</f>
        <v/>
      </c>
    </row>
    <row r="496">
      <c r="J496" s="12">
        <f>IF(I496="","",I496-F496)</f>
        <v/>
      </c>
      <c r="L496" s="11">
        <f>IF(K496="W",IF(G496&lt;0,H496*100/ABS(G496),H496*G496/100),IF(K496="L",-H496,0))</f>
        <v/>
      </c>
      <c r="M496" s="11">
        <f>Settings!$B$4+SUM(L$2:L496)</f>
        <v/>
      </c>
    </row>
    <row r="497">
      <c r="J497" s="12">
        <f>IF(I497="","",I497-F497)</f>
        <v/>
      </c>
      <c r="L497" s="11">
        <f>IF(K497="W",IF(G497&lt;0,H497*100/ABS(G497),H497*G497/100),IF(K497="L",-H497,0))</f>
        <v/>
      </c>
      <c r="M497" s="11">
        <f>Settings!$B$4+SUM(L$2:L497)</f>
        <v/>
      </c>
    </row>
    <row r="498">
      <c r="J498" s="12">
        <f>IF(I498="","",I498-F498)</f>
        <v/>
      </c>
      <c r="L498" s="11">
        <f>IF(K498="W",IF(G498&lt;0,H498*100/ABS(G498),H498*G498/100),IF(K498="L",-H498,0))</f>
        <v/>
      </c>
      <c r="M498" s="11">
        <f>Settings!$B$4+SUM(L$2:L498)</f>
        <v/>
      </c>
    </row>
    <row r="499">
      <c r="J499" s="12">
        <f>IF(I499="","",I499-F499)</f>
        <v/>
      </c>
      <c r="L499" s="11">
        <f>IF(K499="W",IF(G499&lt;0,H499*100/ABS(G499),H499*G499/100),IF(K499="L",-H499,0))</f>
        <v/>
      </c>
      <c r="M499" s="11">
        <f>Settings!$B$4+SUM(L$2:L499)</f>
        <v/>
      </c>
    </row>
    <row r="500">
      <c r="J500" s="12">
        <f>IF(I500="","",I500-F500)</f>
        <v/>
      </c>
      <c r="L500" s="11">
        <f>IF(K500="W",IF(G500&lt;0,H500*100/ABS(G500),H500*G500/100),IF(K500="L",-H500,0))</f>
        <v/>
      </c>
      <c r="M500" s="11">
        <f>Settings!$B$4+SUM(L$2:L500)</f>
        <v/>
      </c>
    </row>
    <row r="503">
      <c r="A503" s="2" t="inlineStr">
        <is>
          <t>CLV note: Closing Line - Line Taken. For a favorite (negative number), a less-negative closing line than what you bet means the market moved toward you -- positive CLV. Read each row in context of which side you took.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zoomScaleNormal="100" workbookViewId="0">
      <selection activeCell="A1" sqref="A1"/>
    </sheetView>
  </sheetViews>
  <sheetFormatPr baseColWidth="8" defaultColWidth="8.7265625" defaultRowHeight="14.5"/>
  <cols>
    <col width="16" customWidth="1" min="1" max="1"/>
    <col width="37" customWidth="1" min="2" max="2"/>
    <col width="7.1796875" customWidth="1" min="3" max="3"/>
    <col width="17" customWidth="1" min="4" max="4"/>
    <col width="12" customWidth="1" min="5" max="5"/>
    <col width="10" customWidth="1" min="6" max="7"/>
    <col width="11" customWidth="1" min="8" max="8"/>
    <col width="60" customWidth="1" min="9" max="9"/>
  </cols>
  <sheetData>
    <row r="1" ht="25.5" customHeight="1">
      <c r="A1" s="5" t="inlineStr">
        <is>
          <t>Team</t>
        </is>
      </c>
      <c r="B1" s="5" t="inlineStr">
        <is>
          <t>Prior Conference</t>
        </is>
      </c>
      <c r="C1" s="5" t="inlineStr">
        <is>
          <t>Joined 2026</t>
        </is>
      </c>
      <c r="D1" s="5" t="inlineStr">
        <is>
          <t>Model Power Rating</t>
        </is>
      </c>
      <c r="E1" s="5" t="inlineStr">
        <is>
          <t>SP+ Rating</t>
        </is>
      </c>
      <c r="F1" s="5" t="inlineStr">
        <is>
          <t>Off PPA</t>
        </is>
      </c>
      <c r="G1" s="5" t="inlineStr">
        <is>
          <t>Def PPA</t>
        </is>
      </c>
      <c r="H1" s="5" t="inlineStr">
        <is>
          <t>Talent Rank</t>
        </is>
      </c>
      <c r="I1" s="5" t="inlineStr">
        <is>
          <t>Notes</t>
        </is>
      </c>
    </row>
    <row r="2" ht="14.25" customHeight="1">
      <c r="A2" s="6" t="inlineStr">
        <is>
          <t>North Dakota State</t>
        </is>
      </c>
      <c r="B2" s="6" t="inlineStr">
        <is>
          <t>FCS (Missouri Valley Football Conference)</t>
        </is>
      </c>
      <c r="C2" s="6" t="inlineStr">
        <is>
          <t>Y</t>
        </is>
      </c>
      <c r="D2" s="9" t="n">
        <v>1726.7</v>
      </c>
      <c r="E2" s="9" t="n">
        <v>9.5</v>
      </c>
      <c r="F2" s="9" t="n">
        <v>0.09049525181395267</v>
      </c>
      <c r="G2" s="9" t="n">
        <v>-0.121123842786578</v>
      </c>
      <c r="H2" s="9" t="n">
        <v>117</v>
      </c>
      <c r="I2" s="2" t="inlineStr">
        <is>
          <t>Full MW history available. Option offense; home elevation ~6,621 ft.</t>
        </is>
      </c>
    </row>
    <row r="3" ht="14.25" customHeight="1">
      <c r="A3" s="6" t="inlineStr">
        <is>
          <t>UNLV</t>
        </is>
      </c>
      <c r="B3" s="6" t="inlineStr">
        <is>
          <t>Mountain West</t>
        </is>
      </c>
      <c r="C3" s="6" t="inlineStr">
        <is>
          <t>N</t>
        </is>
      </c>
      <c r="D3" s="9" t="n">
        <v>1613.9</v>
      </c>
      <c r="E3" s="9" t="n">
        <v>-3.4</v>
      </c>
      <c r="F3" s="9" t="n">
        <v>0.07672459441829624</v>
      </c>
      <c r="G3" s="9" t="n">
        <v>0.06989045092633524</v>
      </c>
      <c r="H3" s="9" t="n">
        <v>63</v>
      </c>
      <c r="I3" s="2" t="inlineStr">
        <is>
          <t>Full history. Travel distance/time-zone is a real situational factor for every road game.</t>
        </is>
      </c>
    </row>
    <row r="4" ht="14.25" customHeight="1">
      <c r="A4" s="6" t="inlineStr">
        <is>
          <t>New Mexico</t>
        </is>
      </c>
      <c r="B4" s="6" t="inlineStr">
        <is>
          <t>Mountain West</t>
        </is>
      </c>
      <c r="C4" s="6" t="inlineStr">
        <is>
          <t>N</t>
        </is>
      </c>
      <c r="D4" s="9" t="n">
        <v>1644.3</v>
      </c>
      <c r="E4" s="9" t="n">
        <v>10.6</v>
      </c>
      <c r="F4" s="9" t="n">
        <v>0.1439269798220898</v>
      </c>
      <c r="G4" s="9" t="n">
        <v>-0.1580846008884462</v>
      </c>
      <c r="H4" s="9" t="n">
        <v>87</v>
      </c>
      <c r="I4" s="2" t="inlineStr">
        <is>
          <t>Full history available.</t>
        </is>
      </c>
    </row>
    <row r="5" ht="14.25" customHeight="1">
      <c r="A5" s="6" t="inlineStr">
        <is>
          <t>Hawai'i</t>
        </is>
      </c>
      <c r="B5" s="6" t="inlineStr">
        <is>
          <t>Mountain West</t>
        </is>
      </c>
      <c r="C5" s="6" t="inlineStr">
        <is>
          <t>N</t>
        </is>
      </c>
      <c r="D5" s="9" t="n">
        <v>1454.8</v>
      </c>
      <c r="E5" s="9" t="n">
        <v>-12.6</v>
      </c>
      <c r="F5" s="9" t="n">
        <v>0.05770493592085239</v>
      </c>
      <c r="G5" s="9" t="n">
        <v>0.1751326999189355</v>
      </c>
      <c r="H5" s="9" t="n">
        <v>124</v>
      </c>
      <c r="I5" s="2" t="inlineStr">
        <is>
          <t>Full history. Home elevation ~5,000+ ft.</t>
        </is>
      </c>
    </row>
    <row r="6" ht="14.25" customHeight="1">
      <c r="A6" s="6" t="inlineStr">
        <is>
          <t>Air Force</t>
        </is>
      </c>
      <c r="B6" s="6" t="inlineStr">
        <is>
          <t>Mountain West</t>
        </is>
      </c>
      <c r="C6" s="6" t="inlineStr">
        <is>
          <t>N</t>
        </is>
      </c>
      <c r="D6" s="9" t="n">
        <v>1539.2</v>
      </c>
      <c r="E6" s="9" t="n">
        <v>1.5</v>
      </c>
      <c r="F6" s="9" t="n">
        <v>0.218812089775661</v>
      </c>
      <c r="G6" s="9" t="n">
        <v>0.06432211881153796</v>
      </c>
      <c r="H6" s="9" t="n">
        <v>141</v>
      </c>
      <c r="I6" s="2" t="inlineStr">
        <is>
          <t>Zero FBS history — historically dominant FCS program. Pull its FCS-era schedule separately (see pull_ndsu_games() in pull_games.py) since a plain division='fbs' query will not surface it before 2026. Likely market-mispricing candidate in year one since books/public have thin FBS-level reference data on it.</t>
        </is>
      </c>
    </row>
    <row r="7" ht="14.25" customHeight="1">
      <c r="A7" s="6" t="inlineStr">
        <is>
          <t>Wyoming</t>
        </is>
      </c>
      <c r="B7" s="6" t="inlineStr">
        <is>
          <t>Mountain West</t>
        </is>
      </c>
      <c r="C7" s="6" t="inlineStr">
        <is>
          <t>N</t>
        </is>
      </c>
      <c r="D7" s="9" t="n">
        <v>1487.6</v>
      </c>
      <c r="E7" s="9" t="n">
        <v>-9.300000000000001</v>
      </c>
      <c r="F7" s="9" t="n">
        <v>0.1258455806335947</v>
      </c>
      <c r="G7" s="9" t="n">
        <v>0.1292865235684036</v>
      </c>
      <c r="H7" s="9" t="n">
        <v>114</v>
      </c>
      <c r="I7" s="2" t="inlineStr">
        <is>
          <t>No MW history; bring its full MAC-era game log (already FBS, so it's in a plain division='fbs' pull).</t>
        </is>
      </c>
    </row>
    <row r="8" ht="14.25" customHeight="1">
      <c r="A8" s="6" t="inlineStr">
        <is>
          <t>Northern Illinois</t>
        </is>
      </c>
      <c r="B8" s="6" t="inlineStr">
        <is>
          <t>MAC</t>
        </is>
      </c>
      <c r="C8" s="6" t="inlineStr">
        <is>
          <t>Y</t>
        </is>
      </c>
      <c r="D8" s="9" t="n">
        <v>1294.5</v>
      </c>
      <c r="E8" s="9" t="n">
        <v>-25</v>
      </c>
      <c r="F8" s="9" t="n">
        <v>-0.05365606806789708</v>
      </c>
      <c r="G8" s="9" t="n">
        <v>0.2467303330745872</v>
      </c>
      <c r="H8" s="9" t="n">
        <v>82</v>
      </c>
      <c r="I8" s="2" t="inlineStr">
        <is>
          <t>Full history available. Watch for 'San Jose State' (no accent) in some sources — same team.</t>
        </is>
      </c>
    </row>
    <row r="9" ht="14.25" customHeight="1">
      <c r="A9" s="6" t="inlineStr">
        <is>
          <t>San José State</t>
        </is>
      </c>
      <c r="B9" s="6" t="inlineStr">
        <is>
          <t>Mountain West</t>
        </is>
      </c>
      <c r="C9" s="6" t="inlineStr">
        <is>
          <t>N</t>
        </is>
      </c>
      <c r="D9" s="9" t="n">
        <v>1427</v>
      </c>
      <c r="E9" s="9" t="n">
        <v>-9.300000000000001</v>
      </c>
      <c r="F9" s="9" t="n">
        <v>0.09848818696285591</v>
      </c>
      <c r="G9" s="9" t="n">
        <v>0.06572340522369177</v>
      </c>
      <c r="H9" s="9" t="n">
        <v>129</v>
      </c>
      <c r="I9" s="2" t="inlineStr">
        <is>
          <t>Full history available.</t>
        </is>
      </c>
    </row>
    <row r="10" ht="14.25" customHeight="1">
      <c r="A10" s="6" t="inlineStr">
        <is>
          <t>Nevada</t>
        </is>
      </c>
      <c r="B10" s="6" t="inlineStr">
        <is>
          <t>Mountain West</t>
        </is>
      </c>
      <c r="C10" s="6" t="inlineStr">
        <is>
          <t>N</t>
        </is>
      </c>
      <c r="D10" s="9" t="n">
        <v>1433.1</v>
      </c>
      <c r="E10" s="9" t="n">
        <v>-4.6</v>
      </c>
      <c r="F10" s="9" t="n">
        <v>0.07114187349840306</v>
      </c>
      <c r="G10" s="9" t="n">
        <v>0.09697439013382624</v>
      </c>
      <c r="H10" s="9" t="n">
        <v>98</v>
      </c>
      <c r="I10" s="2" t="inlineStr">
        <is>
          <t>No MW history; bring its full C-USA-era game log (already FBS).</t>
        </is>
      </c>
    </row>
    <row r="11" ht="14.25" customHeight="1">
      <c r="A11" s="6" t="inlineStr">
        <is>
          <t>UTEP</t>
        </is>
      </c>
      <c r="B11" s="6" t="inlineStr">
        <is>
          <t>Conference USA</t>
        </is>
      </c>
      <c r="C11" s="6" t="inlineStr">
        <is>
          <t>Y</t>
        </is>
      </c>
      <c r="D11" s="9" t="n">
        <v>1280.7</v>
      </c>
      <c r="E11" s="9" t="n">
        <v>-24.6</v>
      </c>
      <c r="F11" s="9" t="n">
        <v>-0.1079022187654095</v>
      </c>
      <c r="G11" s="9" t="n">
        <v>0.2499178015096824</v>
      </c>
      <c r="H11" s="9" t="n">
        <v>92</v>
      </c>
      <c r="I11" s="2" t="inlineStr">
        <is>
          <t>Full history. Home elevation ~7,220 ft — coldest, highest venue in the league.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9"/>
  <sheetViews>
    <sheetView showGridLines="0" workbookViewId="0">
      <selection activeCell="A25" sqref="A25"/>
    </sheetView>
  </sheetViews>
  <sheetFormatPr baseColWidth="8" defaultRowHeight="14.5"/>
  <cols>
    <col width="22" customWidth="1" min="1" max="1"/>
    <col width="10" customWidth="1" min="2" max="9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22" max="22"/>
    <col width="16" customWidth="1" min="23" max="23"/>
  </cols>
  <sheetData>
    <row r="1" ht="15.65" customHeight="1">
      <c r="A1" s="39" t="inlineStr">
        <is>
          <t>Team</t>
        </is>
      </c>
      <c r="B1" s="40" t="inlineStr">
        <is>
          <t>Week 1</t>
        </is>
      </c>
      <c r="C1" s="40" t="inlineStr">
        <is>
          <t>Week 2</t>
        </is>
      </c>
      <c r="D1" s="40" t="inlineStr">
        <is>
          <t>Week 3</t>
        </is>
      </c>
      <c r="E1" s="40" t="inlineStr">
        <is>
          <t>Week 4</t>
        </is>
      </c>
      <c r="F1" s="40" t="inlineStr">
        <is>
          <t>Week 5</t>
        </is>
      </c>
      <c r="G1" s="40" t="inlineStr">
        <is>
          <t>Week 6</t>
        </is>
      </c>
      <c r="H1" s="40" t="inlineStr">
        <is>
          <t>Week 7</t>
        </is>
      </c>
      <c r="I1" s="40" t="inlineStr">
        <is>
          <t>Week 8</t>
        </is>
      </c>
      <c r="V1" s="41" t="inlineStr">
        <is>
          <t>Matchup Spread Calculator</t>
        </is>
      </c>
    </row>
    <row r="2">
      <c r="A2" s="42" t="inlineStr">
        <is>
          <t>Ohio State</t>
        </is>
      </c>
      <c r="B2" s="42" t="n">
        <v>93.40000000000001</v>
      </c>
      <c r="C2" s="42" t="n">
        <v>92.40000000000001</v>
      </c>
      <c r="D2" s="42" t="n">
        <v>90.8</v>
      </c>
      <c r="E2" s="42" t="n">
        <v>91.09999999999999</v>
      </c>
      <c r="F2" s="42" t="n">
        <v>91.59999999999999</v>
      </c>
      <c r="G2" s="42" t="n">
        <v>91.09999999999999</v>
      </c>
      <c r="H2" s="42" t="n">
        <v>92.09999999999999</v>
      </c>
      <c r="I2" s="42" t="n">
        <v>92.09999999999999</v>
      </c>
    </row>
    <row r="3">
      <c r="A3" s="42" t="inlineStr">
        <is>
          <t>Indiana</t>
        </is>
      </c>
      <c r="B3" s="42" t="n">
        <v>97</v>
      </c>
      <c r="C3" s="42" t="n">
        <v>94.09999999999999</v>
      </c>
      <c r="D3" s="42" t="n">
        <v>93.09999999999999</v>
      </c>
      <c r="E3" s="42" t="n">
        <v>91.59999999999999</v>
      </c>
      <c r="F3" s="42" t="n">
        <v>90.40000000000001</v>
      </c>
      <c r="G3" s="42" t="n">
        <v>89</v>
      </c>
      <c r="H3" s="42" t="n">
        <v>88</v>
      </c>
      <c r="I3" s="42" t="n">
        <v>87.09999999999999</v>
      </c>
      <c r="V3" s="42" t="inlineStr">
        <is>
          <t>Home Team</t>
        </is>
      </c>
      <c r="W3" s="14" t="inlineStr">
        <is>
          <t>Delaware</t>
        </is>
      </c>
    </row>
    <row r="4">
      <c r="A4" s="42" t="inlineStr">
        <is>
          <t>Miami</t>
        </is>
      </c>
      <c r="B4" s="42" t="n">
        <v>89.90000000000001</v>
      </c>
      <c r="C4" s="42" t="n">
        <v>87.5</v>
      </c>
      <c r="D4" s="42" t="n">
        <v>86.09999999999999</v>
      </c>
      <c r="E4" s="42" t="n">
        <v>85.7</v>
      </c>
      <c r="F4" s="42" t="n">
        <v>86.7</v>
      </c>
      <c r="G4" s="42" t="n">
        <v>86.8</v>
      </c>
      <c r="H4" s="42" t="n">
        <v>85.7</v>
      </c>
      <c r="I4" s="42" t="n">
        <v>86.59999999999999</v>
      </c>
      <c r="V4" s="42" t="inlineStr">
        <is>
          <t>Away Team</t>
        </is>
      </c>
      <c r="W4" s="14" t="inlineStr">
        <is>
          <t>Liberty</t>
        </is>
      </c>
    </row>
    <row r="5">
      <c r="A5" s="42" t="inlineStr">
        <is>
          <t>Georgia</t>
        </is>
      </c>
      <c r="B5" s="42" t="n">
        <v>83.5</v>
      </c>
      <c r="C5" s="42" t="n">
        <v>83.59999999999999</v>
      </c>
      <c r="D5" s="42" t="n">
        <v>84.7</v>
      </c>
      <c r="E5" s="42" t="n">
        <v>86.90000000000001</v>
      </c>
      <c r="F5" s="42" t="n">
        <v>87.59999999999999</v>
      </c>
      <c r="G5" s="42" t="n">
        <v>87.59999999999999</v>
      </c>
      <c r="H5" s="42" t="n">
        <v>85.7</v>
      </c>
      <c r="I5" s="42" t="n">
        <v>85.7</v>
      </c>
      <c r="V5" s="42" t="inlineStr">
        <is>
          <t>Neutral Site? (Y/N)</t>
        </is>
      </c>
      <c r="W5" s="14" t="inlineStr">
        <is>
          <t>N</t>
        </is>
      </c>
    </row>
    <row r="6">
      <c r="A6" s="42" t="inlineStr">
        <is>
          <t>Notre Dame</t>
        </is>
      </c>
      <c r="B6" s="42" t="n">
        <v>88.5</v>
      </c>
      <c r="C6" s="42" t="n">
        <v>87.09999999999999</v>
      </c>
      <c r="D6" s="42" t="n">
        <v>86.8</v>
      </c>
      <c r="E6" s="42" t="n">
        <v>86.5</v>
      </c>
      <c r="F6" s="42" t="n">
        <v>85.09999999999999</v>
      </c>
      <c r="G6" s="42" t="n">
        <v>85.40000000000001</v>
      </c>
      <c r="H6" s="42" t="n">
        <v>84</v>
      </c>
      <c r="I6" s="42" t="n">
        <v>84</v>
      </c>
    </row>
    <row r="7">
      <c r="A7" s="42" t="inlineStr">
        <is>
          <t>Ole Miss</t>
        </is>
      </c>
      <c r="B7" s="42" t="n">
        <v>84.90000000000001</v>
      </c>
      <c r="C7" s="42" t="n">
        <v>83.59999999999999</v>
      </c>
      <c r="D7" s="42" t="n">
        <v>84.09999999999999</v>
      </c>
      <c r="E7" s="42" t="n">
        <v>80.5</v>
      </c>
      <c r="F7" s="42" t="n">
        <v>80.5</v>
      </c>
      <c r="G7" s="42" t="n">
        <v>82.2</v>
      </c>
      <c r="H7" s="42" t="n">
        <v>84.59999999999999</v>
      </c>
      <c r="I7" s="42" t="n">
        <v>83.7</v>
      </c>
      <c r="V7" s="42" t="inlineStr">
        <is>
          <t>HFA (model constant)</t>
        </is>
      </c>
      <c r="W7" s="42" t="n">
        <v>2.7</v>
      </c>
    </row>
    <row r="8">
      <c r="A8" s="42" t="inlineStr">
        <is>
          <t>Texas</t>
        </is>
      </c>
      <c r="B8" s="42" t="n">
        <v>85.09999999999999</v>
      </c>
      <c r="C8" s="42" t="n">
        <v>86</v>
      </c>
      <c r="D8" s="42" t="n">
        <v>86.40000000000001</v>
      </c>
      <c r="E8" s="42" t="n">
        <v>85.90000000000001</v>
      </c>
      <c r="F8" s="42" t="n">
        <v>85.90000000000001</v>
      </c>
      <c r="G8" s="42" t="n">
        <v>84.7</v>
      </c>
      <c r="H8" s="42" t="n">
        <v>82.59999999999999</v>
      </c>
      <c r="I8" s="42" t="n">
        <v>83.59999999999999</v>
      </c>
    </row>
    <row r="9">
      <c r="A9" s="42" t="inlineStr">
        <is>
          <t>Alabama</t>
        </is>
      </c>
      <c r="B9" s="42" t="n">
        <v>80.90000000000001</v>
      </c>
      <c r="C9" s="42" t="n">
        <v>82.3</v>
      </c>
      <c r="D9" s="42" t="n">
        <v>82.2</v>
      </c>
      <c r="E9" s="42" t="n">
        <v>83.3</v>
      </c>
      <c r="F9" s="42" t="n">
        <v>85</v>
      </c>
      <c r="G9" s="42" t="n">
        <v>85</v>
      </c>
      <c r="H9" s="42" t="n">
        <v>82.7</v>
      </c>
      <c r="I9" s="42" t="n">
        <v>83.3</v>
      </c>
      <c r="V9" s="43" t="inlineStr">
        <is>
          <t>Predicted Spread (Home)</t>
        </is>
      </c>
      <c r="W9" s="43">
        <f>IF(OR(W3="",W4=""),"",INDEX($I$2:$I$139,MATCH(W4,$A$2:$A$139,0))-INDEX($I$2:$I$139,MATCH(W3,$A$2:$A$139,0))-IF(UPPER(W5)="Y",0,W7))</f>
        <v/>
      </c>
    </row>
    <row r="10">
      <c r="A10" s="42" t="inlineStr">
        <is>
          <t>LSU</t>
        </is>
      </c>
      <c r="B10" s="42" t="n">
        <v>79.09999999999999</v>
      </c>
      <c r="C10" s="42" t="n">
        <v>79.8</v>
      </c>
      <c r="D10" s="42" t="n">
        <v>79.40000000000001</v>
      </c>
      <c r="E10" s="42" t="n">
        <v>82.2</v>
      </c>
      <c r="F10" s="42" t="n">
        <v>80.40000000000001</v>
      </c>
      <c r="G10" s="42" t="n">
        <v>79.5</v>
      </c>
      <c r="H10" s="42" t="n">
        <v>80.8</v>
      </c>
      <c r="I10" s="42" t="n">
        <v>82.40000000000001</v>
      </c>
      <c r="V10" s="44" t="inlineStr">
        <is>
          <t>(negative = home team favored, e.g. "Home -6.5")</t>
        </is>
      </c>
    </row>
    <row r="11">
      <c r="A11" s="42" t="inlineStr">
        <is>
          <t>Utah</t>
        </is>
      </c>
      <c r="B11" s="42" t="n">
        <v>81.59999999999999</v>
      </c>
      <c r="C11" s="42" t="n">
        <v>83</v>
      </c>
      <c r="D11" s="42" t="n">
        <v>83.7</v>
      </c>
      <c r="E11" s="42" t="n">
        <v>83.7</v>
      </c>
      <c r="F11" s="42" t="n">
        <v>83.7</v>
      </c>
      <c r="G11" s="42" t="n">
        <v>83.3</v>
      </c>
      <c r="H11" s="42" t="n">
        <v>81.3</v>
      </c>
      <c r="I11" s="42" t="n">
        <v>81</v>
      </c>
    </row>
    <row r="12">
      <c r="A12" s="42" t="inlineStr">
        <is>
          <t>Texas Tech</t>
        </is>
      </c>
      <c r="B12" s="42" t="n">
        <v>87.3</v>
      </c>
      <c r="C12" s="42" t="n">
        <v>85.09999999999999</v>
      </c>
      <c r="D12" s="42" t="n">
        <v>83.90000000000001</v>
      </c>
      <c r="E12" s="42" t="n">
        <v>82.59999999999999</v>
      </c>
      <c r="F12" s="42" t="n">
        <v>82.5</v>
      </c>
      <c r="G12" s="42" t="n">
        <v>82.5</v>
      </c>
      <c r="H12" s="42" t="n">
        <v>83.7</v>
      </c>
      <c r="I12" s="42" t="n">
        <v>80.7</v>
      </c>
    </row>
    <row r="13">
      <c r="A13" s="42" t="inlineStr">
        <is>
          <t>Arizona</t>
        </is>
      </c>
      <c r="B13" s="42" t="n">
        <v>73.40000000000001</v>
      </c>
      <c r="C13" s="42" t="n">
        <v>72.8</v>
      </c>
      <c r="D13" s="42" t="n">
        <v>72.40000000000001</v>
      </c>
      <c r="E13" s="42" t="n">
        <v>72.59999999999999</v>
      </c>
      <c r="F13" s="42" t="n">
        <v>75.59999999999999</v>
      </c>
      <c r="G13" s="42" t="n">
        <v>76.8</v>
      </c>
      <c r="H13" s="42" t="n">
        <v>76.8</v>
      </c>
      <c r="I13" s="42" t="n">
        <v>79.2</v>
      </c>
    </row>
    <row r="14">
      <c r="A14" s="42" t="inlineStr">
        <is>
          <t>Oregon</t>
        </is>
      </c>
      <c r="B14" s="42" t="n">
        <v>86.90000000000001</v>
      </c>
      <c r="C14" s="42" t="n">
        <v>82.59999999999999</v>
      </c>
      <c r="D14" s="42" t="n">
        <v>81.2</v>
      </c>
      <c r="E14" s="42" t="n">
        <v>81.90000000000001</v>
      </c>
      <c r="F14" s="42" t="n">
        <v>81.90000000000001</v>
      </c>
      <c r="G14" s="42" t="n">
        <v>81.09999999999999</v>
      </c>
      <c r="H14" s="42" t="n">
        <v>81.2</v>
      </c>
      <c r="I14" s="42" t="n">
        <v>79.09999999999999</v>
      </c>
    </row>
    <row r="15">
      <c r="A15" s="42" t="inlineStr">
        <is>
          <t>Tennessee</t>
        </is>
      </c>
      <c r="B15" s="42" t="n">
        <v>76.8</v>
      </c>
      <c r="C15" s="42" t="n">
        <v>77.90000000000001</v>
      </c>
      <c r="D15" s="42" t="n">
        <v>78.40000000000001</v>
      </c>
      <c r="E15" s="42" t="n">
        <v>78.90000000000001</v>
      </c>
      <c r="F15" s="42" t="n">
        <v>79.2</v>
      </c>
      <c r="G15" s="42" t="n">
        <v>78.40000000000001</v>
      </c>
      <c r="H15" s="42" t="n">
        <v>80.7</v>
      </c>
      <c r="I15" s="42" t="n">
        <v>79</v>
      </c>
    </row>
    <row r="16">
      <c r="A16" s="42" t="inlineStr">
        <is>
          <t>South Carolina</t>
        </is>
      </c>
      <c r="B16" s="42" t="n">
        <v>75.09999999999999</v>
      </c>
      <c r="C16" s="42" t="n">
        <v>75.7</v>
      </c>
      <c r="D16" s="42" t="n">
        <v>75.09999999999999</v>
      </c>
      <c r="E16" s="42" t="n">
        <v>74</v>
      </c>
      <c r="F16" s="42" t="n">
        <v>74.2</v>
      </c>
      <c r="G16" s="42" t="n">
        <v>77.09999999999999</v>
      </c>
      <c r="H16" s="42" t="n">
        <v>77.09999999999999</v>
      </c>
      <c r="I16" s="42" t="n">
        <v>78.8</v>
      </c>
    </row>
    <row r="17">
      <c r="A17" s="42" t="inlineStr">
        <is>
          <t>Iowa</t>
        </is>
      </c>
      <c r="B17" s="42" t="n">
        <v>81.2</v>
      </c>
      <c r="C17" s="42" t="n">
        <v>80.2</v>
      </c>
      <c r="D17" s="42" t="n">
        <v>79</v>
      </c>
      <c r="E17" s="42" t="n">
        <v>78.7</v>
      </c>
      <c r="F17" s="42" t="n">
        <v>78.3</v>
      </c>
      <c r="G17" s="42" t="n">
        <v>79.7</v>
      </c>
      <c r="H17" s="42" t="n">
        <v>79.7</v>
      </c>
      <c r="I17" s="42" t="n">
        <v>78.2</v>
      </c>
    </row>
    <row r="18">
      <c r="A18" s="42" t="inlineStr">
        <is>
          <t>BYU</t>
        </is>
      </c>
      <c r="B18" s="42" t="n">
        <v>78.3</v>
      </c>
      <c r="C18" s="42" t="n">
        <v>78.90000000000001</v>
      </c>
      <c r="D18" s="42" t="n">
        <v>78.09999999999999</v>
      </c>
      <c r="E18" s="42" t="n">
        <v>78.09999999999999</v>
      </c>
      <c r="F18" s="42" t="n">
        <v>77.7</v>
      </c>
      <c r="G18" s="42" t="n">
        <v>78.5</v>
      </c>
      <c r="H18" s="42" t="n">
        <v>79.90000000000001</v>
      </c>
      <c r="I18" s="42" t="n">
        <v>77.59999999999999</v>
      </c>
    </row>
    <row r="19">
      <c r="A19" s="42" t="inlineStr">
        <is>
          <t>Texas A&amp;M</t>
        </is>
      </c>
      <c r="B19" s="42" t="n">
        <v>82.8</v>
      </c>
      <c r="C19" s="42" t="n">
        <v>84.2</v>
      </c>
      <c r="D19" s="42" t="n">
        <v>81.59999999999999</v>
      </c>
      <c r="E19" s="42" t="n">
        <v>78.8</v>
      </c>
      <c r="F19" s="42" t="n">
        <v>80.59999999999999</v>
      </c>
      <c r="G19" s="42" t="n">
        <v>78.2</v>
      </c>
      <c r="H19" s="42" t="n">
        <v>77.8</v>
      </c>
      <c r="I19" s="42" t="n">
        <v>77.09999999999999</v>
      </c>
    </row>
    <row r="20">
      <c r="A20" s="42" t="inlineStr">
        <is>
          <t>Wake Forest</t>
        </is>
      </c>
      <c r="B20" s="42" t="n">
        <v>71</v>
      </c>
      <c r="C20" s="42" t="n">
        <v>69.8</v>
      </c>
      <c r="D20" s="42" t="n">
        <v>71.3</v>
      </c>
      <c r="E20" s="42" t="n">
        <v>72.09999999999999</v>
      </c>
      <c r="F20" s="42" t="n">
        <v>73.8</v>
      </c>
      <c r="G20" s="42" t="n">
        <v>75.59999999999999</v>
      </c>
      <c r="H20" s="42" t="n">
        <v>76.7</v>
      </c>
      <c r="I20" s="42" t="n">
        <v>76.7</v>
      </c>
    </row>
    <row r="21">
      <c r="A21" s="42" t="inlineStr">
        <is>
          <t>Nebraska</t>
        </is>
      </c>
      <c r="B21" s="42" t="n">
        <v>72.09999999999999</v>
      </c>
      <c r="C21" s="42" t="n">
        <v>72.59999999999999</v>
      </c>
      <c r="D21" s="42" t="n">
        <v>72.5</v>
      </c>
      <c r="E21" s="42" t="n">
        <v>73.7</v>
      </c>
      <c r="F21" s="42" t="n">
        <v>75.2</v>
      </c>
      <c r="G21" s="42" t="n">
        <v>76.7</v>
      </c>
      <c r="H21" s="42" t="n">
        <v>76.5</v>
      </c>
      <c r="I21" s="42" t="n">
        <v>76.59999999999999</v>
      </c>
    </row>
    <row r="22">
      <c r="A22" s="42" t="inlineStr">
        <is>
          <t>Louisville</t>
        </is>
      </c>
      <c r="B22" s="42" t="n">
        <v>74.7</v>
      </c>
      <c r="C22" s="42" t="n">
        <v>74.90000000000001</v>
      </c>
      <c r="D22" s="42" t="n">
        <v>75.59999999999999</v>
      </c>
      <c r="E22" s="42" t="n">
        <v>74.7</v>
      </c>
      <c r="F22" s="42" t="n">
        <v>74.59999999999999</v>
      </c>
      <c r="G22" s="42" t="n">
        <v>77.7</v>
      </c>
      <c r="H22" s="42" t="n">
        <v>76.3</v>
      </c>
      <c r="I22" s="42" t="n">
        <v>76.3</v>
      </c>
    </row>
    <row r="23">
      <c r="A23" s="42" t="inlineStr">
        <is>
          <t>Missouri</t>
        </is>
      </c>
      <c r="B23" s="42" t="n">
        <v>74.59999999999999</v>
      </c>
      <c r="C23" s="42" t="n">
        <v>75.3</v>
      </c>
      <c r="D23" s="42" t="n">
        <v>74.09999999999999</v>
      </c>
      <c r="E23" s="42" t="n">
        <v>73.09999999999999</v>
      </c>
      <c r="F23" s="42" t="n">
        <v>76.3</v>
      </c>
      <c r="G23" s="42" t="n">
        <v>78.7</v>
      </c>
      <c r="H23" s="42" t="n">
        <v>76.3</v>
      </c>
      <c r="I23" s="42" t="n">
        <v>76.3</v>
      </c>
    </row>
    <row r="24">
      <c r="A24" s="42" t="inlineStr">
        <is>
          <t>Oklahoma</t>
        </is>
      </c>
      <c r="B24" s="42" t="n">
        <v>81.2</v>
      </c>
      <c r="C24" s="42" t="n">
        <v>79.40000000000001</v>
      </c>
      <c r="D24" s="42" t="n">
        <v>79</v>
      </c>
      <c r="E24" s="42" t="n">
        <v>76.8</v>
      </c>
      <c r="F24" s="42" t="n">
        <v>76.8</v>
      </c>
      <c r="G24" s="42" t="n">
        <v>78</v>
      </c>
      <c r="H24" s="42" t="n">
        <v>76.5</v>
      </c>
      <c r="I24" s="42" t="n">
        <v>75.90000000000001</v>
      </c>
    </row>
    <row r="25">
      <c r="A25" s="42" t="inlineStr">
        <is>
          <t>USC</t>
        </is>
      </c>
      <c r="B25" s="42" t="n">
        <v>78</v>
      </c>
      <c r="C25" s="42" t="n">
        <v>77.3</v>
      </c>
      <c r="D25" s="42" t="n">
        <v>76.7</v>
      </c>
      <c r="E25" s="42" t="n">
        <v>75.8</v>
      </c>
      <c r="F25" s="42" t="n">
        <v>76.7</v>
      </c>
      <c r="G25" s="42" t="n">
        <v>77.5</v>
      </c>
      <c r="H25" s="42" t="n">
        <v>77.5</v>
      </c>
      <c r="I25" s="42" t="n">
        <v>75.2</v>
      </c>
    </row>
    <row r="26">
      <c r="A26" s="42" t="inlineStr">
        <is>
          <t>Northwestern</t>
        </is>
      </c>
      <c r="B26" s="42" t="n">
        <v>68.09999999999999</v>
      </c>
      <c r="C26" s="42" t="n">
        <v>68.09999999999999</v>
      </c>
      <c r="D26" s="42" t="n">
        <v>70.59999999999999</v>
      </c>
      <c r="E26" s="42" t="n">
        <v>72.09999999999999</v>
      </c>
      <c r="F26" s="42" t="n">
        <v>74.59999999999999</v>
      </c>
      <c r="G26" s="42" t="n">
        <v>74.3</v>
      </c>
      <c r="H26" s="42" t="n">
        <v>73.5</v>
      </c>
      <c r="I26" s="42" t="n">
        <v>74.8</v>
      </c>
    </row>
    <row r="27">
      <c r="A27" s="42" t="inlineStr">
        <is>
          <t>Penn State</t>
        </is>
      </c>
      <c r="B27" s="42" t="n">
        <v>80.90000000000001</v>
      </c>
      <c r="C27" s="42" t="n">
        <v>80.3</v>
      </c>
      <c r="D27" s="42" t="n">
        <v>80.09999999999999</v>
      </c>
      <c r="E27" s="42" t="n">
        <v>78.5</v>
      </c>
      <c r="F27" s="42" t="n">
        <v>76</v>
      </c>
      <c r="G27" s="42" t="n">
        <v>75.09999999999999</v>
      </c>
      <c r="H27" s="42" t="n">
        <v>74.8</v>
      </c>
      <c r="I27" s="42" t="n">
        <v>74.8</v>
      </c>
    </row>
    <row r="28">
      <c r="A28" s="42" t="inlineStr">
        <is>
          <t>SMU</t>
        </is>
      </c>
      <c r="B28" s="42" t="n">
        <v>75.40000000000001</v>
      </c>
      <c r="C28" s="42" t="n">
        <v>75.3</v>
      </c>
      <c r="D28" s="42" t="n">
        <v>74.2</v>
      </c>
      <c r="E28" s="42" t="n">
        <v>72.90000000000001</v>
      </c>
      <c r="F28" s="42" t="n">
        <v>72.5</v>
      </c>
      <c r="G28" s="42" t="n">
        <v>72.59999999999999</v>
      </c>
      <c r="H28" s="42" t="n">
        <v>73.40000000000001</v>
      </c>
      <c r="I28" s="42" t="n">
        <v>74.59999999999999</v>
      </c>
    </row>
    <row r="29">
      <c r="A29" s="42" t="inlineStr">
        <is>
          <t>Florida</t>
        </is>
      </c>
      <c r="B29" s="42" t="n">
        <v>75.2</v>
      </c>
      <c r="C29" s="42" t="n">
        <v>74.59999999999999</v>
      </c>
      <c r="D29" s="42" t="n">
        <v>74.5</v>
      </c>
      <c r="E29" s="42" t="n">
        <v>77.90000000000001</v>
      </c>
      <c r="F29" s="42" t="n">
        <v>74.8</v>
      </c>
      <c r="G29" s="42" t="n">
        <v>71.90000000000001</v>
      </c>
      <c r="H29" s="42" t="n">
        <v>74</v>
      </c>
      <c r="I29" s="42" t="n">
        <v>74</v>
      </c>
    </row>
    <row r="30">
      <c r="A30" s="42" t="inlineStr">
        <is>
          <t>Boise State</t>
        </is>
      </c>
      <c r="B30" s="42" t="n">
        <v>70.2</v>
      </c>
      <c r="C30" s="42" t="n">
        <v>71.8</v>
      </c>
      <c r="D30" s="42" t="n">
        <v>70.3</v>
      </c>
      <c r="E30" s="42" t="n">
        <v>72.40000000000001</v>
      </c>
      <c r="F30" s="42" t="n">
        <v>73.3</v>
      </c>
      <c r="G30" s="42" t="n">
        <v>73</v>
      </c>
      <c r="H30" s="42" t="n">
        <v>73</v>
      </c>
      <c r="I30" s="42" t="n">
        <v>74</v>
      </c>
    </row>
    <row r="31">
      <c r="A31" s="42" t="inlineStr">
        <is>
          <t>Michigan</t>
        </is>
      </c>
      <c r="B31" s="42" t="n">
        <v>71.2</v>
      </c>
      <c r="C31" s="42" t="n">
        <v>73</v>
      </c>
      <c r="D31" s="42" t="n">
        <v>72.8</v>
      </c>
      <c r="E31" s="42" t="n">
        <v>73.2</v>
      </c>
      <c r="F31" s="42" t="n">
        <v>72.2</v>
      </c>
      <c r="G31" s="42" t="n">
        <v>72.2</v>
      </c>
      <c r="H31" s="42" t="n">
        <v>72.5</v>
      </c>
      <c r="I31" s="42" t="n">
        <v>73.5</v>
      </c>
    </row>
    <row r="32">
      <c r="A32" s="42" t="inlineStr">
        <is>
          <t>Washington</t>
        </is>
      </c>
      <c r="B32" s="42" t="n">
        <v>79.09999999999999</v>
      </c>
      <c r="C32" s="42" t="n">
        <v>77.59999999999999</v>
      </c>
      <c r="D32" s="42" t="n">
        <v>76.59999999999999</v>
      </c>
      <c r="E32" s="42" t="n">
        <v>75.5</v>
      </c>
      <c r="F32" s="42" t="n">
        <v>74.59999999999999</v>
      </c>
      <c r="G32" s="42" t="n">
        <v>73.3</v>
      </c>
      <c r="H32" s="42" t="n">
        <v>73.40000000000001</v>
      </c>
      <c r="I32" s="42" t="n">
        <v>73.5</v>
      </c>
    </row>
    <row r="33">
      <c r="A33" s="42" t="inlineStr">
        <is>
          <t>Kentucky</t>
        </is>
      </c>
      <c r="B33" s="42" t="n">
        <v>66.5</v>
      </c>
      <c r="C33" s="42" t="n">
        <v>65.09999999999999</v>
      </c>
      <c r="D33" s="42" t="n">
        <v>67.8</v>
      </c>
      <c r="E33" s="42" t="n">
        <v>68.8</v>
      </c>
      <c r="F33" s="42" t="n">
        <v>68.5</v>
      </c>
      <c r="G33" s="42" t="n">
        <v>69.7</v>
      </c>
      <c r="H33" s="42" t="n">
        <v>71.2</v>
      </c>
      <c r="I33" s="42" t="n">
        <v>73</v>
      </c>
    </row>
    <row r="34">
      <c r="A34" s="42" t="inlineStr">
        <is>
          <t>Duke</t>
        </is>
      </c>
      <c r="B34" s="42" t="n">
        <v>75</v>
      </c>
      <c r="C34" s="42" t="n">
        <v>75</v>
      </c>
      <c r="D34" s="42" t="n">
        <v>76.40000000000001</v>
      </c>
      <c r="E34" s="42" t="n">
        <v>75.7</v>
      </c>
      <c r="F34" s="42" t="n">
        <v>75.7</v>
      </c>
      <c r="G34" s="42" t="n">
        <v>74.40000000000001</v>
      </c>
      <c r="H34" s="42" t="n">
        <v>73</v>
      </c>
      <c r="I34" s="42" t="n">
        <v>72.90000000000001</v>
      </c>
    </row>
    <row r="35">
      <c r="A35" s="42" t="inlineStr">
        <is>
          <t>UCLA</t>
        </is>
      </c>
      <c r="B35" s="42" t="n">
        <v>63.8</v>
      </c>
      <c r="C35" s="42" t="n">
        <v>65.8</v>
      </c>
      <c r="D35" s="42" t="n">
        <v>66.59999999999999</v>
      </c>
      <c r="E35" s="42" t="n">
        <v>69.2</v>
      </c>
      <c r="F35" s="42" t="n">
        <v>69.2</v>
      </c>
      <c r="G35" s="42" t="n">
        <v>70.09999999999999</v>
      </c>
      <c r="H35" s="42" t="n">
        <v>71.09999999999999</v>
      </c>
      <c r="I35" s="42" t="n">
        <v>72.3</v>
      </c>
    </row>
    <row r="36">
      <c r="A36" s="42" t="inlineStr">
        <is>
          <t>North Dakota State</t>
        </is>
      </c>
      <c r="B36" s="42" t="n">
        <v>79.5</v>
      </c>
      <c r="C36" s="42" t="n">
        <v>77.90000000000001</v>
      </c>
      <c r="D36" s="42" t="n">
        <v>76.09999999999999</v>
      </c>
      <c r="E36" s="42" t="n">
        <v>76.09999999999999</v>
      </c>
      <c r="F36" s="42" t="n">
        <v>76.3</v>
      </c>
      <c r="G36" s="42" t="n">
        <v>74.2</v>
      </c>
      <c r="H36" s="42" t="n">
        <v>73.40000000000001</v>
      </c>
      <c r="I36" s="42" t="n">
        <v>72.3</v>
      </c>
    </row>
    <row r="37">
      <c r="A37" s="42" t="inlineStr">
        <is>
          <t>Houston</t>
        </is>
      </c>
      <c r="B37" s="42" t="n">
        <v>68.90000000000001</v>
      </c>
      <c r="C37" s="42" t="n">
        <v>69.2</v>
      </c>
      <c r="D37" s="42" t="n">
        <v>70.2</v>
      </c>
      <c r="E37" s="42" t="n">
        <v>70.09999999999999</v>
      </c>
      <c r="F37" s="42" t="n">
        <v>70.5</v>
      </c>
      <c r="G37" s="42" t="n">
        <v>72.7</v>
      </c>
      <c r="H37" s="42" t="n">
        <v>71.7</v>
      </c>
      <c r="I37" s="42" t="n">
        <v>72</v>
      </c>
    </row>
    <row r="38">
      <c r="A38" s="42" t="inlineStr">
        <is>
          <t>Auburn</t>
        </is>
      </c>
      <c r="B38" s="42" t="n">
        <v>69.40000000000001</v>
      </c>
      <c r="C38" s="42" t="n">
        <v>70.59999999999999</v>
      </c>
      <c r="D38" s="42" t="n">
        <v>70.5</v>
      </c>
      <c r="E38" s="42" t="n">
        <v>71.8</v>
      </c>
      <c r="F38" s="42" t="n">
        <v>71.5</v>
      </c>
      <c r="G38" s="42" t="n">
        <v>71.5</v>
      </c>
      <c r="H38" s="42" t="n">
        <v>73.5</v>
      </c>
      <c r="I38" s="42" t="n">
        <v>71.90000000000001</v>
      </c>
    </row>
    <row r="39">
      <c r="A39" s="42" t="inlineStr">
        <is>
          <t>Wisconsin</t>
        </is>
      </c>
      <c r="B39" s="42" t="n">
        <v>64.59999999999999</v>
      </c>
      <c r="C39" s="42" t="n">
        <v>64.5</v>
      </c>
      <c r="D39" s="42" t="n">
        <v>65.2</v>
      </c>
      <c r="E39" s="42" t="n">
        <v>66.7</v>
      </c>
      <c r="F39" s="42" t="n">
        <v>69.40000000000001</v>
      </c>
      <c r="G39" s="42" t="n">
        <v>69.5</v>
      </c>
      <c r="H39" s="42" t="n">
        <v>68.40000000000001</v>
      </c>
      <c r="I39" s="42" t="n">
        <v>70.8</v>
      </c>
    </row>
    <row r="40">
      <c r="A40" s="42" t="inlineStr">
        <is>
          <t>Pittsburgh</t>
        </is>
      </c>
      <c r="B40" s="42" t="n">
        <v>75.3</v>
      </c>
      <c r="C40" s="42" t="n">
        <v>74.59999999999999</v>
      </c>
      <c r="D40" s="42" t="n">
        <v>74.09999999999999</v>
      </c>
      <c r="E40" s="42" t="n">
        <v>73.59999999999999</v>
      </c>
      <c r="F40" s="42" t="n">
        <v>74</v>
      </c>
      <c r="G40" s="42" t="n">
        <v>73.2</v>
      </c>
      <c r="H40" s="42" t="n">
        <v>71.5</v>
      </c>
      <c r="I40" s="42" t="n">
        <v>70.7</v>
      </c>
    </row>
    <row r="41">
      <c r="A41" s="42" t="inlineStr">
        <is>
          <t>Illinois</t>
        </is>
      </c>
      <c r="B41" s="42" t="n">
        <v>71</v>
      </c>
      <c r="C41" s="42" t="n">
        <v>71</v>
      </c>
      <c r="D41" s="42" t="n">
        <v>70.90000000000001</v>
      </c>
      <c r="E41" s="42" t="n">
        <v>70.5</v>
      </c>
      <c r="F41" s="42" t="n">
        <v>68.59999999999999</v>
      </c>
      <c r="G41" s="42" t="n">
        <v>68.40000000000001</v>
      </c>
      <c r="H41" s="42" t="n">
        <v>68.3</v>
      </c>
      <c r="I41" s="42" t="n">
        <v>70.5</v>
      </c>
    </row>
    <row r="42">
      <c r="A42" s="42" t="inlineStr">
        <is>
          <t>Vanderbilt</t>
        </is>
      </c>
      <c r="B42" s="42" t="n">
        <v>80.40000000000001</v>
      </c>
      <c r="C42" s="42" t="n">
        <v>78.90000000000001</v>
      </c>
      <c r="D42" s="42" t="n">
        <v>78.3</v>
      </c>
      <c r="E42" s="42" t="n">
        <v>76.90000000000001</v>
      </c>
      <c r="F42" s="42" t="n">
        <v>76.2</v>
      </c>
      <c r="G42" s="42" t="n">
        <v>74.5</v>
      </c>
      <c r="H42" s="42" t="n">
        <v>72.3</v>
      </c>
      <c r="I42" s="42" t="n">
        <v>70.5</v>
      </c>
    </row>
    <row r="43">
      <c r="A43" s="42" t="inlineStr">
        <is>
          <t>Virginia</t>
        </is>
      </c>
      <c r="B43" s="42" t="n">
        <v>79.2</v>
      </c>
      <c r="C43" s="42" t="n">
        <v>78.2</v>
      </c>
      <c r="D43" s="42" t="n">
        <v>74.8</v>
      </c>
      <c r="E43" s="42" t="n">
        <v>75.8</v>
      </c>
      <c r="F43" s="42" t="n">
        <v>72.2</v>
      </c>
      <c r="G43" s="42" t="n">
        <v>70.7</v>
      </c>
      <c r="H43" s="42" t="n">
        <v>69.8</v>
      </c>
      <c r="I43" s="42" t="n">
        <v>70</v>
      </c>
    </row>
    <row r="44">
      <c r="A44" s="42" t="inlineStr">
        <is>
          <t>Mississippi State</t>
        </is>
      </c>
      <c r="B44" s="42" t="n">
        <v>68.8</v>
      </c>
      <c r="C44" s="42" t="n">
        <v>71.40000000000001</v>
      </c>
      <c r="D44" s="42" t="n">
        <v>71.40000000000001</v>
      </c>
      <c r="E44" s="42" t="n">
        <v>72.40000000000001</v>
      </c>
      <c r="F44" s="42" t="n">
        <v>70.7</v>
      </c>
      <c r="G44" s="42" t="n">
        <v>70.7</v>
      </c>
      <c r="H44" s="42" t="n">
        <v>69.3</v>
      </c>
      <c r="I44" s="42" t="n">
        <v>69.90000000000001</v>
      </c>
    </row>
    <row r="45">
      <c r="A45" s="42" t="inlineStr">
        <is>
          <t>James Madison</t>
        </is>
      </c>
      <c r="B45" s="42" t="n">
        <v>67.8</v>
      </c>
      <c r="C45" s="42" t="n">
        <v>67.40000000000001</v>
      </c>
      <c r="D45" s="42" t="n">
        <v>68.7</v>
      </c>
      <c r="E45" s="42" t="n">
        <v>71.2</v>
      </c>
      <c r="F45" s="42" t="n">
        <v>72.2</v>
      </c>
      <c r="G45" s="42" t="n">
        <v>70.90000000000001</v>
      </c>
      <c r="H45" s="42" t="n">
        <v>72</v>
      </c>
      <c r="I45" s="42" t="n">
        <v>69.8</v>
      </c>
    </row>
    <row r="46">
      <c r="A46" s="42" t="inlineStr">
        <is>
          <t>TCU</t>
        </is>
      </c>
      <c r="B46" s="42" t="n">
        <v>69.09999999999999</v>
      </c>
      <c r="C46" s="42" t="n">
        <v>69.59999999999999</v>
      </c>
      <c r="D46" s="42" t="n">
        <v>70.8</v>
      </c>
      <c r="E46" s="42" t="n">
        <v>69.5</v>
      </c>
      <c r="F46" s="42" t="n">
        <v>69.90000000000001</v>
      </c>
      <c r="G46" s="42" t="n">
        <v>70</v>
      </c>
      <c r="H46" s="42" t="n">
        <v>71.09999999999999</v>
      </c>
      <c r="I46" s="42" t="n">
        <v>69.59999999999999</v>
      </c>
    </row>
    <row r="47">
      <c r="A47" s="42" t="inlineStr">
        <is>
          <t>Kansas State</t>
        </is>
      </c>
      <c r="B47" s="42" t="n">
        <v>70.7</v>
      </c>
      <c r="C47" s="42" t="n">
        <v>73</v>
      </c>
      <c r="D47" s="42" t="n">
        <v>73.09999999999999</v>
      </c>
      <c r="E47" s="42" t="n">
        <v>72.3</v>
      </c>
      <c r="F47" s="42" t="n">
        <v>72.3</v>
      </c>
      <c r="G47" s="42" t="n">
        <v>70.09999999999999</v>
      </c>
      <c r="H47" s="42" t="n">
        <v>70.90000000000001</v>
      </c>
      <c r="I47" s="42" t="n">
        <v>69.40000000000001</v>
      </c>
    </row>
    <row r="48">
      <c r="A48" s="42" t="inlineStr">
        <is>
          <t>Florida State</t>
        </is>
      </c>
      <c r="B48" s="42" t="n">
        <v>67.2</v>
      </c>
      <c r="C48" s="42" t="n">
        <v>67.2</v>
      </c>
      <c r="D48" s="42" t="n">
        <v>67.3</v>
      </c>
      <c r="E48" s="42" t="n">
        <v>67.40000000000001</v>
      </c>
      <c r="F48" s="42" t="n">
        <v>71</v>
      </c>
      <c r="G48" s="42" t="n">
        <v>68</v>
      </c>
      <c r="H48" s="42" t="n">
        <v>69</v>
      </c>
      <c r="I48" s="42" t="n">
        <v>69.09999999999999</v>
      </c>
    </row>
    <row r="49">
      <c r="A49" s="42" t="inlineStr">
        <is>
          <t>Baylor</t>
        </is>
      </c>
      <c r="B49" s="42" t="n">
        <v>66.8</v>
      </c>
      <c r="C49" s="42" t="n">
        <v>67.3</v>
      </c>
      <c r="D49" s="42" t="n">
        <v>67.59999999999999</v>
      </c>
      <c r="E49" s="42" t="n">
        <v>68.09999999999999</v>
      </c>
      <c r="F49" s="42" t="n">
        <v>70.8</v>
      </c>
      <c r="G49" s="42" t="n">
        <v>70.8</v>
      </c>
      <c r="H49" s="42" t="n">
        <v>69.59999999999999</v>
      </c>
      <c r="I49" s="42" t="n">
        <v>68.90000000000001</v>
      </c>
    </row>
    <row r="50">
      <c r="A50" s="42" t="inlineStr">
        <is>
          <t>New Mexico</t>
        </is>
      </c>
      <c r="B50" s="42" t="n">
        <v>66.59999999999999</v>
      </c>
      <c r="C50" s="42" t="n">
        <v>67.5</v>
      </c>
      <c r="D50" s="42" t="n">
        <v>67.3</v>
      </c>
      <c r="E50" s="42" t="n">
        <v>68</v>
      </c>
      <c r="F50" s="42" t="n">
        <v>68.09999999999999</v>
      </c>
      <c r="G50" s="42" t="n">
        <v>68.09999999999999</v>
      </c>
      <c r="H50" s="42" t="n">
        <v>67.59999999999999</v>
      </c>
      <c r="I50" s="42" t="n">
        <v>68.8</v>
      </c>
    </row>
    <row r="51">
      <c r="A51" s="42" t="inlineStr">
        <is>
          <t>Cincinnati</t>
        </is>
      </c>
      <c r="B51" s="42" t="n">
        <v>69.3</v>
      </c>
      <c r="C51" s="42" t="n">
        <v>69.40000000000001</v>
      </c>
      <c r="D51" s="42" t="n">
        <v>68.3</v>
      </c>
      <c r="E51" s="42" t="n">
        <v>69.09999999999999</v>
      </c>
      <c r="F51" s="42" t="n">
        <v>66.09999999999999</v>
      </c>
      <c r="G51" s="42" t="n">
        <v>66.09999999999999</v>
      </c>
      <c r="H51" s="42" t="n">
        <v>65.2</v>
      </c>
      <c r="I51" s="42" t="n">
        <v>68.2</v>
      </c>
    </row>
    <row r="52">
      <c r="A52" s="42" t="inlineStr">
        <is>
          <t>Minnesota</t>
        </is>
      </c>
      <c r="B52" s="42" t="n">
        <v>69.8</v>
      </c>
      <c r="C52" s="42" t="n">
        <v>67.2</v>
      </c>
      <c r="D52" s="42" t="n">
        <v>68.3</v>
      </c>
      <c r="E52" s="42" t="n">
        <v>69.40000000000001</v>
      </c>
      <c r="F52" s="42" t="n">
        <v>70.40000000000001</v>
      </c>
      <c r="G52" s="42" t="n">
        <v>66.5</v>
      </c>
      <c r="H52" s="42" t="n">
        <v>66.5</v>
      </c>
      <c r="I52" s="42" t="n">
        <v>68</v>
      </c>
    </row>
    <row r="53">
      <c r="A53" s="42" t="inlineStr">
        <is>
          <t>Virginia Tech</t>
        </is>
      </c>
      <c r="B53" s="42" t="n">
        <v>64.40000000000001</v>
      </c>
      <c r="C53" s="42" t="n">
        <v>67.5</v>
      </c>
      <c r="D53" s="42" t="n">
        <v>68</v>
      </c>
      <c r="E53" s="42" t="n">
        <v>67.7</v>
      </c>
      <c r="F53" s="42" t="n">
        <v>67.40000000000001</v>
      </c>
      <c r="G53" s="42" t="n">
        <v>65.90000000000001</v>
      </c>
      <c r="H53" s="42" t="n">
        <v>67</v>
      </c>
      <c r="I53" s="42" t="n">
        <v>67.40000000000001</v>
      </c>
    </row>
    <row r="54">
      <c r="A54" s="42" t="inlineStr">
        <is>
          <t>Arkansas</t>
        </is>
      </c>
      <c r="B54" s="42" t="n">
        <v>66.90000000000001</v>
      </c>
      <c r="C54" s="42" t="n">
        <v>65.59999999999999</v>
      </c>
      <c r="D54" s="42" t="n">
        <v>64.5</v>
      </c>
      <c r="E54" s="42" t="n">
        <v>66.09999999999999</v>
      </c>
      <c r="F54" s="42" t="n">
        <v>64.40000000000001</v>
      </c>
      <c r="G54" s="42" t="n">
        <v>65.09999999999999</v>
      </c>
      <c r="H54" s="42" t="n">
        <v>67.40000000000001</v>
      </c>
      <c r="I54" s="42" t="n">
        <v>67.40000000000001</v>
      </c>
    </row>
    <row r="55">
      <c r="A55" s="42" t="inlineStr">
        <is>
          <t>UTSA</t>
        </is>
      </c>
      <c r="B55" s="42" t="n">
        <v>66.59999999999999</v>
      </c>
      <c r="C55" s="42" t="n">
        <v>66.3</v>
      </c>
      <c r="D55" s="42" t="n">
        <v>65.8</v>
      </c>
      <c r="E55" s="42" t="n">
        <v>65.5</v>
      </c>
      <c r="F55" s="42" t="n">
        <v>64</v>
      </c>
      <c r="G55" s="42" t="n">
        <v>64.8</v>
      </c>
      <c r="H55" s="42" t="n">
        <v>65.2</v>
      </c>
      <c r="I55" s="42" t="n">
        <v>67.40000000000001</v>
      </c>
    </row>
    <row r="56">
      <c r="A56" s="42" t="inlineStr">
        <is>
          <t>Clemson</t>
        </is>
      </c>
      <c r="B56" s="42" t="n">
        <v>67.8</v>
      </c>
      <c r="C56" s="42" t="n">
        <v>68.09999999999999</v>
      </c>
      <c r="D56" s="42" t="n">
        <v>68.2</v>
      </c>
      <c r="E56" s="42" t="n">
        <v>68.8</v>
      </c>
      <c r="F56" s="42" t="n">
        <v>67.7</v>
      </c>
      <c r="G56" s="42" t="n">
        <v>67.8</v>
      </c>
      <c r="H56" s="42" t="n">
        <v>67.59999999999999</v>
      </c>
      <c r="I56" s="42" t="n">
        <v>67.09999999999999</v>
      </c>
    </row>
    <row r="57">
      <c r="A57" s="42" t="inlineStr">
        <is>
          <t>Kansas</t>
        </is>
      </c>
      <c r="B57" s="42" t="n">
        <v>65.7</v>
      </c>
      <c r="C57" s="42" t="n">
        <v>64.90000000000001</v>
      </c>
      <c r="D57" s="42" t="n">
        <v>64.90000000000001</v>
      </c>
      <c r="E57" s="42" t="n">
        <v>64.90000000000001</v>
      </c>
      <c r="F57" s="42" t="n">
        <v>66.3</v>
      </c>
      <c r="G57" s="42" t="n">
        <v>66.7</v>
      </c>
      <c r="H57" s="42" t="n">
        <v>65.90000000000001</v>
      </c>
      <c r="I57" s="42" t="n">
        <v>66.7</v>
      </c>
    </row>
    <row r="58">
      <c r="A58" s="42" t="inlineStr">
        <is>
          <t>Arizona State</t>
        </is>
      </c>
      <c r="B58" s="42" t="n">
        <v>69.59999999999999</v>
      </c>
      <c r="C58" s="42" t="n">
        <v>68.09999999999999</v>
      </c>
      <c r="D58" s="42" t="n">
        <v>68.2</v>
      </c>
      <c r="E58" s="42" t="n">
        <v>68.2</v>
      </c>
      <c r="F58" s="42" t="n">
        <v>65.40000000000001</v>
      </c>
      <c r="G58" s="42" t="n">
        <v>66</v>
      </c>
      <c r="H58" s="42" t="n">
        <v>64.7</v>
      </c>
      <c r="I58" s="42" t="n">
        <v>66.2</v>
      </c>
    </row>
    <row r="59">
      <c r="A59" s="42" t="inlineStr">
        <is>
          <t>Memphis</t>
        </is>
      </c>
      <c r="B59" s="42" t="n">
        <v>68.2</v>
      </c>
      <c r="C59" s="42" t="n">
        <v>66.59999999999999</v>
      </c>
      <c r="D59" s="42" t="n">
        <v>65.8</v>
      </c>
      <c r="E59" s="42" t="n">
        <v>65.59999999999999</v>
      </c>
      <c r="F59" s="42" t="n">
        <v>66.09999999999999</v>
      </c>
      <c r="G59" s="42" t="n">
        <v>67.40000000000001</v>
      </c>
      <c r="H59" s="42" t="n">
        <v>65.5</v>
      </c>
      <c r="I59" s="42" t="n">
        <v>66</v>
      </c>
    </row>
    <row r="60">
      <c r="A60" s="42" t="inlineStr">
        <is>
          <t>South Florida</t>
        </is>
      </c>
      <c r="B60" s="42" t="n">
        <v>68.2</v>
      </c>
      <c r="C60" s="42" t="n">
        <v>68.3</v>
      </c>
      <c r="D60" s="42" t="n">
        <v>67.90000000000001</v>
      </c>
      <c r="E60" s="42" t="n">
        <v>66.8</v>
      </c>
      <c r="F60" s="42" t="n">
        <v>65.59999999999999</v>
      </c>
      <c r="G60" s="42" t="n">
        <v>64.90000000000001</v>
      </c>
      <c r="H60" s="42" t="n">
        <v>65.90000000000001</v>
      </c>
      <c r="I60" s="42" t="n">
        <v>66</v>
      </c>
    </row>
    <row r="61">
      <c r="A61" s="42" t="inlineStr">
        <is>
          <t>Iowa State</t>
        </is>
      </c>
      <c r="B61" s="42" t="n">
        <v>68.3</v>
      </c>
      <c r="C61" s="42" t="n">
        <v>69.3</v>
      </c>
      <c r="D61" s="42" t="n">
        <v>69.90000000000001</v>
      </c>
      <c r="E61" s="42" t="n">
        <v>69.90000000000001</v>
      </c>
      <c r="F61" s="42" t="n">
        <v>69.2</v>
      </c>
      <c r="G61" s="42" t="n">
        <v>68.40000000000001</v>
      </c>
      <c r="H61" s="42" t="n">
        <v>68.40000000000001</v>
      </c>
      <c r="I61" s="42" t="n">
        <v>66</v>
      </c>
    </row>
    <row r="62">
      <c r="A62" s="42" t="inlineStr">
        <is>
          <t>Texas State</t>
        </is>
      </c>
      <c r="B62" s="42" t="n">
        <v>60.5</v>
      </c>
      <c r="C62" s="42" t="n">
        <v>60.9</v>
      </c>
      <c r="D62" s="42" t="n">
        <v>63</v>
      </c>
      <c r="E62" s="42" t="n">
        <v>63.9</v>
      </c>
      <c r="F62" s="42" t="n">
        <v>63.1</v>
      </c>
      <c r="G62" s="42" t="n">
        <v>63.1</v>
      </c>
      <c r="H62" s="42" t="n">
        <v>65</v>
      </c>
      <c r="I62" s="42" t="n">
        <v>65.8</v>
      </c>
    </row>
    <row r="63">
      <c r="A63" s="42" t="inlineStr">
        <is>
          <t>North Texas</t>
        </is>
      </c>
      <c r="B63" s="42" t="n">
        <v>63.9</v>
      </c>
      <c r="C63" s="42" t="n">
        <v>66.3</v>
      </c>
      <c r="D63" s="42" t="n">
        <v>64.2</v>
      </c>
      <c r="E63" s="42" t="n">
        <v>64.3</v>
      </c>
      <c r="F63" s="42" t="n">
        <v>63.2</v>
      </c>
      <c r="G63" s="42" t="n">
        <v>63.9</v>
      </c>
      <c r="H63" s="42" t="n">
        <v>63.9</v>
      </c>
      <c r="I63" s="42" t="n">
        <v>65.2</v>
      </c>
    </row>
    <row r="64">
      <c r="A64" s="42" t="inlineStr">
        <is>
          <t>Oregon State</t>
        </is>
      </c>
      <c r="B64" s="42" t="n">
        <v>54.3</v>
      </c>
      <c r="C64" s="42" t="n">
        <v>56.5</v>
      </c>
      <c r="D64" s="42" t="n">
        <v>58.9</v>
      </c>
      <c r="E64" s="42" t="n">
        <v>59.3</v>
      </c>
      <c r="F64" s="42" t="n">
        <v>61.1</v>
      </c>
      <c r="G64" s="42" t="n">
        <v>63.5</v>
      </c>
      <c r="H64" s="42" t="n">
        <v>65</v>
      </c>
      <c r="I64" s="42" t="n">
        <v>65</v>
      </c>
    </row>
    <row r="65">
      <c r="A65" s="42" t="inlineStr">
        <is>
          <t>Army</t>
        </is>
      </c>
      <c r="B65" s="42" t="n">
        <v>64.5</v>
      </c>
      <c r="C65" s="42" t="n">
        <v>64.5</v>
      </c>
      <c r="D65" s="42" t="n">
        <v>64.5</v>
      </c>
      <c r="E65" s="42" t="n">
        <v>64.2</v>
      </c>
      <c r="F65" s="42" t="n">
        <v>62.8</v>
      </c>
      <c r="G65" s="42" t="n">
        <v>63</v>
      </c>
      <c r="H65" s="42" t="n">
        <v>65.2</v>
      </c>
      <c r="I65" s="42" t="n">
        <v>64.8</v>
      </c>
    </row>
    <row r="66">
      <c r="A66" s="42" t="inlineStr">
        <is>
          <t>NC State</t>
        </is>
      </c>
      <c r="B66" s="42" t="n">
        <v>67.2</v>
      </c>
      <c r="C66" s="42" t="n">
        <v>67.59999999999999</v>
      </c>
      <c r="D66" s="42" t="n">
        <v>68</v>
      </c>
      <c r="E66" s="42" t="n">
        <v>67.2</v>
      </c>
      <c r="F66" s="42" t="n">
        <v>67.3</v>
      </c>
      <c r="G66" s="42" t="n">
        <v>65.5</v>
      </c>
      <c r="H66" s="42" t="n">
        <v>65.5</v>
      </c>
      <c r="I66" s="42" t="n">
        <v>64.7</v>
      </c>
    </row>
    <row r="67">
      <c r="A67" s="42" t="inlineStr">
        <is>
          <t>North Carolina</t>
        </is>
      </c>
      <c r="B67" s="42" t="n">
        <v>61.3</v>
      </c>
      <c r="C67" s="42" t="n">
        <v>62.4</v>
      </c>
      <c r="D67" s="42" t="n">
        <v>61.9</v>
      </c>
      <c r="E67" s="42" t="n">
        <v>61.9</v>
      </c>
      <c r="F67" s="42" t="n">
        <v>63.2</v>
      </c>
      <c r="G67" s="42" t="n">
        <v>64</v>
      </c>
      <c r="H67" s="42" t="n">
        <v>65.5</v>
      </c>
      <c r="I67" s="42" t="n">
        <v>64.59999999999999</v>
      </c>
    </row>
    <row r="68">
      <c r="A68" s="42" t="inlineStr">
        <is>
          <t>UCF</t>
        </is>
      </c>
      <c r="B68" s="42" t="n">
        <v>62.3</v>
      </c>
      <c r="C68" s="42" t="n">
        <v>63.1</v>
      </c>
      <c r="D68" s="42" t="n">
        <v>63.2</v>
      </c>
      <c r="E68" s="42" t="n">
        <v>64.40000000000001</v>
      </c>
      <c r="F68" s="42" t="n">
        <v>64</v>
      </c>
      <c r="G68" s="42" t="n">
        <v>62.1</v>
      </c>
      <c r="H68" s="42" t="n">
        <v>62.1</v>
      </c>
      <c r="I68" s="42" t="n">
        <v>64.40000000000001</v>
      </c>
    </row>
    <row r="69">
      <c r="A69" s="42" t="inlineStr">
        <is>
          <t>Navy</t>
        </is>
      </c>
      <c r="B69" s="42" t="n">
        <v>72.2</v>
      </c>
      <c r="C69" s="42" t="n">
        <v>69.2</v>
      </c>
      <c r="D69" s="42" t="n">
        <v>69.2</v>
      </c>
      <c r="E69" s="42" t="n">
        <v>67.3</v>
      </c>
      <c r="F69" s="42" t="n">
        <v>66</v>
      </c>
      <c r="G69" s="42" t="n">
        <v>65.7</v>
      </c>
      <c r="H69" s="42" t="n">
        <v>65.2</v>
      </c>
      <c r="I69" s="42" t="n">
        <v>64</v>
      </c>
    </row>
    <row r="70">
      <c r="A70" s="42" t="inlineStr">
        <is>
          <t>Western Michigan</t>
        </is>
      </c>
      <c r="B70" s="42" t="n">
        <v>68.09999999999999</v>
      </c>
      <c r="C70" s="42" t="n">
        <v>68.5</v>
      </c>
      <c r="D70" s="42" t="n">
        <v>66.90000000000001</v>
      </c>
      <c r="E70" s="42" t="n">
        <v>64.7</v>
      </c>
      <c r="F70" s="42" t="n">
        <v>63.5</v>
      </c>
      <c r="G70" s="42" t="n">
        <v>64.90000000000001</v>
      </c>
      <c r="H70" s="42" t="n">
        <v>64.5</v>
      </c>
      <c r="I70" s="42" t="n">
        <v>63.4</v>
      </c>
    </row>
    <row r="71">
      <c r="A71" s="42" t="inlineStr">
        <is>
          <t>UNLV</t>
        </is>
      </c>
      <c r="B71" s="42" t="n">
        <v>62.6</v>
      </c>
      <c r="C71" s="42" t="n">
        <v>60.1</v>
      </c>
      <c r="D71" s="42" t="n">
        <v>60.1</v>
      </c>
      <c r="E71" s="42" t="n">
        <v>62</v>
      </c>
      <c r="F71" s="42" t="n">
        <v>62.7</v>
      </c>
      <c r="G71" s="42" t="n">
        <v>64.90000000000001</v>
      </c>
      <c r="H71" s="42" t="n">
        <v>63.2</v>
      </c>
      <c r="I71" s="42" t="n">
        <v>63.2</v>
      </c>
    </row>
    <row r="72">
      <c r="A72" s="42" t="inlineStr">
        <is>
          <t>Oklahoma State</t>
        </is>
      </c>
      <c r="B72" s="42" t="n">
        <v>50.2</v>
      </c>
      <c r="C72" s="42" t="n">
        <v>54.5</v>
      </c>
      <c r="D72" s="42" t="n">
        <v>55.2</v>
      </c>
      <c r="E72" s="42" t="n">
        <v>57.1</v>
      </c>
      <c r="F72" s="42" t="n">
        <v>57.1</v>
      </c>
      <c r="G72" s="42" t="n">
        <v>59.1</v>
      </c>
      <c r="H72" s="42" t="n">
        <v>60.1</v>
      </c>
      <c r="I72" s="42" t="n">
        <v>63.1</v>
      </c>
    </row>
    <row r="73">
      <c r="A73" s="42" t="inlineStr">
        <is>
          <t>Purdue</t>
        </is>
      </c>
      <c r="B73" s="42" t="n">
        <v>56.7</v>
      </c>
      <c r="C73" s="42" t="n">
        <v>57.9</v>
      </c>
      <c r="D73" s="42" t="n">
        <v>57.1</v>
      </c>
      <c r="E73" s="42" t="n">
        <v>57.4</v>
      </c>
      <c r="F73" s="42" t="n">
        <v>59.3</v>
      </c>
      <c r="G73" s="42" t="n">
        <v>63.2</v>
      </c>
      <c r="H73" s="42" t="n">
        <v>63</v>
      </c>
      <c r="I73" s="42" t="n">
        <v>63</v>
      </c>
    </row>
    <row r="74">
      <c r="A74" s="42" t="inlineStr">
        <is>
          <t>Michigan State</t>
        </is>
      </c>
      <c r="B74" s="42" t="n">
        <v>66</v>
      </c>
      <c r="C74" s="42" t="n">
        <v>66.90000000000001</v>
      </c>
      <c r="D74" s="42" t="n">
        <v>67.2</v>
      </c>
      <c r="E74" s="42" t="n">
        <v>65.8</v>
      </c>
      <c r="F74" s="42" t="n">
        <v>63.1</v>
      </c>
      <c r="G74" s="42" t="n">
        <v>63.4</v>
      </c>
      <c r="H74" s="42" t="n">
        <v>64.2</v>
      </c>
      <c r="I74" s="42" t="n">
        <v>62.9</v>
      </c>
    </row>
    <row r="75">
      <c r="A75" s="42" t="inlineStr">
        <is>
          <t>Georgia Tech</t>
        </is>
      </c>
      <c r="B75" s="42" t="n">
        <v>67.7</v>
      </c>
      <c r="C75" s="42" t="n">
        <v>66.5</v>
      </c>
      <c r="D75" s="42" t="n">
        <v>66.8</v>
      </c>
      <c r="E75" s="42" t="n">
        <v>65.3</v>
      </c>
      <c r="F75" s="42" t="n">
        <v>65.3</v>
      </c>
      <c r="G75" s="42" t="n">
        <v>66.7</v>
      </c>
      <c r="H75" s="42" t="n">
        <v>65.59999999999999</v>
      </c>
      <c r="I75" s="42" t="n">
        <v>62.8</v>
      </c>
    </row>
    <row r="76">
      <c r="A76" s="42" t="inlineStr">
        <is>
          <t>Liberty</t>
        </is>
      </c>
      <c r="B76" s="42" t="n">
        <v>57.2</v>
      </c>
      <c r="C76" s="42" t="n">
        <v>55.6</v>
      </c>
      <c r="D76" s="42" t="n">
        <v>57.3</v>
      </c>
      <c r="E76" s="42" t="n">
        <v>58.5</v>
      </c>
      <c r="F76" s="42" t="n">
        <v>59.2</v>
      </c>
      <c r="G76" s="42" t="n">
        <v>60.5</v>
      </c>
      <c r="H76" s="42" t="n">
        <v>60.5</v>
      </c>
      <c r="I76" s="42" t="n">
        <v>62.6</v>
      </c>
    </row>
    <row r="77">
      <c r="A77" s="42" t="inlineStr">
        <is>
          <t>Louisiana Tech</t>
        </is>
      </c>
      <c r="B77" s="42" t="n">
        <v>58.3</v>
      </c>
      <c r="C77" s="42" t="n">
        <v>57.6</v>
      </c>
      <c r="D77" s="42" t="n">
        <v>57</v>
      </c>
      <c r="E77" s="42" t="n">
        <v>57</v>
      </c>
      <c r="F77" s="42" t="n">
        <v>58.5</v>
      </c>
      <c r="G77" s="42" t="n">
        <v>59.2</v>
      </c>
      <c r="H77" s="42" t="n">
        <v>59.7</v>
      </c>
      <c r="I77" s="42" t="n">
        <v>62.4</v>
      </c>
    </row>
    <row r="78">
      <c r="A78" s="42" t="inlineStr">
        <is>
          <t>Toledo</t>
        </is>
      </c>
      <c r="B78" s="42" t="n">
        <v>62.1</v>
      </c>
      <c r="C78" s="42" t="n">
        <v>62.5</v>
      </c>
      <c r="D78" s="42" t="n">
        <v>62</v>
      </c>
      <c r="E78" s="42" t="n">
        <v>64.40000000000001</v>
      </c>
      <c r="F78" s="42" t="n">
        <v>63.5</v>
      </c>
      <c r="G78" s="42" t="n">
        <v>60.7</v>
      </c>
      <c r="H78" s="42" t="n">
        <v>61.3</v>
      </c>
      <c r="I78" s="42" t="n">
        <v>62.4</v>
      </c>
    </row>
    <row r="79">
      <c r="A79" s="42" t="inlineStr">
        <is>
          <t>Rutgers</t>
        </is>
      </c>
      <c r="B79" s="42" t="n">
        <v>61.1</v>
      </c>
      <c r="C79" s="42" t="n">
        <v>60.4</v>
      </c>
      <c r="D79" s="42" t="n">
        <v>61</v>
      </c>
      <c r="E79" s="42" t="n">
        <v>61.8</v>
      </c>
      <c r="F79" s="42" t="n">
        <v>62.3</v>
      </c>
      <c r="G79" s="42" t="n">
        <v>62.3</v>
      </c>
      <c r="H79" s="42" t="n">
        <v>63.3</v>
      </c>
      <c r="I79" s="42" t="n">
        <v>62.1</v>
      </c>
    </row>
    <row r="80">
      <c r="A80" s="42" t="inlineStr">
        <is>
          <t>East Carolina</t>
        </is>
      </c>
      <c r="B80" s="42" t="n">
        <v>64.8</v>
      </c>
      <c r="C80" s="42" t="n">
        <v>63.1</v>
      </c>
      <c r="D80" s="42" t="n">
        <v>64.09999999999999</v>
      </c>
      <c r="E80" s="42" t="n">
        <v>64.59999999999999</v>
      </c>
      <c r="F80" s="42" t="n">
        <v>64.7</v>
      </c>
      <c r="G80" s="42" t="n">
        <v>65</v>
      </c>
      <c r="H80" s="42" t="n">
        <v>62.4</v>
      </c>
      <c r="I80" s="42" t="n">
        <v>62</v>
      </c>
    </row>
    <row r="81">
      <c r="A81" s="42" t="inlineStr">
        <is>
          <t>Boston College</t>
        </is>
      </c>
      <c r="B81" s="42" t="n">
        <v>57.5</v>
      </c>
      <c r="C81" s="42" t="n">
        <v>58.3</v>
      </c>
      <c r="D81" s="42" t="n">
        <v>56.7</v>
      </c>
      <c r="E81" s="42" t="n">
        <v>56.8</v>
      </c>
      <c r="F81" s="42" t="n">
        <v>57.1</v>
      </c>
      <c r="G81" s="42" t="n">
        <v>57.2</v>
      </c>
      <c r="H81" s="42" t="n">
        <v>58.8</v>
      </c>
      <c r="I81" s="42" t="n">
        <v>61.6</v>
      </c>
    </row>
    <row r="82">
      <c r="A82" s="42" t="inlineStr">
        <is>
          <t>Colorado</t>
        </is>
      </c>
      <c r="B82" s="42" t="n">
        <v>64.90000000000001</v>
      </c>
      <c r="C82" s="42" t="n">
        <v>65.8</v>
      </c>
      <c r="D82" s="42" t="n">
        <v>62.9</v>
      </c>
      <c r="E82" s="42" t="n">
        <v>62.3</v>
      </c>
      <c r="F82" s="42" t="n">
        <v>62.4</v>
      </c>
      <c r="G82" s="42" t="n">
        <v>62.5</v>
      </c>
      <c r="H82" s="42" t="n">
        <v>64.5</v>
      </c>
      <c r="I82" s="42" t="n">
        <v>61.6</v>
      </c>
    </row>
    <row r="83">
      <c r="A83" s="42" t="inlineStr">
        <is>
          <t>Tulane</t>
        </is>
      </c>
      <c r="B83" s="42" t="n">
        <v>63.9</v>
      </c>
      <c r="C83" s="42" t="n">
        <v>63.1</v>
      </c>
      <c r="D83" s="42" t="n">
        <v>62.9</v>
      </c>
      <c r="E83" s="42" t="n">
        <v>61.9</v>
      </c>
      <c r="F83" s="42" t="n">
        <v>61.9</v>
      </c>
      <c r="G83" s="42" t="n">
        <v>61.6</v>
      </c>
      <c r="H83" s="42" t="n">
        <v>63.6</v>
      </c>
      <c r="I83" s="42" t="n">
        <v>61.4</v>
      </c>
    </row>
    <row r="84">
      <c r="A84" s="42" t="inlineStr">
        <is>
          <t>West Virginia</t>
        </is>
      </c>
      <c r="B84" s="42" t="n">
        <v>58.2</v>
      </c>
      <c r="C84" s="42" t="n">
        <v>59</v>
      </c>
      <c r="D84" s="42" t="n">
        <v>61.8</v>
      </c>
      <c r="E84" s="42" t="n">
        <v>59.2</v>
      </c>
      <c r="F84" s="42" t="n">
        <v>60</v>
      </c>
      <c r="G84" s="42" t="n">
        <v>58.8</v>
      </c>
      <c r="H84" s="42" t="n">
        <v>59.8</v>
      </c>
      <c r="I84" s="42" t="n">
        <v>61.4</v>
      </c>
    </row>
    <row r="85">
      <c r="A85" s="42" t="inlineStr">
        <is>
          <t>Stanford</t>
        </is>
      </c>
      <c r="B85" s="42" t="n">
        <v>61.4</v>
      </c>
      <c r="C85" s="42" t="n">
        <v>61.4</v>
      </c>
      <c r="D85" s="42" t="n">
        <v>59.9</v>
      </c>
      <c r="E85" s="42" t="n">
        <v>61.3</v>
      </c>
      <c r="F85" s="42" t="n">
        <v>59.6</v>
      </c>
      <c r="G85" s="42" t="n">
        <v>59.4</v>
      </c>
      <c r="H85" s="42" t="n">
        <v>60.3</v>
      </c>
      <c r="I85" s="42" t="n">
        <v>61</v>
      </c>
    </row>
    <row r="86">
      <c r="A86" s="42" t="inlineStr">
        <is>
          <t>Fresno State</t>
        </is>
      </c>
      <c r="B86" s="42" t="n">
        <v>56</v>
      </c>
      <c r="C86" s="42" t="n">
        <v>57.3</v>
      </c>
      <c r="D86" s="42" t="n">
        <v>58.4</v>
      </c>
      <c r="E86" s="42" t="n">
        <v>58.9</v>
      </c>
      <c r="F86" s="42" t="n">
        <v>61.3</v>
      </c>
      <c r="G86" s="42" t="n">
        <v>61.6</v>
      </c>
      <c r="H86" s="42" t="n">
        <v>60.8</v>
      </c>
      <c r="I86" s="42" t="n">
        <v>60.8</v>
      </c>
    </row>
    <row r="87">
      <c r="A87" s="42" t="inlineStr">
        <is>
          <t>Utah State</t>
        </is>
      </c>
      <c r="B87" s="42" t="n">
        <v>60.9</v>
      </c>
      <c r="C87" s="42" t="n">
        <v>62.4</v>
      </c>
      <c r="D87" s="42" t="n">
        <v>61.7</v>
      </c>
      <c r="E87" s="42" t="n">
        <v>62</v>
      </c>
      <c r="F87" s="42" t="n">
        <v>61.1</v>
      </c>
      <c r="G87" s="42" t="n">
        <v>61.4</v>
      </c>
      <c r="H87" s="42" t="n">
        <v>61.4</v>
      </c>
      <c r="I87" s="42" t="n">
        <v>60.6</v>
      </c>
    </row>
    <row r="88">
      <c r="A88" s="42" t="inlineStr">
        <is>
          <t>Ohio</t>
        </is>
      </c>
      <c r="B88" s="42" t="n">
        <v>58.8</v>
      </c>
      <c r="C88" s="42" t="n">
        <v>59</v>
      </c>
      <c r="D88" s="42" t="n">
        <v>58.2</v>
      </c>
      <c r="E88" s="42" t="n">
        <v>59.9</v>
      </c>
      <c r="F88" s="42" t="n">
        <v>59.2</v>
      </c>
      <c r="G88" s="42" t="n">
        <v>60.9</v>
      </c>
      <c r="H88" s="42" t="n">
        <v>61.3</v>
      </c>
      <c r="I88" s="42" t="n">
        <v>60.5</v>
      </c>
    </row>
    <row r="89">
      <c r="A89" s="42" t="inlineStr">
        <is>
          <t>Air Force</t>
        </is>
      </c>
      <c r="B89" s="42" t="n">
        <v>57.5</v>
      </c>
      <c r="C89" s="42" t="n">
        <v>59.1</v>
      </c>
      <c r="D89" s="42" t="n">
        <v>59.1</v>
      </c>
      <c r="E89" s="42" t="n">
        <v>58.7</v>
      </c>
      <c r="F89" s="42" t="n">
        <v>60</v>
      </c>
      <c r="G89" s="42" t="n">
        <v>60.9</v>
      </c>
      <c r="H89" s="42" t="n">
        <v>62.5</v>
      </c>
      <c r="I89" s="42" t="n">
        <v>60.3</v>
      </c>
    </row>
    <row r="90">
      <c r="A90" s="42" t="inlineStr">
        <is>
          <t>Syracuse</t>
        </is>
      </c>
      <c r="B90" s="42" t="n">
        <v>55.7</v>
      </c>
      <c r="C90" s="42" t="n">
        <v>56</v>
      </c>
      <c r="D90" s="42" t="n">
        <v>56.5</v>
      </c>
      <c r="E90" s="42" t="n">
        <v>56.5</v>
      </c>
      <c r="F90" s="42" t="n">
        <v>56.5</v>
      </c>
      <c r="G90" s="42" t="n">
        <v>58</v>
      </c>
      <c r="H90" s="42" t="n">
        <v>59.3</v>
      </c>
      <c r="I90" s="42" t="n">
        <v>60.3</v>
      </c>
    </row>
    <row r="91">
      <c r="A91" s="42" t="inlineStr">
        <is>
          <t>Miami (OH)</t>
        </is>
      </c>
      <c r="B91" s="42" t="n">
        <v>55.2</v>
      </c>
      <c r="C91" s="42" t="n">
        <v>57.2</v>
      </c>
      <c r="D91" s="42" t="n">
        <v>57.6</v>
      </c>
      <c r="E91" s="42" t="n">
        <v>58.9</v>
      </c>
      <c r="F91" s="42" t="n">
        <v>58.4</v>
      </c>
      <c r="G91" s="42" t="n">
        <v>58</v>
      </c>
      <c r="H91" s="42" t="n">
        <v>59.7</v>
      </c>
      <c r="I91" s="42" t="n">
        <v>60.2</v>
      </c>
    </row>
    <row r="92">
      <c r="A92" s="42" t="inlineStr">
        <is>
          <t>Maryland</t>
        </is>
      </c>
      <c r="B92" s="42" t="n">
        <v>62.3</v>
      </c>
      <c r="C92" s="42" t="n">
        <v>64.3</v>
      </c>
      <c r="D92" s="42" t="n">
        <v>63.9</v>
      </c>
      <c r="E92" s="42" t="n">
        <v>61.3</v>
      </c>
      <c r="F92" s="42" t="n">
        <v>59.8</v>
      </c>
      <c r="G92" s="42" t="n">
        <v>60.3</v>
      </c>
      <c r="H92" s="42" t="n">
        <v>59.3</v>
      </c>
      <c r="I92" s="42" t="n">
        <v>59.3</v>
      </c>
    </row>
    <row r="93">
      <c r="A93" s="42" t="inlineStr">
        <is>
          <t>UConn</t>
        </is>
      </c>
      <c r="B93" s="42" t="n">
        <v>57.3</v>
      </c>
      <c r="C93" s="42" t="n">
        <v>55.3</v>
      </c>
      <c r="D93" s="42" t="n">
        <v>57.9</v>
      </c>
      <c r="E93" s="42" t="n">
        <v>56.6</v>
      </c>
      <c r="F93" s="42" t="n">
        <v>56.5</v>
      </c>
      <c r="G93" s="42" t="n">
        <v>58.5</v>
      </c>
      <c r="H93" s="42" t="n">
        <v>58.5</v>
      </c>
      <c r="I93" s="42" t="n">
        <v>59.2</v>
      </c>
    </row>
    <row r="94">
      <c r="A94" s="42" t="inlineStr">
        <is>
          <t>Georgia Southern</t>
        </is>
      </c>
      <c r="B94" s="42" t="n">
        <v>56.1</v>
      </c>
      <c r="C94" s="42" t="n">
        <v>55.9</v>
      </c>
      <c r="D94" s="42" t="n">
        <v>55.7</v>
      </c>
      <c r="E94" s="42" t="n">
        <v>55.7</v>
      </c>
      <c r="F94" s="42" t="n">
        <v>56</v>
      </c>
      <c r="G94" s="42" t="n">
        <v>57.4</v>
      </c>
      <c r="H94" s="42" t="n">
        <v>59.2</v>
      </c>
      <c r="I94" s="42" t="n">
        <v>59.2</v>
      </c>
    </row>
    <row r="95">
      <c r="A95" s="42" t="inlineStr">
        <is>
          <t>Washington State</t>
        </is>
      </c>
      <c r="B95" s="42" t="n">
        <v>66.09999999999999</v>
      </c>
      <c r="C95" s="42" t="n">
        <v>63.9</v>
      </c>
      <c r="D95" s="42" t="n">
        <v>63.5</v>
      </c>
      <c r="E95" s="42" t="n">
        <v>63.1</v>
      </c>
      <c r="F95" s="42" t="n">
        <v>60.7</v>
      </c>
      <c r="G95" s="42" t="n">
        <v>60.5</v>
      </c>
      <c r="H95" s="42" t="n">
        <v>59</v>
      </c>
      <c r="I95" s="42" t="n">
        <v>58</v>
      </c>
    </row>
    <row r="96">
      <c r="A96" s="42" t="inlineStr">
        <is>
          <t>California</t>
        </is>
      </c>
      <c r="B96" s="42" t="n">
        <v>60.4</v>
      </c>
      <c r="C96" s="42" t="n">
        <v>60.1</v>
      </c>
      <c r="D96" s="42" t="n">
        <v>60.2</v>
      </c>
      <c r="E96" s="42" t="n">
        <v>59.3</v>
      </c>
      <c r="F96" s="42" t="n">
        <v>58.5</v>
      </c>
      <c r="G96" s="42" t="n">
        <v>60</v>
      </c>
      <c r="H96" s="42" t="n">
        <v>58.9</v>
      </c>
      <c r="I96" s="42" t="n">
        <v>57.9</v>
      </c>
    </row>
    <row r="97">
      <c r="A97" s="42" t="inlineStr">
        <is>
          <t>Jacksonville State</t>
        </is>
      </c>
      <c r="B97" s="42" t="n">
        <v>58</v>
      </c>
      <c r="C97" s="42" t="n">
        <v>57.7</v>
      </c>
      <c r="D97" s="42" t="n">
        <v>57.9</v>
      </c>
      <c r="E97" s="42" t="n">
        <v>58</v>
      </c>
      <c r="F97" s="42" t="n">
        <v>58</v>
      </c>
      <c r="G97" s="42" t="n">
        <v>57.6</v>
      </c>
      <c r="H97" s="42" t="n">
        <v>57.8</v>
      </c>
      <c r="I97" s="42" t="n">
        <v>57.8</v>
      </c>
    </row>
    <row r="98">
      <c r="A98" s="42" t="inlineStr">
        <is>
          <t>Louisiana</t>
        </is>
      </c>
      <c r="B98" s="42" t="n">
        <v>54.3</v>
      </c>
      <c r="C98" s="42" t="n">
        <v>55</v>
      </c>
      <c r="D98" s="42" t="n">
        <v>55.5</v>
      </c>
      <c r="E98" s="42" t="n">
        <v>57.2</v>
      </c>
      <c r="F98" s="42" t="n">
        <v>57.2</v>
      </c>
      <c r="G98" s="42" t="n">
        <v>56.5</v>
      </c>
      <c r="H98" s="42" t="n">
        <v>59.1</v>
      </c>
      <c r="I98" s="42" t="n">
        <v>57.7</v>
      </c>
    </row>
    <row r="99">
      <c r="A99" s="42" t="inlineStr">
        <is>
          <t>Tulsa</t>
        </is>
      </c>
      <c r="B99" s="42" t="n">
        <v>55.3</v>
      </c>
      <c r="C99" s="42" t="n">
        <v>54.9</v>
      </c>
      <c r="D99" s="42" t="n">
        <v>56.4</v>
      </c>
      <c r="E99" s="42" t="n">
        <v>54.4</v>
      </c>
      <c r="F99" s="42" t="n">
        <v>55.3</v>
      </c>
      <c r="G99" s="42" t="n">
        <v>55.7</v>
      </c>
      <c r="H99" s="42" t="n">
        <v>57.2</v>
      </c>
      <c r="I99" s="42" t="n">
        <v>57.6</v>
      </c>
    </row>
    <row r="100">
      <c r="A100" s="42" t="inlineStr">
        <is>
          <t>Delaware</t>
        </is>
      </c>
      <c r="B100" s="42" t="n">
        <v>56.1</v>
      </c>
      <c r="C100" s="42" t="n">
        <v>57.5</v>
      </c>
      <c r="D100" s="42" t="n">
        <v>57.8</v>
      </c>
      <c r="E100" s="42" t="n">
        <v>56.7</v>
      </c>
      <c r="F100" s="42" t="n">
        <v>56</v>
      </c>
      <c r="G100" s="42" t="n">
        <v>56</v>
      </c>
      <c r="H100" s="42" t="n">
        <v>55.5</v>
      </c>
      <c r="I100" s="42" t="n">
        <v>57.3</v>
      </c>
    </row>
    <row r="101">
      <c r="A101" s="42" t="inlineStr">
        <is>
          <t>Western Kentucky</t>
        </is>
      </c>
      <c r="B101" s="42" t="n">
        <v>56.1</v>
      </c>
      <c r="C101" s="42" t="n">
        <v>56.1</v>
      </c>
      <c r="D101" s="42" t="n">
        <v>57.1</v>
      </c>
      <c r="E101" s="42" t="n">
        <v>58.3</v>
      </c>
      <c r="F101" s="42" t="n">
        <v>54.9</v>
      </c>
      <c r="G101" s="42" t="n">
        <v>56.8</v>
      </c>
      <c r="H101" s="42" t="n">
        <v>56.8</v>
      </c>
      <c r="I101" s="42" t="n">
        <v>56.8</v>
      </c>
    </row>
    <row r="102">
      <c r="A102" s="42" t="inlineStr">
        <is>
          <t>Old Dominion</t>
        </is>
      </c>
      <c r="B102" s="42" t="n">
        <v>72.59999999999999</v>
      </c>
      <c r="C102" s="42" t="n">
        <v>69.5</v>
      </c>
      <c r="D102" s="42" t="n">
        <v>68.40000000000001</v>
      </c>
      <c r="E102" s="42" t="n">
        <v>65.59999999999999</v>
      </c>
      <c r="F102" s="42" t="n">
        <v>61.4</v>
      </c>
      <c r="G102" s="42" t="n">
        <v>61.1</v>
      </c>
      <c r="H102" s="42" t="n">
        <v>59.4</v>
      </c>
      <c r="I102" s="42" t="n">
        <v>56.7</v>
      </c>
    </row>
    <row r="103">
      <c r="A103" s="42" t="inlineStr">
        <is>
          <t>San Diego State</t>
        </is>
      </c>
      <c r="B103" s="42" t="n">
        <v>64.59999999999999</v>
      </c>
      <c r="C103" s="42" t="n">
        <v>62.6</v>
      </c>
      <c r="D103" s="42" t="n">
        <v>61.4</v>
      </c>
      <c r="E103" s="42" t="n">
        <v>59</v>
      </c>
      <c r="F103" s="42" t="n">
        <v>59.7</v>
      </c>
      <c r="G103" s="42" t="n">
        <v>57.2</v>
      </c>
      <c r="H103" s="42" t="n">
        <v>58</v>
      </c>
      <c r="I103" s="42" t="n">
        <v>56.1</v>
      </c>
    </row>
    <row r="104">
      <c r="A104" s="42" t="inlineStr">
        <is>
          <t>Temple</t>
        </is>
      </c>
      <c r="B104" s="42" t="n">
        <v>56.9</v>
      </c>
      <c r="C104" s="42" t="n">
        <v>57.5</v>
      </c>
      <c r="D104" s="42" t="n">
        <v>57.9</v>
      </c>
      <c r="E104" s="42" t="n">
        <v>58.1</v>
      </c>
      <c r="F104" s="42" t="n">
        <v>59.3</v>
      </c>
      <c r="G104" s="42" t="n">
        <v>57.3</v>
      </c>
      <c r="H104" s="42" t="n">
        <v>55.7</v>
      </c>
      <c r="I104" s="42" t="n">
        <v>55.7</v>
      </c>
    </row>
    <row r="105">
      <c r="A105" s="42" t="inlineStr">
        <is>
          <t>Florida International</t>
        </is>
      </c>
      <c r="B105" s="42" t="n">
        <v>55.5</v>
      </c>
      <c r="C105" s="42" t="n">
        <v>56.4</v>
      </c>
      <c r="D105" s="42" t="n">
        <v>55.5</v>
      </c>
      <c r="E105" s="42" t="n">
        <v>55.7</v>
      </c>
      <c r="F105" s="42" t="n">
        <v>55.4</v>
      </c>
      <c r="G105" s="42" t="n">
        <v>57</v>
      </c>
      <c r="H105" s="42" t="n">
        <v>56.8</v>
      </c>
      <c r="I105" s="42" t="n">
        <v>55.6</v>
      </c>
    </row>
    <row r="106">
      <c r="A106" s="42" t="inlineStr">
        <is>
          <t>UAB</t>
        </is>
      </c>
      <c r="B106" s="42" t="n">
        <v>52.6</v>
      </c>
      <c r="C106" s="42" t="n">
        <v>52.2</v>
      </c>
      <c r="D106" s="42" t="n">
        <v>51.7</v>
      </c>
      <c r="E106" s="42" t="n">
        <v>53.6</v>
      </c>
      <c r="F106" s="42" t="n">
        <v>54.1</v>
      </c>
      <c r="G106" s="42" t="n">
        <v>52.8</v>
      </c>
      <c r="H106" s="42" t="n">
        <v>55.3</v>
      </c>
      <c r="I106" s="42" t="n">
        <v>55.3</v>
      </c>
    </row>
    <row r="107">
      <c r="A107" s="42" t="inlineStr">
        <is>
          <t>Arkansas State</t>
        </is>
      </c>
      <c r="B107" s="42" t="n">
        <v>54.6</v>
      </c>
      <c r="C107" s="42" t="n">
        <v>56.9</v>
      </c>
      <c r="D107" s="42" t="n">
        <v>54.8</v>
      </c>
      <c r="E107" s="42" t="n">
        <v>55</v>
      </c>
      <c r="F107" s="42" t="n">
        <v>55</v>
      </c>
      <c r="G107" s="42" t="n">
        <v>54.2</v>
      </c>
      <c r="H107" s="42" t="n">
        <v>54.7</v>
      </c>
      <c r="I107" s="42" t="n">
        <v>55.2</v>
      </c>
    </row>
    <row r="108">
      <c r="A108" s="42" t="inlineStr">
        <is>
          <t>Central Michigan</t>
        </is>
      </c>
      <c r="B108" s="42" t="n">
        <v>55</v>
      </c>
      <c r="C108" s="42" t="n">
        <v>53.8</v>
      </c>
      <c r="D108" s="42" t="n">
        <v>54.6</v>
      </c>
      <c r="E108" s="42" t="n">
        <v>54.9</v>
      </c>
      <c r="F108" s="42" t="n">
        <v>56.4</v>
      </c>
      <c r="G108" s="42" t="n">
        <v>54.7</v>
      </c>
      <c r="H108" s="42" t="n">
        <v>55.1</v>
      </c>
      <c r="I108" s="42" t="n">
        <v>54.6</v>
      </c>
    </row>
    <row r="109">
      <c r="A109" s="42" t="inlineStr">
        <is>
          <t>App State</t>
        </is>
      </c>
      <c r="B109" s="42" t="n">
        <v>49.2</v>
      </c>
      <c r="C109" s="42" t="n">
        <v>51</v>
      </c>
      <c r="D109" s="42" t="n">
        <v>50.9</v>
      </c>
      <c r="E109" s="42" t="n">
        <v>51.6</v>
      </c>
      <c r="F109" s="42" t="n">
        <v>51.6</v>
      </c>
      <c r="G109" s="42" t="n">
        <v>51.9</v>
      </c>
      <c r="H109" s="42" t="n">
        <v>52.1</v>
      </c>
      <c r="I109" s="42" t="n">
        <v>54.4</v>
      </c>
    </row>
    <row r="110">
      <c r="A110" s="42" t="inlineStr">
        <is>
          <t>Nevada</t>
        </is>
      </c>
      <c r="B110" s="42" t="n">
        <v>54.6</v>
      </c>
      <c r="C110" s="42" t="n">
        <v>52.7</v>
      </c>
      <c r="D110" s="42" t="n">
        <v>51.8</v>
      </c>
      <c r="E110" s="42" t="n">
        <v>52.1</v>
      </c>
      <c r="F110" s="42" t="n">
        <v>52.1</v>
      </c>
      <c r="G110" s="42" t="n">
        <v>52.7</v>
      </c>
      <c r="H110" s="42" t="n">
        <v>53.4</v>
      </c>
      <c r="I110" s="42" t="n">
        <v>54.2</v>
      </c>
    </row>
    <row r="111">
      <c r="A111" s="42" t="inlineStr">
        <is>
          <t>Buffalo</t>
        </is>
      </c>
      <c r="B111" s="42" t="n">
        <v>51.5</v>
      </c>
      <c r="C111" s="42" t="n">
        <v>50.6</v>
      </c>
      <c r="D111" s="42" t="n">
        <v>50.8</v>
      </c>
      <c r="E111" s="42" t="n">
        <v>49.8</v>
      </c>
      <c r="F111" s="42" t="n">
        <v>50.9</v>
      </c>
      <c r="G111" s="42" t="n">
        <v>53.8</v>
      </c>
      <c r="H111" s="42" t="n">
        <v>53.5</v>
      </c>
      <c r="I111" s="42" t="n">
        <v>53.9</v>
      </c>
    </row>
    <row r="112">
      <c r="A112" s="42" t="inlineStr">
        <is>
          <t>Hawai'i</t>
        </is>
      </c>
      <c r="B112" s="42" t="n">
        <v>54.2</v>
      </c>
      <c r="C112" s="42" t="n">
        <v>55</v>
      </c>
      <c r="D112" s="42" t="n">
        <v>55</v>
      </c>
      <c r="E112" s="42" t="n">
        <v>52.8</v>
      </c>
      <c r="F112" s="42" t="n">
        <v>52.3</v>
      </c>
      <c r="G112" s="42" t="n">
        <v>51.7</v>
      </c>
      <c r="H112" s="42" t="n">
        <v>52.2</v>
      </c>
      <c r="I112" s="42" t="n">
        <v>53.9</v>
      </c>
    </row>
    <row r="113">
      <c r="A113" s="42" t="inlineStr">
        <is>
          <t>Georgia State</t>
        </is>
      </c>
      <c r="B113" s="42" t="n">
        <v>47.4</v>
      </c>
      <c r="C113" s="42" t="n">
        <v>49.7</v>
      </c>
      <c r="D113" s="42" t="n">
        <v>49.6</v>
      </c>
      <c r="E113" s="42" t="n">
        <v>51.2</v>
      </c>
      <c r="F113" s="42" t="n">
        <v>55.4</v>
      </c>
      <c r="G113" s="42" t="n">
        <v>55.4</v>
      </c>
      <c r="H113" s="42" t="n">
        <v>54.3</v>
      </c>
      <c r="I113" s="42" t="n">
        <v>53.7</v>
      </c>
    </row>
    <row r="114">
      <c r="A114" s="42" t="inlineStr">
        <is>
          <t>Florida Atlantic</t>
        </is>
      </c>
      <c r="B114" s="42" t="n">
        <v>50.4</v>
      </c>
      <c r="C114" s="42" t="n">
        <v>53.4</v>
      </c>
      <c r="D114" s="42" t="n">
        <v>54.3</v>
      </c>
      <c r="E114" s="42" t="n">
        <v>55.9</v>
      </c>
      <c r="F114" s="42" t="n">
        <v>56.2</v>
      </c>
      <c r="G114" s="42" t="n">
        <v>56</v>
      </c>
      <c r="H114" s="42" t="n">
        <v>53.8</v>
      </c>
      <c r="I114" s="42" t="n">
        <v>53.4</v>
      </c>
    </row>
    <row r="115">
      <c r="A115" s="42" t="inlineStr">
        <is>
          <t>Wyoming</t>
        </is>
      </c>
      <c r="B115" s="42" t="n">
        <v>48.6</v>
      </c>
      <c r="C115" s="42" t="n">
        <v>48.8</v>
      </c>
      <c r="D115" s="42" t="n">
        <v>47.6</v>
      </c>
      <c r="E115" s="42" t="n">
        <v>49.9</v>
      </c>
      <c r="F115" s="42" t="n">
        <v>49.7</v>
      </c>
      <c r="G115" s="42" t="n">
        <v>50.2</v>
      </c>
      <c r="H115" s="42" t="n">
        <v>51.1</v>
      </c>
      <c r="I115" s="42" t="n">
        <v>53.3</v>
      </c>
    </row>
    <row r="116">
      <c r="A116" s="42" t="inlineStr">
        <is>
          <t>South Alabama</t>
        </is>
      </c>
      <c r="B116" s="42" t="n">
        <v>51.6</v>
      </c>
      <c r="C116" s="42" t="n">
        <v>52.5</v>
      </c>
      <c r="D116" s="42" t="n">
        <v>53.3</v>
      </c>
      <c r="E116" s="42" t="n">
        <v>52.3</v>
      </c>
      <c r="F116" s="42" t="n">
        <v>52.9</v>
      </c>
      <c r="G116" s="42" t="n">
        <v>53.7</v>
      </c>
      <c r="H116" s="42" t="n">
        <v>53.7</v>
      </c>
      <c r="I116" s="42" t="n">
        <v>52.6</v>
      </c>
    </row>
    <row r="117">
      <c r="A117" s="42" t="inlineStr">
        <is>
          <t>Colorado State</t>
        </is>
      </c>
      <c r="B117" s="42" t="n">
        <v>51</v>
      </c>
      <c r="C117" s="42" t="n">
        <v>53</v>
      </c>
      <c r="D117" s="42" t="n">
        <v>53.4</v>
      </c>
      <c r="E117" s="42" t="n">
        <v>53.7</v>
      </c>
      <c r="F117" s="42" t="n">
        <v>51.9</v>
      </c>
      <c r="G117" s="42" t="n">
        <v>51.9</v>
      </c>
      <c r="H117" s="42" t="n">
        <v>49.9</v>
      </c>
      <c r="I117" s="42" t="n">
        <v>51.9</v>
      </c>
    </row>
    <row r="118">
      <c r="A118" s="42" t="inlineStr">
        <is>
          <t>Troy</t>
        </is>
      </c>
      <c r="B118" s="42" t="n">
        <v>53.1</v>
      </c>
      <c r="C118" s="42" t="n">
        <v>53.7</v>
      </c>
      <c r="D118" s="42" t="n">
        <v>54.7</v>
      </c>
      <c r="E118" s="42" t="n">
        <v>54.3</v>
      </c>
      <c r="F118" s="42" t="n">
        <v>54.3</v>
      </c>
      <c r="G118" s="42" t="n">
        <v>56.2</v>
      </c>
      <c r="H118" s="42" t="n">
        <v>53.6</v>
      </c>
      <c r="I118" s="42" t="n">
        <v>51.8</v>
      </c>
    </row>
    <row r="119">
      <c r="A119" s="42" t="inlineStr">
        <is>
          <t>Coastal Carolina</t>
        </is>
      </c>
      <c r="B119" s="42" t="n">
        <v>51</v>
      </c>
      <c r="C119" s="42" t="n">
        <v>53.1</v>
      </c>
      <c r="D119" s="42" t="n">
        <v>52.2</v>
      </c>
      <c r="E119" s="42" t="n">
        <v>51</v>
      </c>
      <c r="F119" s="42" t="n">
        <v>50.6</v>
      </c>
      <c r="G119" s="42" t="n">
        <v>51.3</v>
      </c>
      <c r="H119" s="42" t="n">
        <v>51.1</v>
      </c>
      <c r="I119" s="42" t="n">
        <v>51.1</v>
      </c>
    </row>
    <row r="120">
      <c r="A120" s="42" t="inlineStr">
        <is>
          <t>Kennesaw State</t>
        </is>
      </c>
      <c r="B120" s="42" t="n">
        <v>56</v>
      </c>
      <c r="C120" s="42" t="n">
        <v>53.7</v>
      </c>
      <c r="D120" s="42" t="n">
        <v>53.3</v>
      </c>
      <c r="E120" s="42" t="n">
        <v>53</v>
      </c>
      <c r="F120" s="42" t="n">
        <v>53</v>
      </c>
      <c r="G120" s="42" t="n">
        <v>53.4</v>
      </c>
      <c r="H120" s="42" t="n">
        <v>52.9</v>
      </c>
      <c r="I120" s="42" t="n">
        <v>50.9</v>
      </c>
    </row>
    <row r="121">
      <c r="A121" s="42" t="inlineStr">
        <is>
          <t>Marshall</t>
        </is>
      </c>
      <c r="B121" s="42" t="n">
        <v>52.1</v>
      </c>
      <c r="C121" s="42" t="n">
        <v>51.8</v>
      </c>
      <c r="D121" s="42" t="n">
        <v>52.4</v>
      </c>
      <c r="E121" s="42" t="n">
        <v>51.4</v>
      </c>
      <c r="F121" s="42" t="n">
        <v>50.4</v>
      </c>
      <c r="G121" s="42" t="n">
        <v>49.7</v>
      </c>
      <c r="H121" s="42" t="n">
        <v>49.7</v>
      </c>
      <c r="I121" s="42" t="n">
        <v>50.8</v>
      </c>
    </row>
    <row r="122">
      <c r="A122" s="42" t="inlineStr">
        <is>
          <t>Southern Miss</t>
        </is>
      </c>
      <c r="B122" s="42" t="n">
        <v>54.4</v>
      </c>
      <c r="C122" s="42" t="n">
        <v>53.1</v>
      </c>
      <c r="D122" s="42" t="n">
        <v>50.5</v>
      </c>
      <c r="E122" s="42" t="n">
        <v>51.6</v>
      </c>
      <c r="F122" s="42" t="n">
        <v>51.6</v>
      </c>
      <c r="G122" s="42" t="n">
        <v>49.7</v>
      </c>
      <c r="H122" s="42" t="n">
        <v>49.2</v>
      </c>
      <c r="I122" s="42" t="n">
        <v>50.7</v>
      </c>
    </row>
    <row r="123">
      <c r="A123" s="42" t="inlineStr">
        <is>
          <t>San José State</t>
        </is>
      </c>
      <c r="B123" s="42" t="n">
        <v>51.7</v>
      </c>
      <c r="C123" s="42" t="n">
        <v>51.6</v>
      </c>
      <c r="D123" s="42" t="n">
        <v>50.4</v>
      </c>
      <c r="E123" s="42" t="n">
        <v>50.3</v>
      </c>
      <c r="F123" s="42" t="n">
        <v>50.8</v>
      </c>
      <c r="G123" s="42" t="n">
        <v>50.4</v>
      </c>
      <c r="H123" s="42" t="n">
        <v>51.2</v>
      </c>
      <c r="I123" s="42" t="n">
        <v>50.5</v>
      </c>
    </row>
    <row r="124">
      <c r="A124" s="42" t="inlineStr">
        <is>
          <t>New Mexico State</t>
        </is>
      </c>
      <c r="B124" s="42" t="n">
        <v>50.6</v>
      </c>
      <c r="C124" s="42" t="n">
        <v>49.8</v>
      </c>
      <c r="D124" s="42" t="n">
        <v>49.8</v>
      </c>
      <c r="E124" s="42" t="n">
        <v>49.1</v>
      </c>
      <c r="F124" s="42" t="n">
        <v>52</v>
      </c>
      <c r="G124" s="42" t="n">
        <v>50.5</v>
      </c>
      <c r="H124" s="42" t="n">
        <v>50.5</v>
      </c>
      <c r="I124" s="42" t="n">
        <v>50.3</v>
      </c>
    </row>
    <row r="125">
      <c r="A125" s="42" t="inlineStr">
        <is>
          <t>Bowling Green</t>
        </is>
      </c>
      <c r="B125" s="42" t="n">
        <v>48.8</v>
      </c>
      <c r="C125" s="42" t="n">
        <v>48.4</v>
      </c>
      <c r="D125" s="42" t="n">
        <v>47.7</v>
      </c>
      <c r="E125" s="42" t="n">
        <v>48.9</v>
      </c>
      <c r="F125" s="42" t="n">
        <v>49.3</v>
      </c>
      <c r="G125" s="42" t="n">
        <v>51.1</v>
      </c>
      <c r="H125" s="42" t="n">
        <v>50.1</v>
      </c>
      <c r="I125" s="42" t="n">
        <v>49.7</v>
      </c>
    </row>
    <row r="126">
      <c r="A126" s="42" t="inlineStr">
        <is>
          <t>Eastern Michigan</t>
        </is>
      </c>
      <c r="B126" s="42" t="n">
        <v>47.2</v>
      </c>
      <c r="C126" s="42" t="n">
        <v>46.3</v>
      </c>
      <c r="D126" s="42" t="n">
        <v>45.6</v>
      </c>
      <c r="E126" s="42" t="n">
        <v>47.7</v>
      </c>
      <c r="F126" s="42" t="n">
        <v>49.6</v>
      </c>
      <c r="G126" s="42" t="n">
        <v>49.4</v>
      </c>
      <c r="H126" s="42" t="n">
        <v>48.8</v>
      </c>
      <c r="I126" s="42" t="n">
        <v>49.7</v>
      </c>
    </row>
    <row r="127">
      <c r="A127" s="42" t="inlineStr">
        <is>
          <t>Missouri State</t>
        </is>
      </c>
      <c r="B127" s="42" t="n">
        <v>50.7</v>
      </c>
      <c r="C127" s="42" t="n">
        <v>53</v>
      </c>
      <c r="D127" s="42" t="n">
        <v>51.9</v>
      </c>
      <c r="E127" s="42" t="n">
        <v>53</v>
      </c>
      <c r="F127" s="42" t="n">
        <v>52.6</v>
      </c>
      <c r="G127" s="42" t="n">
        <v>50.8</v>
      </c>
      <c r="H127" s="42" t="n">
        <v>51.3</v>
      </c>
      <c r="I127" s="42" t="n">
        <v>49.5</v>
      </c>
    </row>
    <row r="128">
      <c r="A128" s="42" t="inlineStr">
        <is>
          <t>Rice</t>
        </is>
      </c>
      <c r="B128" s="42" t="n">
        <v>46.8</v>
      </c>
      <c r="C128" s="42" t="n">
        <v>48.2</v>
      </c>
      <c r="D128" s="42" t="n">
        <v>49.5</v>
      </c>
      <c r="E128" s="42" t="n">
        <v>49</v>
      </c>
      <c r="F128" s="42" t="n">
        <v>50.4</v>
      </c>
      <c r="G128" s="42" t="n">
        <v>50.1</v>
      </c>
      <c r="H128" s="42" t="n">
        <v>48.6</v>
      </c>
      <c r="I128" s="42" t="n">
        <v>49</v>
      </c>
    </row>
    <row r="129">
      <c r="A129" s="42" t="inlineStr">
        <is>
          <t>Middle Tennessee</t>
        </is>
      </c>
      <c r="B129" s="42" t="n">
        <v>47</v>
      </c>
      <c r="C129" s="42" t="n">
        <v>47.4</v>
      </c>
      <c r="D129" s="42" t="n">
        <v>48.6</v>
      </c>
      <c r="E129" s="42" t="n">
        <v>48.5</v>
      </c>
      <c r="F129" s="42" t="n">
        <v>47.1</v>
      </c>
      <c r="G129" s="42" t="n">
        <v>47.1</v>
      </c>
      <c r="H129" s="42" t="n">
        <v>47.6</v>
      </c>
      <c r="I129" s="42" t="n">
        <v>48.8</v>
      </c>
    </row>
    <row r="130">
      <c r="A130" s="42" t="inlineStr">
        <is>
          <t>Kent State</t>
        </is>
      </c>
      <c r="B130" s="42" t="n">
        <v>45.6</v>
      </c>
      <c r="C130" s="42" t="n">
        <v>47.5</v>
      </c>
      <c r="D130" s="42" t="n">
        <v>48.6</v>
      </c>
      <c r="E130" s="42" t="n">
        <v>49</v>
      </c>
      <c r="F130" s="42" t="n">
        <v>49.5</v>
      </c>
      <c r="G130" s="42" t="n">
        <v>48.1</v>
      </c>
      <c r="H130" s="42" t="n">
        <v>47</v>
      </c>
      <c r="I130" s="42" t="n">
        <v>48.1</v>
      </c>
    </row>
    <row r="131">
      <c r="A131" s="42" t="inlineStr">
        <is>
          <t>Ball State</t>
        </is>
      </c>
      <c r="B131" s="42" t="n">
        <v>43</v>
      </c>
      <c r="C131" s="42" t="n">
        <v>45.1</v>
      </c>
      <c r="D131" s="42" t="n">
        <v>43</v>
      </c>
      <c r="E131" s="42" t="n">
        <v>42.5</v>
      </c>
      <c r="F131" s="42" t="n">
        <v>43.4</v>
      </c>
      <c r="G131" s="42" t="n">
        <v>43.8</v>
      </c>
      <c r="H131" s="42" t="n">
        <v>44.8</v>
      </c>
      <c r="I131" s="42" t="n">
        <v>46</v>
      </c>
    </row>
    <row r="132">
      <c r="A132" s="42" t="inlineStr">
        <is>
          <t>Charlotte</t>
        </is>
      </c>
      <c r="B132" s="42" t="n">
        <v>44</v>
      </c>
      <c r="C132" s="42" t="n">
        <v>45.3</v>
      </c>
      <c r="D132" s="42" t="n">
        <v>45.4</v>
      </c>
      <c r="E132" s="42" t="n">
        <v>43.7</v>
      </c>
      <c r="F132" s="42" t="n">
        <v>43.2</v>
      </c>
      <c r="G132" s="42" t="n">
        <v>42.6</v>
      </c>
      <c r="H132" s="42" t="n">
        <v>44.2</v>
      </c>
      <c r="I132" s="42" t="n">
        <v>44.2</v>
      </c>
    </row>
    <row r="133">
      <c r="A133" s="42" t="inlineStr">
        <is>
          <t>Sam Houston</t>
        </is>
      </c>
      <c r="B133" s="42" t="n">
        <v>41.1</v>
      </c>
      <c r="C133" s="42" t="n">
        <v>41.6</v>
      </c>
      <c r="D133" s="42" t="n">
        <v>43.9</v>
      </c>
      <c r="E133" s="42" t="n">
        <v>44.6</v>
      </c>
      <c r="F133" s="42" t="n">
        <v>44.6</v>
      </c>
      <c r="G133" s="42" t="n">
        <v>43.3</v>
      </c>
      <c r="H133" s="42" t="n">
        <v>43.3</v>
      </c>
      <c r="I133" s="42" t="n">
        <v>43.5</v>
      </c>
    </row>
    <row r="134">
      <c r="A134" s="42" t="inlineStr">
        <is>
          <t>Akron</t>
        </is>
      </c>
      <c r="B134" s="42" t="n">
        <v>48.5</v>
      </c>
      <c r="C134" s="42" t="n">
        <v>50.8</v>
      </c>
      <c r="D134" s="42" t="n">
        <v>49.2</v>
      </c>
      <c r="E134" s="42" t="n">
        <v>47.3</v>
      </c>
      <c r="F134" s="42" t="n">
        <v>45.7</v>
      </c>
      <c r="G134" s="42" t="n">
        <v>46</v>
      </c>
      <c r="H134" s="42" t="n">
        <v>44.4</v>
      </c>
      <c r="I134" s="42" t="n">
        <v>43.3</v>
      </c>
    </row>
    <row r="135">
      <c r="A135" s="42" t="inlineStr">
        <is>
          <t>Massachusetts</t>
        </is>
      </c>
      <c r="B135" s="42" t="n">
        <v>37.6</v>
      </c>
      <c r="C135" s="42" t="n">
        <v>41.2</v>
      </c>
      <c r="D135" s="42" t="n">
        <v>41.2</v>
      </c>
      <c r="E135" s="42" t="n">
        <v>45.7</v>
      </c>
      <c r="F135" s="42" t="n">
        <v>43.3</v>
      </c>
      <c r="G135" s="42" t="n">
        <v>43.7</v>
      </c>
      <c r="H135" s="42" t="n">
        <v>43.9</v>
      </c>
      <c r="I135" s="42" t="n">
        <v>43.3</v>
      </c>
    </row>
    <row r="136">
      <c r="A136" s="42" t="inlineStr">
        <is>
          <t>UL Monroe</t>
        </is>
      </c>
      <c r="B136" s="42" t="n">
        <v>42.9</v>
      </c>
      <c r="C136" s="42" t="n">
        <v>43.3</v>
      </c>
      <c r="D136" s="42" t="n">
        <v>42.2</v>
      </c>
      <c r="E136" s="42" t="n">
        <v>40.8</v>
      </c>
      <c r="F136" s="42" t="n">
        <v>40.2</v>
      </c>
      <c r="G136" s="42" t="n">
        <v>40.3</v>
      </c>
      <c r="H136" s="42" t="n">
        <v>39.7</v>
      </c>
      <c r="I136" s="42" t="n">
        <v>41.6</v>
      </c>
    </row>
    <row r="137">
      <c r="A137" s="42" t="inlineStr">
        <is>
          <t>UTEP</t>
        </is>
      </c>
      <c r="B137" s="42" t="n">
        <v>40.8</v>
      </c>
      <c r="C137" s="42" t="n">
        <v>43.3</v>
      </c>
      <c r="D137" s="42" t="n">
        <v>43</v>
      </c>
      <c r="E137" s="42" t="n">
        <v>41.9</v>
      </c>
      <c r="F137" s="42" t="n">
        <v>41.5</v>
      </c>
      <c r="G137" s="42" t="n">
        <v>40.8</v>
      </c>
      <c r="H137" s="42" t="n">
        <v>39.9</v>
      </c>
      <c r="I137" s="42" t="n">
        <v>39.9</v>
      </c>
    </row>
    <row r="138">
      <c r="A138" s="42" t="inlineStr">
        <is>
          <t>Northern Illinois</t>
        </is>
      </c>
      <c r="B138" s="42" t="n">
        <v>44.3</v>
      </c>
      <c r="C138" s="42" t="n">
        <v>43.7</v>
      </c>
      <c r="D138" s="42" t="n">
        <v>44.3</v>
      </c>
      <c r="E138" s="42" t="n">
        <v>42.7</v>
      </c>
      <c r="F138" s="42" t="n">
        <v>42.7</v>
      </c>
      <c r="G138" s="42" t="n">
        <v>41.8</v>
      </c>
      <c r="H138" s="42" t="n">
        <v>40.9</v>
      </c>
      <c r="I138" s="42" t="n">
        <v>39.2</v>
      </c>
    </row>
    <row r="139">
      <c r="A139" s="42" t="inlineStr">
        <is>
          <t>Sacramento State</t>
        </is>
      </c>
      <c r="B139" s="42" t="n">
        <v>41</v>
      </c>
      <c r="C139" s="42" t="n">
        <v>39.8</v>
      </c>
      <c r="D139" s="42" t="n">
        <v>41.5</v>
      </c>
      <c r="E139" s="42" t="n">
        <v>38.8</v>
      </c>
      <c r="F139" s="42" t="n">
        <v>38.8</v>
      </c>
      <c r="G139" s="42" t="n">
        <v>37</v>
      </c>
      <c r="H139" s="42" t="n">
        <v>36.6</v>
      </c>
      <c r="I139" s="42" t="n">
        <v>35.5</v>
      </c>
    </row>
  </sheetData>
  <dataValidations count="1">
    <dataValidation sqref="W3:W4" showDropDown="0" showInputMessage="0" showErrorMessage="0" allowBlank="1" type="list">
      <formula1>$A$2:$A$139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0"/>
  <sheetViews>
    <sheetView showGridLines="0" topLeftCell="A55" zoomScale="67" workbookViewId="0">
      <selection activeCell="A20" sqref="A20"/>
    </sheetView>
  </sheetViews>
  <sheetFormatPr baseColWidth="8" defaultRowHeight="14.5"/>
  <cols>
    <col width="16" bestFit="1" customWidth="1" min="1" max="1"/>
    <col width="6" bestFit="1" customWidth="1" min="2" max="2"/>
    <col width="12" customWidth="1" min="3" max="3"/>
    <col width="16" customWidth="1" min="4" max="4"/>
    <col width="7" customWidth="1" min="5" max="5"/>
    <col width="13" customWidth="1" min="6" max="6"/>
    <col width="15" customWidth="1" min="7" max="7"/>
    <col width="11" customWidth="1" min="8" max="8"/>
    <col width="13" customWidth="1" min="9" max="9"/>
  </cols>
  <sheetData>
    <row r="1" ht="15.65" customHeight="1">
      <c r="A1" s="41" t="inlineStr">
        <is>
          <t>MW Team ATS -- 2026 Season (graded vs. the real market line, not any model)</t>
        </is>
      </c>
    </row>
    <row r="3">
      <c r="A3" s="40" t="inlineStr">
        <is>
          <t>Team</t>
        </is>
      </c>
      <c r="B3" s="40" t="inlineStr">
        <is>
          <t>ATS Record (C-L-P)</t>
        </is>
      </c>
      <c r="C3" s="40" t="inlineStr">
        <is>
          <t>Cover %</t>
        </is>
      </c>
    </row>
    <row r="4">
      <c r="A4" s="42" t="inlineStr">
        <is>
          <t>Air Force</t>
        </is>
      </c>
      <c r="B4" s="42" t="inlineStr">
        <is>
          <t>4-3-0</t>
        </is>
      </c>
      <c r="C4" s="45" t="n">
        <v>0.571</v>
      </c>
    </row>
    <row r="5">
      <c r="A5" s="42" t="inlineStr">
        <is>
          <t>Hawai'i</t>
        </is>
      </c>
      <c r="B5" s="42" t="inlineStr">
        <is>
          <t>4-4-0</t>
        </is>
      </c>
      <c r="C5" s="45" t="n">
        <v>0.5</v>
      </c>
    </row>
    <row r="6">
      <c r="A6" s="42" t="inlineStr">
        <is>
          <t>Nevada</t>
        </is>
      </c>
      <c r="B6" s="42" t="inlineStr">
        <is>
          <t>5-2-0</t>
        </is>
      </c>
      <c r="C6" s="45" t="n">
        <v>0.714</v>
      </c>
    </row>
    <row r="7">
      <c r="A7" s="42" t="inlineStr">
        <is>
          <t>New Mexico</t>
        </is>
      </c>
      <c r="B7" s="42" t="inlineStr">
        <is>
          <t>6-1-0</t>
        </is>
      </c>
      <c r="C7" s="45" t="n">
        <v>0.857</v>
      </c>
    </row>
    <row r="8">
      <c r="A8" s="42" t="inlineStr">
        <is>
          <t>North Dakota State</t>
        </is>
      </c>
      <c r="B8" s="42" t="inlineStr">
        <is>
          <t>3-5-0</t>
        </is>
      </c>
      <c r="C8" s="45" t="n">
        <v>0.375</v>
      </c>
    </row>
    <row r="9">
      <c r="A9" s="42" t="inlineStr">
        <is>
          <t>Northern Illinois</t>
        </is>
      </c>
      <c r="B9" s="42" t="inlineStr">
        <is>
          <t>1-6-0</t>
        </is>
      </c>
      <c r="C9" s="45" t="n">
        <v>0.143</v>
      </c>
    </row>
    <row r="10">
      <c r="A10" s="42" t="inlineStr">
        <is>
          <t>San José State</t>
        </is>
      </c>
      <c r="B10" s="42" t="inlineStr">
        <is>
          <t>4-4-0</t>
        </is>
      </c>
      <c r="C10" s="45" t="n">
        <v>0.5</v>
      </c>
    </row>
    <row r="11">
      <c r="A11" s="42" t="inlineStr">
        <is>
          <t>UNLV</t>
        </is>
      </c>
      <c r="B11" s="42" t="inlineStr">
        <is>
          <t>4-3-0</t>
        </is>
      </c>
      <c r="C11" s="45" t="n">
        <v>0.571</v>
      </c>
    </row>
    <row r="12">
      <c r="A12" s="42" t="inlineStr">
        <is>
          <t>UTEP</t>
        </is>
      </c>
      <c r="B12" s="42" t="inlineStr">
        <is>
          <t>1-6-0</t>
        </is>
      </c>
      <c r="C12" s="45" t="n">
        <v>0.143</v>
      </c>
    </row>
    <row r="13">
      <c r="A13" s="42" t="inlineStr">
        <is>
          <t>Wyoming</t>
        </is>
      </c>
      <c r="B13" s="42" t="inlineStr">
        <is>
          <t>4-4-0</t>
        </is>
      </c>
      <c r="C13" s="45" t="n">
        <v>0.5</v>
      </c>
    </row>
    <row r="16" ht="26.5" customHeight="1">
      <c r="A16" s="46" t="inlineStr">
        <is>
          <t>Team</t>
        </is>
      </c>
      <c r="B16" s="46" t="inlineStr">
        <is>
          <t>Week</t>
        </is>
      </c>
      <c r="C16" s="46" t="inlineStr">
        <is>
          <t>Date</t>
        </is>
      </c>
      <c r="D16" s="46" t="inlineStr">
        <is>
          <t>Opponent</t>
        </is>
      </c>
      <c r="E16" s="46" t="inlineStr">
        <is>
          <t>Site</t>
        </is>
      </c>
      <c r="F16" s="46" t="inlineStr">
        <is>
          <t>Team's Spread</t>
        </is>
      </c>
      <c r="G16" s="46" t="inlineStr">
        <is>
          <t>Result (Margin)</t>
        </is>
      </c>
      <c r="H16" s="46" t="inlineStr">
        <is>
          <t>ATS Result</t>
        </is>
      </c>
      <c r="I16" s="46" t="inlineStr">
        <is>
          <t>Cover Margin</t>
        </is>
      </c>
    </row>
    <row r="17">
      <c r="A17" s="42" t="inlineStr">
        <is>
          <t>Air Force</t>
        </is>
      </c>
      <c r="B17" s="42" t="n">
        <v>1</v>
      </c>
      <c r="C17" s="42" t="inlineStr">
        <is>
          <t>2026-09-05</t>
        </is>
      </c>
      <c r="D17" s="42" t="inlineStr">
        <is>
          <t>Duquesne</t>
        </is>
      </c>
      <c r="E17" s="42" t="inlineStr">
        <is>
          <t>Home</t>
        </is>
      </c>
      <c r="F17" s="42" t="n">
        <v>-30</v>
      </c>
      <c r="G17" s="42" t="n">
        <v>34</v>
      </c>
      <c r="H17" s="47" t="inlineStr">
        <is>
          <t>Cover</t>
        </is>
      </c>
      <c r="I17" s="42" t="n">
        <v>4</v>
      </c>
    </row>
    <row r="18">
      <c r="A18" s="42" t="inlineStr">
        <is>
          <t>Air Force</t>
        </is>
      </c>
      <c r="B18" s="42" t="n">
        <v>2</v>
      </c>
      <c r="C18" s="42" t="inlineStr">
        <is>
          <t>2026-09-13</t>
        </is>
      </c>
      <c r="D18" s="42" t="inlineStr">
        <is>
          <t>North Dakota State</t>
        </is>
      </c>
      <c r="E18" s="42" t="inlineStr">
        <is>
          <t>Home</t>
        </is>
      </c>
      <c r="F18" s="42" t="n">
        <v>1.8</v>
      </c>
      <c r="G18" s="42" t="n">
        <v>-6</v>
      </c>
      <c r="H18" s="48" t="inlineStr">
        <is>
          <t>No Cover</t>
        </is>
      </c>
      <c r="I18" s="42" t="n">
        <v>-4.2</v>
      </c>
    </row>
    <row r="19">
      <c r="A19" s="42" t="inlineStr">
        <is>
          <t>Air Force</t>
        </is>
      </c>
      <c r="B19" s="42" t="n">
        <v>4</v>
      </c>
      <c r="C19" s="42" t="inlineStr">
        <is>
          <t>2026-09-27</t>
        </is>
      </c>
      <c r="D19" s="42" t="inlineStr">
        <is>
          <t>Nevada</t>
        </is>
      </c>
      <c r="E19" s="42" t="inlineStr">
        <is>
          <t>Away</t>
        </is>
      </c>
      <c r="F19" s="42" t="n">
        <v>-5.2</v>
      </c>
      <c r="G19" s="42" t="n">
        <v>3</v>
      </c>
      <c r="H19" s="48" t="inlineStr">
        <is>
          <t>No Cover</t>
        </is>
      </c>
      <c r="I19" s="42" t="n">
        <v>-2.2</v>
      </c>
    </row>
    <row r="20">
      <c r="A20" s="42" t="inlineStr">
        <is>
          <t>Air Force</t>
        </is>
      </c>
      <c r="B20" s="42" t="n">
        <v>5</v>
      </c>
      <c r="C20" s="42" t="inlineStr">
        <is>
          <t>2026-10-03</t>
        </is>
      </c>
      <c r="D20" s="42" t="inlineStr">
        <is>
          <t>Navy</t>
        </is>
      </c>
      <c r="E20" s="42" t="inlineStr">
        <is>
          <t>Home</t>
        </is>
      </c>
      <c r="F20" s="42" t="n">
        <v>-2.8</v>
      </c>
      <c r="G20" s="42" t="n">
        <v>5</v>
      </c>
      <c r="H20" s="47" t="inlineStr">
        <is>
          <t>Cover</t>
        </is>
      </c>
      <c r="I20" s="42" t="n">
        <v>2.2</v>
      </c>
    </row>
    <row r="21">
      <c r="A21" s="42" t="inlineStr">
        <is>
          <t>Air Force</t>
        </is>
      </c>
      <c r="B21" s="42" t="n">
        <v>6</v>
      </c>
      <c r="C21" s="42" t="inlineStr">
        <is>
          <t>2026-10-10</t>
        </is>
      </c>
      <c r="D21" s="42" t="inlineStr">
        <is>
          <t>Northern Illinois</t>
        </is>
      </c>
      <c r="E21" s="42" t="inlineStr">
        <is>
          <t>Away</t>
        </is>
      </c>
      <c r="F21" s="42" t="n">
        <v>-7</v>
      </c>
      <c r="G21" s="42" t="n">
        <v>21</v>
      </c>
      <c r="H21" s="47" t="inlineStr">
        <is>
          <t>Cover</t>
        </is>
      </c>
      <c r="I21" s="42" t="n">
        <v>14</v>
      </c>
    </row>
    <row r="22">
      <c r="A22" s="42" t="inlineStr">
        <is>
          <t>Air Force</t>
        </is>
      </c>
      <c r="B22" s="42" t="n">
        <v>7</v>
      </c>
      <c r="C22" s="42" t="inlineStr">
        <is>
          <t>2026-10-17</t>
        </is>
      </c>
      <c r="D22" s="42" t="inlineStr">
        <is>
          <t>UNLV</t>
        </is>
      </c>
      <c r="E22" s="42" t="inlineStr">
        <is>
          <t>Home</t>
        </is>
      </c>
      <c r="F22" s="42" t="n">
        <v>-0.2</v>
      </c>
      <c r="G22" s="42" t="n">
        <v>10</v>
      </c>
      <c r="H22" s="47" t="inlineStr">
        <is>
          <t>Cover</t>
        </is>
      </c>
      <c r="I22" s="42" t="n">
        <v>9.800000000000001</v>
      </c>
    </row>
    <row r="23">
      <c r="A23" s="42" t="inlineStr">
        <is>
          <t>Air Force</t>
        </is>
      </c>
      <c r="B23" s="42" t="n">
        <v>8</v>
      </c>
      <c r="C23" s="42" t="inlineStr">
        <is>
          <t>2026-10-24</t>
        </is>
      </c>
      <c r="D23" s="42" t="inlineStr">
        <is>
          <t>Wyoming</t>
        </is>
      </c>
      <c r="E23" s="42" t="inlineStr">
        <is>
          <t>Away</t>
        </is>
      </c>
      <c r="F23" s="42" t="n">
        <v>-7</v>
      </c>
      <c r="G23" s="42" t="n">
        <v>-14</v>
      </c>
      <c r="H23" s="48" t="inlineStr">
        <is>
          <t>No Cover</t>
        </is>
      </c>
      <c r="I23" s="42" t="n">
        <v>-21</v>
      </c>
    </row>
    <row r="24">
      <c r="A24" s="42" t="inlineStr">
        <is>
          <t>Hawai'i</t>
        </is>
      </c>
      <c r="B24" s="42" t="n">
        <v>1</v>
      </c>
      <c r="C24" s="42" t="inlineStr">
        <is>
          <t>2026-08-29</t>
        </is>
      </c>
      <c r="D24" s="42" t="inlineStr">
        <is>
          <t>Stanford</t>
        </is>
      </c>
      <c r="E24" s="42" t="inlineStr">
        <is>
          <t>Away</t>
        </is>
      </c>
      <c r="F24" s="42" t="n">
        <v>4.8</v>
      </c>
      <c r="G24" s="42" t="n">
        <v>-10</v>
      </c>
      <c r="H24" s="48" t="inlineStr">
        <is>
          <t>No Cover</t>
        </is>
      </c>
      <c r="I24" s="42" t="n">
        <v>-5.2</v>
      </c>
    </row>
    <row r="25">
      <c r="A25" s="42" t="inlineStr">
        <is>
          <t>Hawai'i</t>
        </is>
      </c>
      <c r="B25" s="42" t="n">
        <v>1</v>
      </c>
      <c r="C25" s="42" t="inlineStr">
        <is>
          <t>2026-09-06</t>
        </is>
      </c>
      <c r="D25" s="42" t="inlineStr">
        <is>
          <t>UNLV</t>
        </is>
      </c>
      <c r="E25" s="42" t="inlineStr">
        <is>
          <t>Home</t>
        </is>
      </c>
      <c r="F25" s="42" t="n">
        <v>2.8</v>
      </c>
      <c r="G25" s="42" t="n">
        <v>-15</v>
      </c>
      <c r="H25" s="48" t="inlineStr">
        <is>
          <t>No Cover</t>
        </is>
      </c>
      <c r="I25" s="42" t="n">
        <v>-12.2</v>
      </c>
    </row>
    <row r="26">
      <c r="A26" s="42" t="inlineStr">
        <is>
          <t>Hawai'i</t>
        </is>
      </c>
      <c r="B26" s="42" t="n">
        <v>2</v>
      </c>
      <c r="C26" s="42" t="inlineStr">
        <is>
          <t>2026-09-13</t>
        </is>
      </c>
      <c r="D26" s="42" t="inlineStr">
        <is>
          <t>New Mexico State</t>
        </is>
      </c>
      <c r="E26" s="42" t="inlineStr">
        <is>
          <t>Home</t>
        </is>
      </c>
      <c r="F26" s="42" t="n">
        <v>-7.5</v>
      </c>
      <c r="G26" s="42" t="n">
        <v>10</v>
      </c>
      <c r="H26" s="47" t="inlineStr">
        <is>
          <t>Cover</t>
        </is>
      </c>
      <c r="I26" s="42" t="n">
        <v>2.5</v>
      </c>
    </row>
    <row r="27">
      <c r="A27" s="42" t="inlineStr">
        <is>
          <t>Hawai'i</t>
        </is>
      </c>
      <c r="B27" s="42" t="n">
        <v>4</v>
      </c>
      <c r="C27" s="42" t="inlineStr">
        <is>
          <t>2026-09-26</t>
        </is>
      </c>
      <c r="D27" s="42" t="inlineStr">
        <is>
          <t>Wyoming</t>
        </is>
      </c>
      <c r="E27" s="42" t="inlineStr">
        <is>
          <t>Away</t>
        </is>
      </c>
      <c r="F27" s="42" t="n">
        <v>-2.2</v>
      </c>
      <c r="G27" s="42" t="n">
        <v>-17</v>
      </c>
      <c r="H27" s="48" t="inlineStr">
        <is>
          <t>No Cover</t>
        </is>
      </c>
      <c r="I27" s="42" t="n">
        <v>-19.2</v>
      </c>
    </row>
    <row r="28">
      <c r="A28" s="42" t="inlineStr">
        <is>
          <t>Hawai'i</t>
        </is>
      </c>
      <c r="B28" s="42" t="n">
        <v>5</v>
      </c>
      <c r="C28" s="42" t="inlineStr">
        <is>
          <t>2026-10-04</t>
        </is>
      </c>
      <c r="D28" s="42" t="inlineStr">
        <is>
          <t>San José State</t>
        </is>
      </c>
      <c r="E28" s="42" t="inlineStr">
        <is>
          <t>Home</t>
        </is>
      </c>
      <c r="F28" s="42" t="n">
        <v>-2.8</v>
      </c>
      <c r="G28" s="42" t="n">
        <v>-4</v>
      </c>
      <c r="H28" s="48" t="inlineStr">
        <is>
          <t>No Cover</t>
        </is>
      </c>
      <c r="I28" s="42" t="n">
        <v>-6.8</v>
      </c>
    </row>
    <row r="29">
      <c r="A29" s="42" t="inlineStr">
        <is>
          <t>Hawai'i</t>
        </is>
      </c>
      <c r="B29" s="42" t="n">
        <v>6</v>
      </c>
      <c r="C29" s="42" t="inlineStr">
        <is>
          <t>2026-10-11</t>
        </is>
      </c>
      <c r="D29" s="42" t="inlineStr">
        <is>
          <t>Arizona State</t>
        </is>
      </c>
      <c r="E29" s="42" t="inlineStr">
        <is>
          <t>Away</t>
        </is>
      </c>
      <c r="F29" s="42" t="n">
        <v>20.8</v>
      </c>
      <c r="G29" s="42" t="n">
        <v>-18</v>
      </c>
      <c r="H29" s="47" t="inlineStr">
        <is>
          <t>Cover</t>
        </is>
      </c>
      <c r="I29" s="42" t="n">
        <v>2.8</v>
      </c>
    </row>
    <row r="30">
      <c r="A30" s="42" t="inlineStr">
        <is>
          <t>Hawai'i</t>
        </is>
      </c>
      <c r="B30" s="42" t="n">
        <v>7</v>
      </c>
      <c r="C30" s="42" t="inlineStr">
        <is>
          <t>2026-10-18</t>
        </is>
      </c>
      <c r="D30" s="42" t="inlineStr">
        <is>
          <t>New Mexico</t>
        </is>
      </c>
      <c r="E30" s="42" t="inlineStr">
        <is>
          <t>Home</t>
        </is>
      </c>
      <c r="F30" s="42" t="n">
        <v>14.5</v>
      </c>
      <c r="G30" s="42" t="n">
        <v>-11</v>
      </c>
      <c r="H30" s="47" t="inlineStr">
        <is>
          <t>Cover</t>
        </is>
      </c>
      <c r="I30" s="42" t="n">
        <v>3.5</v>
      </c>
    </row>
    <row r="31">
      <c r="A31" s="42" t="inlineStr">
        <is>
          <t>Hawai'i</t>
        </is>
      </c>
      <c r="B31" s="42" t="n">
        <v>8</v>
      </c>
      <c r="C31" s="42" t="inlineStr">
        <is>
          <t>2026-10-24</t>
        </is>
      </c>
      <c r="D31" s="42" t="inlineStr">
        <is>
          <t>Northern Illinois</t>
        </is>
      </c>
      <c r="E31" s="42" t="inlineStr">
        <is>
          <t>Away</t>
        </is>
      </c>
      <c r="F31" s="42" t="n">
        <v>-3</v>
      </c>
      <c r="G31" s="42" t="n">
        <v>35</v>
      </c>
      <c r="H31" s="47" t="inlineStr">
        <is>
          <t>Cover</t>
        </is>
      </c>
      <c r="I31" s="42" t="n">
        <v>32</v>
      </c>
    </row>
    <row r="32">
      <c r="A32" s="42" t="inlineStr">
        <is>
          <t>Nevada</t>
        </is>
      </c>
      <c r="B32" s="42" t="n">
        <v>1</v>
      </c>
      <c r="C32" s="42" t="inlineStr">
        <is>
          <t>2026-09-06</t>
        </is>
      </c>
      <c r="D32" s="42" t="inlineStr">
        <is>
          <t>Western Kentucky</t>
        </is>
      </c>
      <c r="E32" s="42" t="inlineStr">
        <is>
          <t>Home</t>
        </is>
      </c>
      <c r="F32" s="42" t="n">
        <v>0.2</v>
      </c>
      <c r="G32" s="42" t="n">
        <v>35</v>
      </c>
      <c r="H32" s="47" t="inlineStr">
        <is>
          <t>Cover</t>
        </is>
      </c>
      <c r="I32" s="42" t="n">
        <v>35.2</v>
      </c>
    </row>
    <row r="33">
      <c r="A33" s="42" t="inlineStr">
        <is>
          <t>Nevada</t>
        </is>
      </c>
      <c r="B33" s="42" t="n">
        <v>2</v>
      </c>
      <c r="C33" s="42" t="inlineStr">
        <is>
          <t>2026-09-13</t>
        </is>
      </c>
      <c r="D33" s="42" t="inlineStr">
        <is>
          <t>Montana State</t>
        </is>
      </c>
      <c r="E33" s="42" t="inlineStr">
        <is>
          <t>Home</t>
        </is>
      </c>
      <c r="F33" s="42" t="n">
        <v>5</v>
      </c>
      <c r="G33" s="42" t="n">
        <v>-13</v>
      </c>
      <c r="H33" s="48" t="inlineStr">
        <is>
          <t>No Cover</t>
        </is>
      </c>
      <c r="I33" s="42" t="n">
        <v>-8</v>
      </c>
    </row>
    <row r="34">
      <c r="A34" s="42" t="inlineStr">
        <is>
          <t>Nevada</t>
        </is>
      </c>
      <c r="B34" s="42" t="n">
        <v>3</v>
      </c>
      <c r="C34" s="42" t="inlineStr">
        <is>
          <t>2026-09-19</t>
        </is>
      </c>
      <c r="D34" s="42" t="inlineStr">
        <is>
          <t>Middle Tennessee</t>
        </is>
      </c>
      <c r="E34" s="42" t="inlineStr">
        <is>
          <t>Away</t>
        </is>
      </c>
      <c r="F34" s="42" t="n">
        <v>-3.8</v>
      </c>
      <c r="G34" s="42" t="n">
        <v>-7</v>
      </c>
      <c r="H34" s="48" t="inlineStr">
        <is>
          <t>No Cover</t>
        </is>
      </c>
      <c r="I34" s="42" t="n">
        <v>-10.8</v>
      </c>
    </row>
    <row r="35">
      <c r="A35" s="42" t="inlineStr">
        <is>
          <t>Nevada</t>
        </is>
      </c>
      <c r="B35" s="42" t="n">
        <v>4</v>
      </c>
      <c r="C35" s="42" t="inlineStr">
        <is>
          <t>2026-09-27</t>
        </is>
      </c>
      <c r="D35" s="42" t="inlineStr">
        <is>
          <t>Air Force</t>
        </is>
      </c>
      <c r="E35" s="42" t="inlineStr">
        <is>
          <t>Home</t>
        </is>
      </c>
      <c r="F35" s="42" t="n">
        <v>5.2</v>
      </c>
      <c r="G35" s="42" t="n">
        <v>-3</v>
      </c>
      <c r="H35" s="47" t="inlineStr">
        <is>
          <t>Cover</t>
        </is>
      </c>
      <c r="I35" s="42" t="n">
        <v>2.2</v>
      </c>
    </row>
    <row r="36">
      <c r="A36" s="42" t="inlineStr">
        <is>
          <t>Nevada</t>
        </is>
      </c>
      <c r="B36" s="42" t="n">
        <v>6</v>
      </c>
      <c r="C36" s="42" t="inlineStr">
        <is>
          <t>2026-10-10</t>
        </is>
      </c>
      <c r="D36" s="42" t="inlineStr">
        <is>
          <t>UTEP</t>
        </is>
      </c>
      <c r="E36" s="42" t="inlineStr">
        <is>
          <t>Away</t>
        </is>
      </c>
      <c r="F36" s="42" t="n">
        <v>-10</v>
      </c>
      <c r="G36" s="42" t="n">
        <v>17</v>
      </c>
      <c r="H36" s="47" t="inlineStr">
        <is>
          <t>Cover</t>
        </is>
      </c>
      <c r="I36" s="42" t="n">
        <v>7</v>
      </c>
    </row>
    <row r="37">
      <c r="A37" s="42" t="inlineStr">
        <is>
          <t>Nevada</t>
        </is>
      </c>
      <c r="B37" s="42" t="n">
        <v>7</v>
      </c>
      <c r="C37" s="42" t="inlineStr">
        <is>
          <t>2026-10-17</t>
        </is>
      </c>
      <c r="D37" s="42" t="inlineStr">
        <is>
          <t>North Dakota State</t>
        </is>
      </c>
      <c r="E37" s="42" t="inlineStr">
        <is>
          <t>Away</t>
        </is>
      </c>
      <c r="F37" s="42" t="n">
        <v>14.2</v>
      </c>
      <c r="G37" s="42" t="n">
        <v>-14</v>
      </c>
      <c r="H37" s="47" t="inlineStr">
        <is>
          <t>Cover</t>
        </is>
      </c>
      <c r="I37" s="42" t="n">
        <v>0.2</v>
      </c>
    </row>
    <row r="38">
      <c r="A38" s="42" t="inlineStr">
        <is>
          <t>Nevada</t>
        </is>
      </c>
      <c r="B38" s="42" t="n">
        <v>8</v>
      </c>
      <c r="C38" s="42" t="inlineStr">
        <is>
          <t>2026-10-24</t>
        </is>
      </c>
      <c r="D38" s="42" t="inlineStr">
        <is>
          <t>San José State</t>
        </is>
      </c>
      <c r="E38" s="42" t="inlineStr">
        <is>
          <t>Home</t>
        </is>
      </c>
      <c r="F38" s="42" t="n">
        <v>-5.8</v>
      </c>
      <c r="G38" s="42" t="n">
        <v>15</v>
      </c>
      <c r="H38" s="47" t="inlineStr">
        <is>
          <t>Cover</t>
        </is>
      </c>
      <c r="I38" s="42" t="n">
        <v>9.199999999999999</v>
      </c>
    </row>
    <row r="39">
      <c r="A39" s="42" t="inlineStr">
        <is>
          <t>New Mexico</t>
        </is>
      </c>
      <c r="B39" s="42" t="n">
        <v>1</v>
      </c>
      <c r="C39" s="42" t="inlineStr">
        <is>
          <t>2026-09-06</t>
        </is>
      </c>
      <c r="D39" s="42" t="inlineStr">
        <is>
          <t>Central Michigan</t>
        </is>
      </c>
      <c r="E39" s="42" t="inlineStr">
        <is>
          <t>Home</t>
        </is>
      </c>
      <c r="F39" s="42" t="n">
        <v>-11.2</v>
      </c>
      <c r="G39" s="42" t="n">
        <v>31</v>
      </c>
      <c r="H39" s="47" t="inlineStr">
        <is>
          <t>Cover</t>
        </is>
      </c>
      <c r="I39" s="42" t="n">
        <v>19.8</v>
      </c>
    </row>
    <row r="40">
      <c r="A40" s="42" t="inlineStr">
        <is>
          <t>New Mexico</t>
        </is>
      </c>
      <c r="B40" s="42" t="n">
        <v>2</v>
      </c>
      <c r="C40" s="42" t="inlineStr">
        <is>
          <t>2026-09-12</t>
        </is>
      </c>
      <c r="D40" s="42" t="inlineStr">
        <is>
          <t>Mercyhurst</t>
        </is>
      </c>
      <c r="E40" s="42" t="inlineStr">
        <is>
          <t>Home</t>
        </is>
      </c>
      <c r="F40" s="42" t="n">
        <v>-42.2</v>
      </c>
      <c r="G40" s="42" t="n">
        <v>63</v>
      </c>
      <c r="H40" s="47" t="inlineStr">
        <is>
          <t>Cover</t>
        </is>
      </c>
      <c r="I40" s="42" t="n">
        <v>20.8</v>
      </c>
    </row>
    <row r="41">
      <c r="A41" s="42" t="inlineStr">
        <is>
          <t>New Mexico</t>
        </is>
      </c>
      <c r="B41" s="42" t="n">
        <v>3</v>
      </c>
      <c r="C41" s="42" t="inlineStr">
        <is>
          <t>2026-09-19</t>
        </is>
      </c>
      <c r="D41" s="42" t="inlineStr">
        <is>
          <t>Oklahoma</t>
        </is>
      </c>
      <c r="E41" s="42" t="inlineStr">
        <is>
          <t>Away</t>
        </is>
      </c>
      <c r="F41" s="42" t="n">
        <v>21.2</v>
      </c>
      <c r="G41" s="42" t="n">
        <v>-8</v>
      </c>
      <c r="H41" s="47" t="inlineStr">
        <is>
          <t>Cover</t>
        </is>
      </c>
      <c r="I41" s="42" t="n">
        <v>13.2</v>
      </c>
    </row>
    <row r="42">
      <c r="A42" s="42" t="inlineStr">
        <is>
          <t>New Mexico</t>
        </is>
      </c>
      <c r="B42" s="42" t="n">
        <v>4</v>
      </c>
      <c r="C42" s="42" t="inlineStr">
        <is>
          <t>2026-09-26</t>
        </is>
      </c>
      <c r="D42" s="42" t="inlineStr">
        <is>
          <t>New Mexico State</t>
        </is>
      </c>
      <c r="E42" s="42" t="inlineStr">
        <is>
          <t>Away</t>
        </is>
      </c>
      <c r="F42" s="42" t="n">
        <v>-11.5</v>
      </c>
      <c r="G42" s="42" t="n">
        <v>24</v>
      </c>
      <c r="H42" s="47" t="inlineStr">
        <is>
          <t>Cover</t>
        </is>
      </c>
      <c r="I42" s="42" t="n">
        <v>12.5</v>
      </c>
    </row>
    <row r="43">
      <c r="A43" s="42" t="inlineStr">
        <is>
          <t>New Mexico</t>
        </is>
      </c>
      <c r="B43" s="42" t="n">
        <v>5</v>
      </c>
      <c r="C43" s="42" t="inlineStr">
        <is>
          <t>2026-10-03</t>
        </is>
      </c>
      <c r="D43" s="42" t="inlineStr">
        <is>
          <t>UTEP</t>
        </is>
      </c>
      <c r="E43" s="42" t="inlineStr">
        <is>
          <t>Home</t>
        </is>
      </c>
      <c r="F43" s="42" t="n">
        <v>-23.2</v>
      </c>
      <c r="G43" s="42" t="n">
        <v>54</v>
      </c>
      <c r="H43" s="47" t="inlineStr">
        <is>
          <t>Cover</t>
        </is>
      </c>
      <c r="I43" s="42" t="n">
        <v>30.8</v>
      </c>
    </row>
    <row r="44">
      <c r="A44" s="42" t="inlineStr">
        <is>
          <t>New Mexico</t>
        </is>
      </c>
      <c r="B44" s="42" t="n">
        <v>7</v>
      </c>
      <c r="C44" s="42" t="inlineStr">
        <is>
          <t>2026-10-18</t>
        </is>
      </c>
      <c r="D44" s="42" t="inlineStr">
        <is>
          <t>Hawai'i</t>
        </is>
      </c>
      <c r="E44" s="42" t="inlineStr">
        <is>
          <t>Away</t>
        </is>
      </c>
      <c r="F44" s="42" t="n">
        <v>-14.5</v>
      </c>
      <c r="G44" s="42" t="n">
        <v>11</v>
      </c>
      <c r="H44" s="48" t="inlineStr">
        <is>
          <t>No Cover</t>
        </is>
      </c>
      <c r="I44" s="42" t="n">
        <v>-3.5</v>
      </c>
    </row>
    <row r="45">
      <c r="A45" s="42" t="inlineStr">
        <is>
          <t>New Mexico</t>
        </is>
      </c>
      <c r="B45" s="42" t="n">
        <v>8</v>
      </c>
      <c r="C45" s="42" t="inlineStr">
        <is>
          <t>2026-10-25</t>
        </is>
      </c>
      <c r="D45" s="42" t="inlineStr">
        <is>
          <t>North Dakota State</t>
        </is>
      </c>
      <c r="E45" s="42" t="inlineStr">
        <is>
          <t>Home</t>
        </is>
      </c>
      <c r="F45" s="42" t="n">
        <v>-4.8</v>
      </c>
      <c r="G45" s="42" t="n">
        <v>5</v>
      </c>
      <c r="H45" s="47" t="inlineStr">
        <is>
          <t>Cover</t>
        </is>
      </c>
      <c r="I45" s="42" t="n">
        <v>0.2</v>
      </c>
    </row>
    <row r="46">
      <c r="A46" s="42" t="inlineStr">
        <is>
          <t>North Dakota State</t>
        </is>
      </c>
      <c r="B46" s="42" t="n">
        <v>1</v>
      </c>
      <c r="C46" s="42" t="inlineStr">
        <is>
          <t>2026-08-29</t>
        </is>
      </c>
      <c r="D46" s="42" t="inlineStr">
        <is>
          <t>Jacksonville State</t>
        </is>
      </c>
      <c r="E46" s="42" t="inlineStr">
        <is>
          <t>Home</t>
        </is>
      </c>
      <c r="F46" s="42" t="n">
        <v>-6.8</v>
      </c>
      <c r="G46" s="42" t="n">
        <v>26</v>
      </c>
      <c r="H46" s="47" t="inlineStr">
        <is>
          <t>Cover</t>
        </is>
      </c>
      <c r="I46" s="42" t="n">
        <v>19.2</v>
      </c>
    </row>
    <row r="47">
      <c r="A47" s="42" t="inlineStr">
        <is>
          <t>North Dakota State</t>
        </is>
      </c>
      <c r="B47" s="42" t="n">
        <v>1</v>
      </c>
      <c r="C47" s="42" t="inlineStr">
        <is>
          <t>2026-09-05</t>
        </is>
      </c>
      <c r="D47" s="42" t="inlineStr">
        <is>
          <t>Fordham</t>
        </is>
      </c>
      <c r="E47" s="42" t="inlineStr">
        <is>
          <t>Home</t>
        </is>
      </c>
      <c r="F47" s="42" t="n">
        <v>-41.5</v>
      </c>
      <c r="G47" s="42" t="n">
        <v>38</v>
      </c>
      <c r="H47" s="48" t="inlineStr">
        <is>
          <t>No Cover</t>
        </is>
      </c>
      <c r="I47" s="42" t="n">
        <v>-3.5</v>
      </c>
    </row>
    <row r="48">
      <c r="A48" s="42" t="inlineStr">
        <is>
          <t>North Dakota State</t>
        </is>
      </c>
      <c r="B48" s="42" t="n">
        <v>2</v>
      </c>
      <c r="C48" s="42" t="inlineStr">
        <is>
          <t>2026-09-13</t>
        </is>
      </c>
      <c r="D48" s="42" t="inlineStr">
        <is>
          <t>Air Force</t>
        </is>
      </c>
      <c r="E48" s="42" t="inlineStr">
        <is>
          <t>Away</t>
        </is>
      </c>
      <c r="F48" s="42" t="n">
        <v>-1.8</v>
      </c>
      <c r="G48" s="42" t="n">
        <v>6</v>
      </c>
      <c r="H48" s="47" t="inlineStr">
        <is>
          <t>Cover</t>
        </is>
      </c>
      <c r="I48" s="42" t="n">
        <v>4.2</v>
      </c>
    </row>
    <row r="49">
      <c r="A49" s="42" t="inlineStr">
        <is>
          <t>North Dakota State</t>
        </is>
      </c>
      <c r="B49" s="42" t="n">
        <v>3</v>
      </c>
      <c r="C49" s="42" t="inlineStr">
        <is>
          <t>2026-09-20</t>
        </is>
      </c>
      <c r="D49" s="42" t="inlineStr">
        <is>
          <t>Sacramento State</t>
        </is>
      </c>
      <c r="E49" s="42" t="inlineStr">
        <is>
          <t>Away</t>
        </is>
      </c>
      <c r="F49" s="42" t="n">
        <v>-25.5</v>
      </c>
      <c r="G49" s="42" t="n">
        <v>21</v>
      </c>
      <c r="H49" s="48" t="inlineStr">
        <is>
          <t>No Cover</t>
        </is>
      </c>
      <c r="I49" s="42" t="n">
        <v>-4.5</v>
      </c>
    </row>
    <row r="50">
      <c r="A50" s="42" t="inlineStr">
        <is>
          <t>North Dakota State</t>
        </is>
      </c>
      <c r="B50" s="42" t="n">
        <v>5</v>
      </c>
      <c r="C50" s="42" t="inlineStr">
        <is>
          <t>2026-10-03</t>
        </is>
      </c>
      <c r="D50" s="42" t="inlineStr">
        <is>
          <t>Wyoming</t>
        </is>
      </c>
      <c r="E50" s="42" t="inlineStr">
        <is>
          <t>Home</t>
        </is>
      </c>
      <c r="F50" s="42" t="n">
        <v>-17.2</v>
      </c>
      <c r="G50" s="42" t="n">
        <v>28</v>
      </c>
      <c r="H50" s="47" t="inlineStr">
        <is>
          <t>Cover</t>
        </is>
      </c>
      <c r="I50" s="42" t="n">
        <v>10.8</v>
      </c>
    </row>
    <row r="51">
      <c r="A51" s="42" t="inlineStr">
        <is>
          <t>North Dakota State</t>
        </is>
      </c>
      <c r="B51" s="42" t="n">
        <v>6</v>
      </c>
      <c r="C51" s="42" t="inlineStr">
        <is>
          <t>2026-10-10</t>
        </is>
      </c>
      <c r="D51" s="42" t="inlineStr">
        <is>
          <t>UNLV</t>
        </is>
      </c>
      <c r="E51" s="42" t="inlineStr">
        <is>
          <t>Away</t>
        </is>
      </c>
      <c r="F51" s="42" t="n">
        <v>-2.8</v>
      </c>
      <c r="G51" s="42" t="n">
        <v>-6</v>
      </c>
      <c r="H51" s="48" t="inlineStr">
        <is>
          <t>No Cover</t>
        </is>
      </c>
      <c r="I51" s="42" t="n">
        <v>-8.800000000000001</v>
      </c>
    </row>
    <row r="52">
      <c r="A52" s="42" t="inlineStr">
        <is>
          <t>North Dakota State</t>
        </is>
      </c>
      <c r="B52" s="42" t="n">
        <v>7</v>
      </c>
      <c r="C52" s="42" t="inlineStr">
        <is>
          <t>2026-10-17</t>
        </is>
      </c>
      <c r="D52" s="42" t="inlineStr">
        <is>
          <t>Nevada</t>
        </is>
      </c>
      <c r="E52" s="42" t="inlineStr">
        <is>
          <t>Home</t>
        </is>
      </c>
      <c r="F52" s="42" t="n">
        <v>-14.2</v>
      </c>
      <c r="G52" s="42" t="n">
        <v>14</v>
      </c>
      <c r="H52" s="48" t="inlineStr">
        <is>
          <t>No Cover</t>
        </is>
      </c>
      <c r="I52" s="42" t="n">
        <v>-0.2</v>
      </c>
    </row>
    <row r="53">
      <c r="A53" s="42" t="inlineStr">
        <is>
          <t>North Dakota State</t>
        </is>
      </c>
      <c r="B53" s="42" t="n">
        <v>8</v>
      </c>
      <c r="C53" s="42" t="inlineStr">
        <is>
          <t>2026-10-25</t>
        </is>
      </c>
      <c r="D53" s="42" t="inlineStr">
        <is>
          <t>New Mexico</t>
        </is>
      </c>
      <c r="E53" s="42" t="inlineStr">
        <is>
          <t>Away</t>
        </is>
      </c>
      <c r="F53" s="42" t="n">
        <v>4.8</v>
      </c>
      <c r="G53" s="42" t="n">
        <v>-5</v>
      </c>
      <c r="H53" s="48" t="inlineStr">
        <is>
          <t>No Cover</t>
        </is>
      </c>
      <c r="I53" s="42" t="n">
        <v>-0.2</v>
      </c>
    </row>
    <row r="54">
      <c r="A54" s="42" t="inlineStr">
        <is>
          <t>Northern Illinois</t>
        </is>
      </c>
      <c r="B54" s="42" t="n">
        <v>1</v>
      </c>
      <c r="C54" s="42" t="inlineStr">
        <is>
          <t>2026-09-05</t>
        </is>
      </c>
      <c r="D54" s="42" t="inlineStr">
        <is>
          <t>Iowa</t>
        </is>
      </c>
      <c r="E54" s="42" t="inlineStr">
        <is>
          <t>Away</t>
        </is>
      </c>
      <c r="F54" s="42" t="n">
        <v>31.8</v>
      </c>
      <c r="G54" s="42" t="n">
        <v>-40</v>
      </c>
      <c r="H54" s="48" t="inlineStr">
        <is>
          <t>No Cover</t>
        </is>
      </c>
      <c r="I54" s="42" t="n">
        <v>-8.199999999999999</v>
      </c>
    </row>
    <row r="55">
      <c r="A55" s="42" t="inlineStr">
        <is>
          <t>Northern Illinois</t>
        </is>
      </c>
      <c r="B55" s="42" t="n">
        <v>2</v>
      </c>
      <c r="C55" s="42" t="inlineStr">
        <is>
          <t>2026-09-12</t>
        </is>
      </c>
      <c r="D55" s="42" t="inlineStr">
        <is>
          <t>Illinois State</t>
        </is>
      </c>
      <c r="E55" s="42" t="inlineStr">
        <is>
          <t>Home</t>
        </is>
      </c>
      <c r="F55" s="42" t="n">
        <v>2.5</v>
      </c>
      <c r="G55" s="42" t="n">
        <v>-4</v>
      </c>
      <c r="H55" s="48" t="inlineStr">
        <is>
          <t>No Cover</t>
        </is>
      </c>
      <c r="I55" s="42" t="n">
        <v>-1.5</v>
      </c>
    </row>
    <row r="56">
      <c r="A56" s="42" t="inlineStr">
        <is>
          <t>Northern Illinois</t>
        </is>
      </c>
      <c r="B56" s="42" t="n">
        <v>3</v>
      </c>
      <c r="C56" s="42" t="inlineStr">
        <is>
          <t>2026-09-20</t>
        </is>
      </c>
      <c r="D56" s="42" t="inlineStr">
        <is>
          <t>Arizona</t>
        </is>
      </c>
      <c r="E56" s="42" t="inlineStr">
        <is>
          <t>Away</t>
        </is>
      </c>
      <c r="F56" s="42" t="n">
        <v>34.5</v>
      </c>
      <c r="G56" s="42" t="n">
        <v>-25</v>
      </c>
      <c r="H56" s="47" t="inlineStr">
        <is>
          <t>Cover</t>
        </is>
      </c>
      <c r="I56" s="42" t="n">
        <v>9.5</v>
      </c>
    </row>
    <row r="57">
      <c r="A57" s="42" t="inlineStr">
        <is>
          <t>Northern Illinois</t>
        </is>
      </c>
      <c r="B57" s="42" t="n">
        <v>4</v>
      </c>
      <c r="C57" s="42" t="inlineStr">
        <is>
          <t>2026-09-26</t>
        </is>
      </c>
      <c r="D57" s="42" t="inlineStr">
        <is>
          <t>Georgia State</t>
        </is>
      </c>
      <c r="E57" s="42" t="inlineStr">
        <is>
          <t>Away</t>
        </is>
      </c>
      <c r="F57" s="42" t="n">
        <v>8.800000000000001</v>
      </c>
      <c r="G57" s="42" t="n">
        <v>-21</v>
      </c>
      <c r="H57" s="48" t="inlineStr">
        <is>
          <t>No Cover</t>
        </is>
      </c>
      <c r="I57" s="42" t="n">
        <v>-12.2</v>
      </c>
    </row>
    <row r="58">
      <c r="A58" s="42" t="inlineStr">
        <is>
          <t>Northern Illinois</t>
        </is>
      </c>
      <c r="B58" s="42" t="n">
        <v>6</v>
      </c>
      <c r="C58" s="42" t="inlineStr">
        <is>
          <t>2026-10-10</t>
        </is>
      </c>
      <c r="D58" s="42" t="inlineStr">
        <is>
          <t>Air Force</t>
        </is>
      </c>
      <c r="E58" s="42" t="inlineStr">
        <is>
          <t>Home</t>
        </is>
      </c>
      <c r="F58" s="42" t="n">
        <v>7</v>
      </c>
      <c r="G58" s="42" t="n">
        <v>-21</v>
      </c>
      <c r="H58" s="48" t="inlineStr">
        <is>
          <t>No Cover</t>
        </is>
      </c>
      <c r="I58" s="42" t="n">
        <v>-14</v>
      </c>
    </row>
    <row r="59">
      <c r="A59" s="42" t="inlineStr">
        <is>
          <t>Northern Illinois</t>
        </is>
      </c>
      <c r="B59" s="42" t="n">
        <v>7</v>
      </c>
      <c r="C59" s="42" t="inlineStr">
        <is>
          <t>2026-10-17</t>
        </is>
      </c>
      <c r="D59" s="42" t="inlineStr">
        <is>
          <t>Wyoming</t>
        </is>
      </c>
      <c r="E59" s="42" t="inlineStr">
        <is>
          <t>Away</t>
        </is>
      </c>
      <c r="F59" s="42" t="n">
        <v>7.5</v>
      </c>
      <c r="G59" s="42" t="n">
        <v>-18</v>
      </c>
      <c r="H59" s="48" t="inlineStr">
        <is>
          <t>No Cover</t>
        </is>
      </c>
      <c r="I59" s="42" t="n">
        <v>-10.5</v>
      </c>
    </row>
    <row r="60">
      <c r="A60" s="42" t="inlineStr">
        <is>
          <t>Northern Illinois</t>
        </is>
      </c>
      <c r="B60" s="42" t="n">
        <v>8</v>
      </c>
      <c r="C60" s="42" t="inlineStr">
        <is>
          <t>2026-10-24</t>
        </is>
      </c>
      <c r="D60" s="42" t="inlineStr">
        <is>
          <t>Hawai'i</t>
        </is>
      </c>
      <c r="E60" s="42" t="inlineStr">
        <is>
          <t>Home</t>
        </is>
      </c>
      <c r="F60" s="42" t="n">
        <v>3</v>
      </c>
      <c r="G60" s="42" t="n">
        <v>-35</v>
      </c>
      <c r="H60" s="48" t="inlineStr">
        <is>
          <t>No Cover</t>
        </is>
      </c>
      <c r="I60" s="42" t="n">
        <v>-32</v>
      </c>
    </row>
    <row r="61">
      <c r="A61" s="42" t="inlineStr">
        <is>
          <t>San José State</t>
        </is>
      </c>
      <c r="B61" s="42" t="n">
        <v>1</v>
      </c>
      <c r="C61" s="42" t="inlineStr">
        <is>
          <t>2026-08-29</t>
        </is>
      </c>
      <c r="D61" s="42" t="inlineStr">
        <is>
          <t>USC</t>
        </is>
      </c>
      <c r="E61" s="42" t="inlineStr">
        <is>
          <t>Away</t>
        </is>
      </c>
      <c r="F61" s="42" t="n">
        <v>37.2</v>
      </c>
      <c r="G61" s="42" t="n">
        <v>-16</v>
      </c>
      <c r="H61" s="47" t="inlineStr">
        <is>
          <t>Cover</t>
        </is>
      </c>
      <c r="I61" s="42" t="n">
        <v>21.2</v>
      </c>
    </row>
    <row r="62">
      <c r="A62" s="42" t="inlineStr">
        <is>
          <t>San José State</t>
        </is>
      </c>
      <c r="B62" s="42" t="n">
        <v>1</v>
      </c>
      <c r="C62" s="42" t="inlineStr">
        <is>
          <t>2026-09-04</t>
        </is>
      </c>
      <c r="D62" s="42" t="inlineStr">
        <is>
          <t>Eastern Michigan</t>
        </is>
      </c>
      <c r="E62" s="42" t="inlineStr">
        <is>
          <t>Away</t>
        </is>
      </c>
      <c r="F62" s="42" t="n">
        <v>1.5</v>
      </c>
      <c r="G62" s="42" t="n">
        <v>6</v>
      </c>
      <c r="H62" s="47" t="inlineStr">
        <is>
          <t>Cover</t>
        </is>
      </c>
      <c r="I62" s="42" t="n">
        <v>7.5</v>
      </c>
    </row>
    <row r="63">
      <c r="A63" s="42" t="inlineStr">
        <is>
          <t>San José State</t>
        </is>
      </c>
      <c r="B63" s="42" t="n">
        <v>2</v>
      </c>
      <c r="C63" s="42" t="inlineStr">
        <is>
          <t>2026-09-13</t>
        </is>
      </c>
      <c r="D63" s="42" t="inlineStr">
        <is>
          <t>Cal Poly</t>
        </is>
      </c>
      <c r="E63" s="42" t="inlineStr">
        <is>
          <t>Home</t>
        </is>
      </c>
      <c r="F63" s="42" t="n">
        <v>-21.5</v>
      </c>
      <c r="G63" s="42" t="n">
        <v>10</v>
      </c>
      <c r="H63" s="48" t="inlineStr">
        <is>
          <t>No Cover</t>
        </is>
      </c>
      <c r="I63" s="42" t="n">
        <v>-11.5</v>
      </c>
    </row>
    <row r="64">
      <c r="A64" s="42" t="inlineStr">
        <is>
          <t>San José State</t>
        </is>
      </c>
      <c r="B64" s="42" t="n">
        <v>3</v>
      </c>
      <c r="C64" s="42" t="inlineStr">
        <is>
          <t>2026-09-20</t>
        </is>
      </c>
      <c r="D64" s="42" t="inlineStr">
        <is>
          <t>Fresno State</t>
        </is>
      </c>
      <c r="E64" s="42" t="inlineStr">
        <is>
          <t>Home</t>
        </is>
      </c>
      <c r="F64" s="42" t="n">
        <v>4</v>
      </c>
      <c r="G64" s="42" t="n">
        <v>-16</v>
      </c>
      <c r="H64" s="48" t="inlineStr">
        <is>
          <t>No Cover</t>
        </is>
      </c>
      <c r="I64" s="42" t="n">
        <v>-12</v>
      </c>
    </row>
    <row r="65">
      <c r="A65" s="42" t="inlineStr">
        <is>
          <t>San José State</t>
        </is>
      </c>
      <c r="B65" s="42" t="n">
        <v>5</v>
      </c>
      <c r="C65" s="42" t="inlineStr">
        <is>
          <t>2026-10-04</t>
        </is>
      </c>
      <c r="D65" s="42" t="inlineStr">
        <is>
          <t>Hawai'i</t>
        </is>
      </c>
      <c r="E65" s="42" t="inlineStr">
        <is>
          <t>Away</t>
        </is>
      </c>
      <c r="F65" s="42" t="n">
        <v>2.8</v>
      </c>
      <c r="G65" s="42" t="n">
        <v>4</v>
      </c>
      <c r="H65" s="47" t="inlineStr">
        <is>
          <t>Cover</t>
        </is>
      </c>
      <c r="I65" s="42" t="n">
        <v>6.8</v>
      </c>
    </row>
    <row r="66">
      <c r="A66" s="42" t="inlineStr">
        <is>
          <t>San José State</t>
        </is>
      </c>
      <c r="B66" s="42" t="n">
        <v>6</v>
      </c>
      <c r="C66" s="42" t="inlineStr">
        <is>
          <t>2026-10-10</t>
        </is>
      </c>
      <c r="D66" s="42" t="inlineStr">
        <is>
          <t>Wyoming</t>
        </is>
      </c>
      <c r="E66" s="42" t="inlineStr">
        <is>
          <t>Home</t>
        </is>
      </c>
      <c r="F66" s="42" t="n">
        <v>-4.2</v>
      </c>
      <c r="G66" s="42" t="n">
        <v>-3</v>
      </c>
      <c r="H66" s="48" t="inlineStr">
        <is>
          <t>No Cover</t>
        </is>
      </c>
      <c r="I66" s="42" t="n">
        <v>-7.2</v>
      </c>
    </row>
    <row r="67">
      <c r="A67" s="42" t="inlineStr">
        <is>
          <t>San José State</t>
        </is>
      </c>
      <c r="B67" s="42" t="n">
        <v>7</v>
      </c>
      <c r="C67" s="42" t="inlineStr">
        <is>
          <t>2026-10-18</t>
        </is>
      </c>
      <c r="D67" s="42" t="inlineStr">
        <is>
          <t>UTEP</t>
        </is>
      </c>
      <c r="E67" s="42" t="inlineStr">
        <is>
          <t>Away</t>
        </is>
      </c>
      <c r="F67" s="42" t="n">
        <v>-6.8</v>
      </c>
      <c r="G67" s="42" t="n">
        <v>13</v>
      </c>
      <c r="H67" s="47" t="inlineStr">
        <is>
          <t>Cover</t>
        </is>
      </c>
      <c r="I67" s="42" t="n">
        <v>6.2</v>
      </c>
    </row>
    <row r="68">
      <c r="A68" s="42" t="inlineStr">
        <is>
          <t>San José State</t>
        </is>
      </c>
      <c r="B68" s="42" t="n">
        <v>8</v>
      </c>
      <c r="C68" s="42" t="inlineStr">
        <is>
          <t>2026-10-24</t>
        </is>
      </c>
      <c r="D68" s="42" t="inlineStr">
        <is>
          <t>Nevada</t>
        </is>
      </c>
      <c r="E68" s="42" t="inlineStr">
        <is>
          <t>Away</t>
        </is>
      </c>
      <c r="F68" s="42" t="n">
        <v>5.8</v>
      </c>
      <c r="G68" s="42" t="n">
        <v>-15</v>
      </c>
      <c r="H68" s="48" t="inlineStr">
        <is>
          <t>No Cover</t>
        </is>
      </c>
      <c r="I68" s="42" t="n">
        <v>-9.199999999999999</v>
      </c>
    </row>
    <row r="69">
      <c r="A69" s="42" t="inlineStr">
        <is>
          <t>UNLV</t>
        </is>
      </c>
      <c r="B69" s="42" t="n">
        <v>1</v>
      </c>
      <c r="C69" s="42" t="inlineStr">
        <is>
          <t>2026-08-30</t>
        </is>
      </c>
      <c r="D69" s="42" t="inlineStr">
        <is>
          <t>Memphis</t>
        </is>
      </c>
      <c r="E69" s="42" t="inlineStr">
        <is>
          <t>Home</t>
        </is>
      </c>
      <c r="F69" s="42" t="n">
        <v>-4.8</v>
      </c>
      <c r="G69" s="42" t="n">
        <v>-6</v>
      </c>
      <c r="H69" s="48" t="inlineStr">
        <is>
          <t>No Cover</t>
        </is>
      </c>
      <c r="I69" s="42" t="n">
        <v>-10.8</v>
      </c>
    </row>
    <row r="70">
      <c r="A70" s="42" t="inlineStr">
        <is>
          <t>UNLV</t>
        </is>
      </c>
      <c r="B70" s="42" t="n">
        <v>1</v>
      </c>
      <c r="C70" s="42" t="inlineStr">
        <is>
          <t>2026-09-06</t>
        </is>
      </c>
      <c r="D70" s="42" t="inlineStr">
        <is>
          <t>Hawai'i</t>
        </is>
      </c>
      <c r="E70" s="42" t="inlineStr">
        <is>
          <t>Away</t>
        </is>
      </c>
      <c r="F70" s="42" t="n">
        <v>-2.8</v>
      </c>
      <c r="G70" s="42" t="n">
        <v>15</v>
      </c>
      <c r="H70" s="47" t="inlineStr">
        <is>
          <t>Cover</t>
        </is>
      </c>
      <c r="I70" s="42" t="n">
        <v>12.2</v>
      </c>
    </row>
    <row r="71">
      <c r="A71" s="42" t="inlineStr">
        <is>
          <t>UNLV</t>
        </is>
      </c>
      <c r="B71" s="42" t="n">
        <v>2</v>
      </c>
      <c r="C71" s="42" t="inlineStr">
        <is>
          <t>2026-09-12</t>
        </is>
      </c>
      <c r="D71" s="42" t="inlineStr">
        <is>
          <t>North Texas</t>
        </is>
      </c>
      <c r="E71" s="42" t="inlineStr">
        <is>
          <t>Away</t>
        </is>
      </c>
      <c r="F71" s="42" t="n">
        <v>-2.8</v>
      </c>
      <c r="G71" s="42" t="n">
        <v>-38</v>
      </c>
      <c r="H71" s="48" t="inlineStr">
        <is>
          <t>No Cover</t>
        </is>
      </c>
      <c r="I71" s="42" t="n">
        <v>-40.8</v>
      </c>
    </row>
    <row r="72">
      <c r="A72" s="42" t="inlineStr">
        <is>
          <t>UNLV</t>
        </is>
      </c>
      <c r="B72" s="42" t="n">
        <v>4</v>
      </c>
      <c r="C72" s="42" t="inlineStr">
        <is>
          <t>2026-09-26</t>
        </is>
      </c>
      <c r="D72" s="42" t="inlineStr">
        <is>
          <t>Akron</t>
        </is>
      </c>
      <c r="E72" s="42" t="inlineStr">
        <is>
          <t>Away</t>
        </is>
      </c>
      <c r="F72" s="42" t="n">
        <v>-13.5</v>
      </c>
      <c r="G72" s="42" t="n">
        <v>28</v>
      </c>
      <c r="H72" s="47" t="inlineStr">
        <is>
          <t>Cover</t>
        </is>
      </c>
      <c r="I72" s="42" t="n">
        <v>14.5</v>
      </c>
    </row>
    <row r="73">
      <c r="A73" s="42" t="inlineStr">
        <is>
          <t>UNLV</t>
        </is>
      </c>
      <c r="B73" s="42" t="n">
        <v>5</v>
      </c>
      <c r="C73" s="42" t="inlineStr">
        <is>
          <t>2026-10-03</t>
        </is>
      </c>
      <c r="D73" s="42" t="inlineStr">
        <is>
          <t>California</t>
        </is>
      </c>
      <c r="E73" s="42" t="inlineStr">
        <is>
          <t>Home</t>
        </is>
      </c>
      <c r="F73" s="42" t="n">
        <v>-1.8</v>
      </c>
      <c r="G73" s="42" t="n">
        <v>8</v>
      </c>
      <c r="H73" s="47" t="inlineStr">
        <is>
          <t>Cover</t>
        </is>
      </c>
      <c r="I73" s="42" t="n">
        <v>6.2</v>
      </c>
    </row>
    <row r="74">
      <c r="A74" s="42" t="inlineStr">
        <is>
          <t>UNLV</t>
        </is>
      </c>
      <c r="B74" s="42" t="n">
        <v>6</v>
      </c>
      <c r="C74" s="42" t="inlineStr">
        <is>
          <t>2026-10-10</t>
        </is>
      </c>
      <c r="D74" s="42" t="inlineStr">
        <is>
          <t>North Dakota State</t>
        </is>
      </c>
      <c r="E74" s="42" t="inlineStr">
        <is>
          <t>Home</t>
        </is>
      </c>
      <c r="F74" s="42" t="n">
        <v>2.8</v>
      </c>
      <c r="G74" s="42" t="n">
        <v>6</v>
      </c>
      <c r="H74" s="47" t="inlineStr">
        <is>
          <t>Cover</t>
        </is>
      </c>
      <c r="I74" s="42" t="n">
        <v>8.800000000000001</v>
      </c>
    </row>
    <row r="75">
      <c r="A75" s="42" t="inlineStr">
        <is>
          <t>UNLV</t>
        </is>
      </c>
      <c r="B75" s="42" t="n">
        <v>7</v>
      </c>
      <c r="C75" s="42" t="inlineStr">
        <is>
          <t>2026-10-17</t>
        </is>
      </c>
      <c r="D75" s="42" t="inlineStr">
        <is>
          <t>Air Force</t>
        </is>
      </c>
      <c r="E75" s="42" t="inlineStr">
        <is>
          <t>Away</t>
        </is>
      </c>
      <c r="F75" s="42" t="n">
        <v>0.2</v>
      </c>
      <c r="G75" s="42" t="n">
        <v>-10</v>
      </c>
      <c r="H75" s="48" t="inlineStr">
        <is>
          <t>No Cover</t>
        </is>
      </c>
      <c r="I75" s="42" t="n">
        <v>-9.800000000000001</v>
      </c>
    </row>
    <row r="76">
      <c r="A76" s="42" t="inlineStr">
        <is>
          <t>UTEP</t>
        </is>
      </c>
      <c r="B76" s="42" t="n">
        <v>1</v>
      </c>
      <c r="C76" s="42" t="inlineStr">
        <is>
          <t>2026-09-05</t>
        </is>
      </c>
      <c r="D76" s="42" t="inlineStr">
        <is>
          <t>Oklahoma</t>
        </is>
      </c>
      <c r="E76" s="42" t="inlineStr">
        <is>
          <t>Away</t>
        </is>
      </c>
      <c r="F76" s="42" t="n">
        <v>40.8</v>
      </c>
      <c r="G76" s="42" t="n">
        <v>-51</v>
      </c>
      <c r="H76" s="48" t="inlineStr">
        <is>
          <t>No Cover</t>
        </is>
      </c>
      <c r="I76" s="42" t="n">
        <v>-10.2</v>
      </c>
    </row>
    <row r="77">
      <c r="A77" s="42" t="inlineStr">
        <is>
          <t>UTEP</t>
        </is>
      </c>
      <c r="B77" s="42" t="n">
        <v>2</v>
      </c>
      <c r="C77" s="42" t="inlineStr">
        <is>
          <t>2026-09-13</t>
        </is>
      </c>
      <c r="D77" s="42" t="inlineStr">
        <is>
          <t>Texas Southern</t>
        </is>
      </c>
      <c r="E77" s="42" t="inlineStr">
        <is>
          <t>Home</t>
        </is>
      </c>
      <c r="F77" s="42" t="n">
        <v>-27.2</v>
      </c>
      <c r="G77" s="42" t="n">
        <v>41</v>
      </c>
      <c r="H77" s="47" t="inlineStr">
        <is>
          <t>Cover</t>
        </is>
      </c>
      <c r="I77" s="42" t="n">
        <v>13.8</v>
      </c>
    </row>
    <row r="78">
      <c r="A78" s="42" t="inlineStr">
        <is>
          <t>UTEP</t>
        </is>
      </c>
      <c r="B78" s="42" t="n">
        <v>3</v>
      </c>
      <c r="C78" s="42" t="inlineStr">
        <is>
          <t>2026-09-19</t>
        </is>
      </c>
      <c r="D78" s="42" t="inlineStr">
        <is>
          <t>Michigan</t>
        </is>
      </c>
      <c r="E78" s="42" t="inlineStr">
        <is>
          <t>Away</t>
        </is>
      </c>
      <c r="F78" s="42" t="n">
        <v>34.5</v>
      </c>
      <c r="G78" s="42" t="n">
        <v>-35</v>
      </c>
      <c r="H78" s="48" t="inlineStr">
        <is>
          <t>No Cover</t>
        </is>
      </c>
      <c r="I78" s="42" t="n">
        <v>-0.5</v>
      </c>
    </row>
    <row r="79">
      <c r="A79" s="42" t="inlineStr">
        <is>
          <t>UTEP</t>
        </is>
      </c>
      <c r="B79" s="42" t="n">
        <v>4</v>
      </c>
      <c r="C79" s="42" t="inlineStr">
        <is>
          <t>2026-09-27</t>
        </is>
      </c>
      <c r="D79" s="42" t="inlineStr">
        <is>
          <t>Oregon State</t>
        </is>
      </c>
      <c r="E79" s="42" t="inlineStr">
        <is>
          <t>Home</t>
        </is>
      </c>
      <c r="F79" s="42" t="n">
        <v>11.5</v>
      </c>
      <c r="G79" s="42" t="n">
        <v>-26</v>
      </c>
      <c r="H79" s="48" t="inlineStr">
        <is>
          <t>No Cover</t>
        </is>
      </c>
      <c r="I79" s="42" t="n">
        <v>-14.5</v>
      </c>
    </row>
    <row r="80">
      <c r="A80" s="42" t="inlineStr">
        <is>
          <t>UTEP</t>
        </is>
      </c>
      <c r="B80" s="42" t="n">
        <v>5</v>
      </c>
      <c r="C80" s="42" t="inlineStr">
        <is>
          <t>2026-10-03</t>
        </is>
      </c>
      <c r="D80" s="42" t="inlineStr">
        <is>
          <t>New Mexico</t>
        </is>
      </c>
      <c r="E80" s="42" t="inlineStr">
        <is>
          <t>Away</t>
        </is>
      </c>
      <c r="F80" s="42" t="n">
        <v>23.2</v>
      </c>
      <c r="G80" s="42" t="n">
        <v>-54</v>
      </c>
      <c r="H80" s="48" t="inlineStr">
        <is>
          <t>No Cover</t>
        </is>
      </c>
      <c r="I80" s="42" t="n">
        <v>-30.8</v>
      </c>
    </row>
    <row r="81">
      <c r="A81" s="42" t="inlineStr">
        <is>
          <t>UTEP</t>
        </is>
      </c>
      <c r="B81" s="42" t="n">
        <v>6</v>
      </c>
      <c r="C81" s="42" t="inlineStr">
        <is>
          <t>2026-10-10</t>
        </is>
      </c>
      <c r="D81" s="42" t="inlineStr">
        <is>
          <t>Nevada</t>
        </is>
      </c>
      <c r="E81" s="42" t="inlineStr">
        <is>
          <t>Home</t>
        </is>
      </c>
      <c r="F81" s="42" t="n">
        <v>10</v>
      </c>
      <c r="G81" s="42" t="n">
        <v>-17</v>
      </c>
      <c r="H81" s="48" t="inlineStr">
        <is>
          <t>No Cover</t>
        </is>
      </c>
      <c r="I81" s="42" t="n">
        <v>-7</v>
      </c>
    </row>
    <row r="82">
      <c r="A82" s="42" t="inlineStr">
        <is>
          <t>UTEP</t>
        </is>
      </c>
      <c r="B82" s="42" t="n">
        <v>7</v>
      </c>
      <c r="C82" s="42" t="inlineStr">
        <is>
          <t>2026-10-18</t>
        </is>
      </c>
      <c r="D82" s="42" t="inlineStr">
        <is>
          <t>San José State</t>
        </is>
      </c>
      <c r="E82" s="42" t="inlineStr">
        <is>
          <t>Home</t>
        </is>
      </c>
      <c r="F82" s="42" t="n">
        <v>6.8</v>
      </c>
      <c r="G82" s="42" t="n">
        <v>-13</v>
      </c>
      <c r="H82" s="48" t="inlineStr">
        <is>
          <t>No Cover</t>
        </is>
      </c>
      <c r="I82" s="42" t="n">
        <v>-6.2</v>
      </c>
    </row>
    <row r="83">
      <c r="A83" s="42" t="inlineStr">
        <is>
          <t>Wyoming</t>
        </is>
      </c>
      <c r="B83" s="42" t="n">
        <v>1</v>
      </c>
      <c r="C83" s="42" t="inlineStr">
        <is>
          <t>2026-09-05</t>
        </is>
      </c>
      <c r="D83" s="42" t="inlineStr">
        <is>
          <t>Colorado State</t>
        </is>
      </c>
      <c r="E83" s="42" t="inlineStr">
        <is>
          <t>Away</t>
        </is>
      </c>
      <c r="F83" s="42" t="n">
        <v>2.8</v>
      </c>
      <c r="G83" s="42" t="n">
        <v>-22</v>
      </c>
      <c r="H83" s="48" t="inlineStr">
        <is>
          <t>No Cover</t>
        </is>
      </c>
      <c r="I83" s="42" t="n">
        <v>-19.2</v>
      </c>
    </row>
    <row r="84">
      <c r="A84" s="42" t="inlineStr">
        <is>
          <t>Wyoming</t>
        </is>
      </c>
      <c r="B84" s="42" t="n">
        <v>2</v>
      </c>
      <c r="C84" s="42" t="inlineStr">
        <is>
          <t>2026-09-12</t>
        </is>
      </c>
      <c r="D84" s="42" t="inlineStr">
        <is>
          <t>Northern Colorado</t>
        </is>
      </c>
      <c r="E84" s="42" t="inlineStr">
        <is>
          <t>Home</t>
        </is>
      </c>
      <c r="F84" s="42" t="n">
        <v>-23.5</v>
      </c>
      <c r="G84" s="42" t="n">
        <v>8</v>
      </c>
      <c r="H84" s="48" t="inlineStr">
        <is>
          <t>No Cover</t>
        </is>
      </c>
      <c r="I84" s="42" t="n">
        <v>-15.5</v>
      </c>
    </row>
    <row r="85">
      <c r="A85" s="42" t="inlineStr">
        <is>
          <t>Wyoming</t>
        </is>
      </c>
      <c r="B85" s="42" t="n">
        <v>3</v>
      </c>
      <c r="C85" s="42" t="inlineStr">
        <is>
          <t>2026-09-19</t>
        </is>
      </c>
      <c r="D85" s="42" t="inlineStr">
        <is>
          <t>Central Michigan</t>
        </is>
      </c>
      <c r="E85" s="42" t="inlineStr">
        <is>
          <t>Away</t>
        </is>
      </c>
      <c r="F85" s="42" t="n">
        <v>-1.8</v>
      </c>
      <c r="G85" s="42" t="n">
        <v>-14</v>
      </c>
      <c r="H85" s="48" t="inlineStr">
        <is>
          <t>No Cover</t>
        </is>
      </c>
      <c r="I85" s="42" t="n">
        <v>-15.8</v>
      </c>
    </row>
    <row r="86">
      <c r="A86" s="42" t="inlineStr">
        <is>
          <t>Wyoming</t>
        </is>
      </c>
      <c r="B86" s="42" t="n">
        <v>4</v>
      </c>
      <c r="C86" s="42" t="inlineStr">
        <is>
          <t>2026-09-26</t>
        </is>
      </c>
      <c r="D86" s="42" t="inlineStr">
        <is>
          <t>Hawai'i</t>
        </is>
      </c>
      <c r="E86" s="42" t="inlineStr">
        <is>
          <t>Home</t>
        </is>
      </c>
      <c r="F86" s="42" t="n">
        <v>2.2</v>
      </c>
      <c r="G86" s="42" t="n">
        <v>17</v>
      </c>
      <c r="H86" s="47" t="inlineStr">
        <is>
          <t>Cover</t>
        </is>
      </c>
      <c r="I86" s="42" t="n">
        <v>19.2</v>
      </c>
    </row>
    <row r="87">
      <c r="A87" s="42" t="inlineStr">
        <is>
          <t>Wyoming</t>
        </is>
      </c>
      <c r="B87" s="42" t="n">
        <v>5</v>
      </c>
      <c r="C87" s="42" t="inlineStr">
        <is>
          <t>2026-10-03</t>
        </is>
      </c>
      <c r="D87" s="42" t="inlineStr">
        <is>
          <t>North Dakota State</t>
        </is>
      </c>
      <c r="E87" s="42" t="inlineStr">
        <is>
          <t>Away</t>
        </is>
      </c>
      <c r="F87" s="42" t="n">
        <v>17.2</v>
      </c>
      <c r="G87" s="42" t="n">
        <v>-28</v>
      </c>
      <c r="H87" s="48" t="inlineStr">
        <is>
          <t>No Cover</t>
        </is>
      </c>
      <c r="I87" s="42" t="n">
        <v>-10.8</v>
      </c>
    </row>
    <row r="88">
      <c r="A88" s="42" t="inlineStr">
        <is>
          <t>Wyoming</t>
        </is>
      </c>
      <c r="B88" s="42" t="n">
        <v>6</v>
      </c>
      <c r="C88" s="42" t="inlineStr">
        <is>
          <t>2026-10-10</t>
        </is>
      </c>
      <c r="D88" s="42" t="inlineStr">
        <is>
          <t>San José State</t>
        </is>
      </c>
      <c r="E88" s="42" t="inlineStr">
        <is>
          <t>Away</t>
        </is>
      </c>
      <c r="F88" s="42" t="n">
        <v>4.2</v>
      </c>
      <c r="G88" s="42" t="n">
        <v>3</v>
      </c>
      <c r="H88" s="47" t="inlineStr">
        <is>
          <t>Cover</t>
        </is>
      </c>
      <c r="I88" s="42" t="n">
        <v>7.2</v>
      </c>
    </row>
    <row r="89">
      <c r="A89" s="42" t="inlineStr">
        <is>
          <t>Wyoming</t>
        </is>
      </c>
      <c r="B89" s="42" t="n">
        <v>7</v>
      </c>
      <c r="C89" s="42" t="inlineStr">
        <is>
          <t>2026-10-17</t>
        </is>
      </c>
      <c r="D89" s="42" t="inlineStr">
        <is>
          <t>Northern Illinois</t>
        </is>
      </c>
      <c r="E89" s="42" t="inlineStr">
        <is>
          <t>Home</t>
        </is>
      </c>
      <c r="F89" s="42" t="n">
        <v>-7.5</v>
      </c>
      <c r="G89" s="42" t="n">
        <v>18</v>
      </c>
      <c r="H89" s="47" t="inlineStr">
        <is>
          <t>Cover</t>
        </is>
      </c>
      <c r="I89" s="42" t="n">
        <v>10.5</v>
      </c>
    </row>
    <row r="90">
      <c r="A90" s="42" t="inlineStr">
        <is>
          <t>Wyoming</t>
        </is>
      </c>
      <c r="B90" s="42" t="n">
        <v>8</v>
      </c>
      <c r="C90" s="42" t="inlineStr">
        <is>
          <t>2026-10-24</t>
        </is>
      </c>
      <c r="D90" s="42" t="inlineStr">
        <is>
          <t>Air Force</t>
        </is>
      </c>
      <c r="E90" s="42" t="inlineStr">
        <is>
          <t>Home</t>
        </is>
      </c>
      <c r="F90" s="42" t="n">
        <v>7</v>
      </c>
      <c r="G90" s="42" t="n">
        <v>14</v>
      </c>
      <c r="H90" s="47" t="inlineStr">
        <is>
          <t>Cover</t>
        </is>
      </c>
      <c r="I90" s="42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0" workbookViewId="0">
      <selection activeCell="A1" sqref="A1"/>
    </sheetView>
  </sheetViews>
  <sheetFormatPr baseColWidth="8" defaultRowHeight="14.5"/>
  <cols>
    <col width="22" customWidth="1" min="1" max="1"/>
    <col width="10" customWidth="1" min="2" max="2"/>
    <col width="8" customWidth="1" min="3" max="3"/>
    <col width="10" customWidth="1" min="4" max="4"/>
    <col width="11" customWidth="1" min="5" max="5"/>
    <col width="10" customWidth="1" min="6" max="6"/>
    <col width="18" customWidth="1" min="7" max="7"/>
  </cols>
  <sheetData>
    <row r="1" ht="15.65" customHeight="1">
      <c r="A1" s="41" t="inlineStr">
        <is>
          <t>Strength of Record -- 2026 Season (resets every season -- see column notes below)</t>
        </is>
      </c>
    </row>
    <row r="3">
      <c r="A3" s="44" t="inlineStr">
        <is>
          <t>SOR = wins above what an exactly-average FBS team would've earned against this exact schedule. Rank Gap = Elo Rank minus SOR Rank -- a big positive number means the Elo rating (no preseason blend, so it's all this season's results) is running ahead of what the resume actually supports.</t>
        </is>
      </c>
    </row>
    <row r="5" ht="26.5" customHeight="1">
      <c r="A5" s="46" t="inlineStr">
        <is>
          <t>Team</t>
        </is>
      </c>
      <c r="B5" s="46" t="inlineStr">
        <is>
          <t>W-L (FBS)</t>
        </is>
      </c>
      <c r="C5" s="46" t="inlineStr">
        <is>
          <t>SOR</t>
        </is>
      </c>
      <c r="D5" s="46" t="inlineStr">
        <is>
          <t>SOR Rank</t>
        </is>
      </c>
      <c r="E5" s="46" t="inlineStr">
        <is>
          <t>Elo Rating</t>
        </is>
      </c>
      <c r="F5" s="46" t="inlineStr">
        <is>
          <t>Elo Rank</t>
        </is>
      </c>
      <c r="G5" s="46" t="inlineStr">
        <is>
          <t>Rank Gap (Elo - SOR)</t>
        </is>
      </c>
    </row>
    <row r="6">
      <c r="A6" s="42" t="inlineStr">
        <is>
          <t>UCLA</t>
        </is>
      </c>
      <c r="B6" s="42" t="inlineStr">
        <is>
          <t>7-0</t>
        </is>
      </c>
      <c r="C6" s="42" t="n">
        <v>3.7</v>
      </c>
      <c r="D6" s="42" t="n">
        <v>1</v>
      </c>
      <c r="E6" s="42" t="n">
        <v>1629.2</v>
      </c>
      <c r="F6" s="42" t="n">
        <v>38</v>
      </c>
      <c r="G6" s="49" t="n">
        <v>37</v>
      </c>
    </row>
    <row r="7">
      <c r="A7" s="42" t="inlineStr">
        <is>
          <t>Kentucky</t>
        </is>
      </c>
      <c r="B7" s="42" t="inlineStr">
        <is>
          <t>6-1</t>
        </is>
      </c>
      <c r="C7" s="42" t="n">
        <v>3.56</v>
      </c>
      <c r="D7" s="42" t="n">
        <v>2</v>
      </c>
      <c r="E7" s="42" t="n">
        <v>1634.9</v>
      </c>
      <c r="F7" s="42" t="n">
        <v>36</v>
      </c>
      <c r="G7" s="49" t="n">
        <v>34</v>
      </c>
    </row>
    <row r="8">
      <c r="A8" s="42" t="inlineStr">
        <is>
          <t>Indiana</t>
        </is>
      </c>
      <c r="B8" s="42" t="inlineStr">
        <is>
          <t>6-1</t>
        </is>
      </c>
      <c r="C8" s="42" t="n">
        <v>3.44</v>
      </c>
      <c r="D8" s="42" t="n">
        <v>3</v>
      </c>
      <c r="E8" s="42" t="n">
        <v>1849.2</v>
      </c>
      <c r="F8" s="42" t="n">
        <v>2</v>
      </c>
      <c r="G8" s="42" t="n">
        <v>-1</v>
      </c>
    </row>
    <row r="9">
      <c r="A9" s="42" t="inlineStr">
        <is>
          <t>Miami</t>
        </is>
      </c>
      <c r="B9" s="42" t="inlineStr">
        <is>
          <t>6-0</t>
        </is>
      </c>
      <c r="C9" s="42" t="n">
        <v>3.38</v>
      </c>
      <c r="D9" s="42" t="n">
        <v>4</v>
      </c>
      <c r="E9" s="42" t="n">
        <v>1824.3</v>
      </c>
      <c r="F9" s="42" t="n">
        <v>3</v>
      </c>
      <c r="G9" s="42" t="n">
        <v>-1</v>
      </c>
    </row>
    <row r="10">
      <c r="A10" s="42" t="inlineStr">
        <is>
          <t>UTSA</t>
        </is>
      </c>
      <c r="B10" s="42" t="inlineStr">
        <is>
          <t>6-1</t>
        </is>
      </c>
      <c r="C10" s="42" t="n">
        <v>3.19</v>
      </c>
      <c r="D10" s="42" t="n">
        <v>5</v>
      </c>
      <c r="E10" s="42" t="n">
        <v>1682.9</v>
      </c>
      <c r="F10" s="42" t="n">
        <v>21</v>
      </c>
      <c r="G10" s="49" t="n">
        <v>16</v>
      </c>
    </row>
    <row r="11">
      <c r="A11" s="42" t="inlineStr">
        <is>
          <t>Utah</t>
        </is>
      </c>
      <c r="B11" s="42" t="inlineStr">
        <is>
          <t>6-0</t>
        </is>
      </c>
      <c r="C11" s="42" t="n">
        <v>3.11</v>
      </c>
      <c r="D11" s="42" t="n">
        <v>6</v>
      </c>
      <c r="E11" s="42" t="n">
        <v>1774.3</v>
      </c>
      <c r="F11" s="42" t="n">
        <v>6</v>
      </c>
      <c r="G11" s="42" t="n">
        <v>0</v>
      </c>
    </row>
    <row r="12">
      <c r="A12" s="42" t="inlineStr">
        <is>
          <t>Ohio State</t>
        </is>
      </c>
      <c r="B12" s="42" t="inlineStr">
        <is>
          <t>6-1</t>
        </is>
      </c>
      <c r="C12" s="42" t="n">
        <v>3.03</v>
      </c>
      <c r="D12" s="42" t="n">
        <v>7</v>
      </c>
      <c r="E12" s="42" t="n">
        <v>1855.8</v>
      </c>
      <c r="F12" s="42" t="n">
        <v>1</v>
      </c>
      <c r="G12" s="42" t="n">
        <v>-6</v>
      </c>
    </row>
    <row r="13">
      <c r="A13" s="42" t="inlineStr">
        <is>
          <t>Alabama</t>
        </is>
      </c>
      <c r="B13" s="42" t="inlineStr">
        <is>
          <t>6-2</t>
        </is>
      </c>
      <c r="C13" s="42" t="n">
        <v>3.03</v>
      </c>
      <c r="D13" s="42" t="n">
        <v>8</v>
      </c>
      <c r="E13" s="42" t="n">
        <v>1750.7</v>
      </c>
      <c r="F13" s="42" t="n">
        <v>10</v>
      </c>
      <c r="G13" s="42" t="n">
        <v>2</v>
      </c>
    </row>
    <row r="14">
      <c r="A14" s="42" t="inlineStr">
        <is>
          <t>Wake Forest</t>
        </is>
      </c>
      <c r="B14" s="42" t="inlineStr">
        <is>
          <t>6-1</t>
        </is>
      </c>
      <c r="C14" s="42" t="n">
        <v>2.99</v>
      </c>
      <c r="D14" s="42" t="n">
        <v>9</v>
      </c>
      <c r="E14" s="42" t="n">
        <v>1658.8</v>
      </c>
      <c r="F14" s="42" t="n">
        <v>27</v>
      </c>
      <c r="G14" s="49" t="n">
        <v>18</v>
      </c>
    </row>
    <row r="15">
      <c r="A15" s="42" t="inlineStr">
        <is>
          <t>Boise State</t>
        </is>
      </c>
      <c r="B15" s="42" t="inlineStr">
        <is>
          <t>5-1</t>
        </is>
      </c>
      <c r="C15" s="42" t="n">
        <v>2.87</v>
      </c>
      <c r="D15" s="42" t="n">
        <v>10</v>
      </c>
      <c r="E15" s="42" t="n">
        <v>1720</v>
      </c>
      <c r="F15" s="42" t="n">
        <v>15</v>
      </c>
      <c r="G15" s="42" t="n">
        <v>5</v>
      </c>
    </row>
    <row r="16">
      <c r="A16" s="42" t="inlineStr">
        <is>
          <t>BYU</t>
        </is>
      </c>
      <c r="B16" s="42" t="inlineStr">
        <is>
          <t>5-1</t>
        </is>
      </c>
      <c r="C16" s="42" t="n">
        <v>2.83</v>
      </c>
      <c r="D16" s="42" t="n">
        <v>11</v>
      </c>
      <c r="E16" s="42" t="n">
        <v>1742.3</v>
      </c>
      <c r="F16" s="42" t="n">
        <v>12</v>
      </c>
      <c r="G16" s="42" t="n">
        <v>1</v>
      </c>
    </row>
    <row r="17">
      <c r="A17" s="42" t="inlineStr">
        <is>
          <t>James Madison</t>
        </is>
      </c>
      <c r="B17" s="42" t="inlineStr">
        <is>
          <t>6-1</t>
        </is>
      </c>
      <c r="C17" s="42" t="n">
        <v>2.79</v>
      </c>
      <c r="D17" s="42" t="n">
        <v>12</v>
      </c>
      <c r="E17" s="42" t="n">
        <v>1764.1</v>
      </c>
      <c r="F17" s="42" t="n">
        <v>8</v>
      </c>
      <c r="G17" s="42" t="n">
        <v>-4</v>
      </c>
    </row>
    <row r="18">
      <c r="A18" s="42" t="inlineStr">
        <is>
          <t>Texas</t>
        </is>
      </c>
      <c r="B18" s="42" t="inlineStr">
        <is>
          <t>5-2</t>
        </is>
      </c>
      <c r="C18" s="42" t="n">
        <v>2.68</v>
      </c>
      <c r="D18" s="42" t="n">
        <v>13</v>
      </c>
      <c r="E18" s="42" t="n">
        <v>1759.2</v>
      </c>
      <c r="F18" s="42" t="n">
        <v>9</v>
      </c>
      <c r="G18" s="42" t="n">
        <v>-4</v>
      </c>
    </row>
    <row r="19">
      <c r="A19" s="42" t="inlineStr">
        <is>
          <t>USC</t>
        </is>
      </c>
      <c r="B19" s="42" t="inlineStr">
        <is>
          <t>6-2</t>
        </is>
      </c>
      <c r="C19" s="42" t="n">
        <v>2.65</v>
      </c>
      <c r="D19" s="42" t="n">
        <v>14</v>
      </c>
      <c r="E19" s="42" t="n">
        <v>1673.9</v>
      </c>
      <c r="F19" s="42" t="n">
        <v>23</v>
      </c>
      <c r="G19" s="42" t="n">
        <v>9</v>
      </c>
    </row>
    <row r="20">
      <c r="A20" s="42" t="inlineStr">
        <is>
          <t>Georgia</t>
        </is>
      </c>
      <c r="B20" s="42" t="inlineStr">
        <is>
          <t>5-1</t>
        </is>
      </c>
      <c r="C20" s="42" t="n">
        <v>2.61</v>
      </c>
      <c r="D20" s="42" t="n">
        <v>15</v>
      </c>
      <c r="E20" s="42" t="n">
        <v>1822.2</v>
      </c>
      <c r="F20" s="42" t="n">
        <v>4</v>
      </c>
      <c r="G20" s="42" t="n">
        <v>-11</v>
      </c>
    </row>
    <row r="21">
      <c r="A21" s="42" t="inlineStr">
        <is>
          <t>Ole Miss</t>
        </is>
      </c>
      <c r="B21" s="42" t="inlineStr">
        <is>
          <t>5-2</t>
        </is>
      </c>
      <c r="C21" s="42" t="n">
        <v>2.53</v>
      </c>
      <c r="D21" s="42" t="n">
        <v>16</v>
      </c>
      <c r="E21" s="42" t="n">
        <v>1767.1</v>
      </c>
      <c r="F21" s="42" t="n">
        <v>7</v>
      </c>
      <c r="G21" s="42" t="n">
        <v>-9</v>
      </c>
    </row>
    <row r="22">
      <c r="A22" s="42" t="inlineStr">
        <is>
          <t>Notre Dame</t>
        </is>
      </c>
      <c r="B22" s="42" t="inlineStr">
        <is>
          <t>6-1</t>
        </is>
      </c>
      <c r="C22" s="42" t="n">
        <v>2.49</v>
      </c>
      <c r="D22" s="42" t="n">
        <v>17</v>
      </c>
      <c r="E22" s="42" t="n">
        <v>1805.4</v>
      </c>
      <c r="F22" s="42" t="n">
        <v>5</v>
      </c>
      <c r="G22" s="42" t="n">
        <v>-12</v>
      </c>
    </row>
    <row r="23">
      <c r="A23" s="42" t="inlineStr">
        <is>
          <t>LSU</t>
        </is>
      </c>
      <c r="B23" s="42" t="inlineStr">
        <is>
          <t>5-2</t>
        </is>
      </c>
      <c r="C23" s="42" t="n">
        <v>2.44</v>
      </c>
      <c r="D23" s="42" t="n">
        <v>18</v>
      </c>
      <c r="E23" s="42" t="n">
        <v>1713.3</v>
      </c>
      <c r="F23" s="42" t="n">
        <v>17</v>
      </c>
      <c r="G23" s="42" t="n">
        <v>-1</v>
      </c>
    </row>
    <row r="24">
      <c r="A24" s="42" t="inlineStr">
        <is>
          <t>Arizona</t>
        </is>
      </c>
      <c r="B24" s="42" t="inlineStr">
        <is>
          <t>5-1</t>
        </is>
      </c>
      <c r="C24" s="42" t="n">
        <v>2.44</v>
      </c>
      <c r="D24" s="42" t="n">
        <v>19</v>
      </c>
      <c r="E24" s="42" t="n">
        <v>1708.1</v>
      </c>
      <c r="F24" s="42" t="n">
        <v>19</v>
      </c>
      <c r="G24" s="42" t="n">
        <v>0</v>
      </c>
    </row>
    <row r="25">
      <c r="A25" s="42" t="inlineStr">
        <is>
          <t>Tennessee</t>
        </is>
      </c>
      <c r="B25" s="42" t="inlineStr">
        <is>
          <t>5-2</t>
        </is>
      </c>
      <c r="C25" s="42" t="n">
        <v>2.37</v>
      </c>
      <c r="D25" s="42" t="n">
        <v>20</v>
      </c>
      <c r="E25" s="42" t="n">
        <v>1709.8</v>
      </c>
      <c r="F25" s="42" t="n">
        <v>18</v>
      </c>
      <c r="G25" s="42" t="n">
        <v>-2</v>
      </c>
    </row>
    <row r="26">
      <c r="A26" s="42" t="inlineStr">
        <is>
          <t>Houston</t>
        </is>
      </c>
      <c r="B26" s="42" t="inlineStr">
        <is>
          <t>5-2</t>
        </is>
      </c>
      <c r="C26" s="42" t="n">
        <v>2.23</v>
      </c>
      <c r="D26" s="42" t="n">
        <v>21</v>
      </c>
      <c r="E26" s="42" t="n">
        <v>1662</v>
      </c>
      <c r="F26" s="42" t="n">
        <v>25</v>
      </c>
      <c r="G26" s="42" t="n">
        <v>4</v>
      </c>
    </row>
    <row r="27">
      <c r="A27" s="42" t="inlineStr">
        <is>
          <t>Virginia Tech</t>
        </is>
      </c>
      <c r="B27" s="42" t="inlineStr">
        <is>
          <t>5-2</t>
        </is>
      </c>
      <c r="C27" s="42" t="n">
        <v>2.15</v>
      </c>
      <c r="D27" s="42" t="n">
        <v>22</v>
      </c>
      <c r="E27" s="42" t="n">
        <v>1576.7</v>
      </c>
      <c r="F27" s="42" t="n">
        <v>64</v>
      </c>
      <c r="G27" s="49" t="n">
        <v>42</v>
      </c>
    </row>
    <row r="28">
      <c r="A28" s="42" t="inlineStr">
        <is>
          <t>Northwestern</t>
        </is>
      </c>
      <c r="B28" s="42" t="inlineStr">
        <is>
          <t>5-1</t>
        </is>
      </c>
      <c r="C28" s="42" t="n">
        <v>2.12</v>
      </c>
      <c r="D28" s="42" t="n">
        <v>23</v>
      </c>
      <c r="E28" s="42" t="n">
        <v>1640.9</v>
      </c>
      <c r="F28" s="42" t="n">
        <v>34</v>
      </c>
      <c r="G28" s="42" t="n">
        <v>11</v>
      </c>
    </row>
    <row r="29">
      <c r="A29" s="42" t="inlineStr">
        <is>
          <t>Liberty</t>
        </is>
      </c>
      <c r="B29" s="42" t="inlineStr">
        <is>
          <t>5-1</t>
        </is>
      </c>
      <c r="C29" s="42" t="n">
        <v>2.06</v>
      </c>
      <c r="D29" s="42" t="n">
        <v>24</v>
      </c>
      <c r="E29" s="42" t="n">
        <v>1603.3</v>
      </c>
      <c r="F29" s="42" t="n">
        <v>48</v>
      </c>
      <c r="G29" s="49" t="n">
        <v>24</v>
      </c>
    </row>
    <row r="30">
      <c r="A30" s="42" t="inlineStr">
        <is>
          <t>New Mexico</t>
        </is>
      </c>
      <c r="B30" s="42" t="inlineStr">
        <is>
          <t>5-1</t>
        </is>
      </c>
      <c r="C30" s="42" t="n">
        <v>2.05</v>
      </c>
      <c r="D30" s="42" t="n">
        <v>25</v>
      </c>
      <c r="E30" s="42" t="n">
        <v>1644.3</v>
      </c>
      <c r="F30" s="42" t="n">
        <v>31</v>
      </c>
      <c r="G30" s="42" t="n">
        <v>6</v>
      </c>
    </row>
    <row r="31">
      <c r="A31" s="42" t="inlineStr">
        <is>
          <t>Texas Tech</t>
        </is>
      </c>
      <c r="B31" s="42" t="inlineStr">
        <is>
          <t>5-1</t>
        </is>
      </c>
      <c r="C31" s="42" t="n">
        <v>1.98</v>
      </c>
      <c r="D31" s="42" t="n">
        <v>26</v>
      </c>
      <c r="E31" s="42" t="n">
        <v>1728.9</v>
      </c>
      <c r="F31" s="42" t="n">
        <v>13</v>
      </c>
      <c r="G31" s="42" t="n">
        <v>-13</v>
      </c>
    </row>
    <row r="32">
      <c r="A32" s="42" t="inlineStr">
        <is>
          <t>SMU</t>
        </is>
      </c>
      <c r="B32" s="42" t="inlineStr">
        <is>
          <t>5-1</t>
        </is>
      </c>
      <c r="C32" s="42" t="n">
        <v>1.96</v>
      </c>
      <c r="D32" s="42" t="n">
        <v>27</v>
      </c>
      <c r="E32" s="42" t="n">
        <v>1717.5</v>
      </c>
      <c r="F32" s="42" t="n">
        <v>16</v>
      </c>
      <c r="G32" s="42" t="n">
        <v>-11</v>
      </c>
    </row>
    <row r="33">
      <c r="A33" s="42" t="inlineStr">
        <is>
          <t>Iowa</t>
        </is>
      </c>
      <c r="B33" s="42" t="inlineStr">
        <is>
          <t>4-2</t>
        </is>
      </c>
      <c r="C33" s="42" t="n">
        <v>1.96</v>
      </c>
      <c r="D33" s="42" t="n">
        <v>28</v>
      </c>
      <c r="E33" s="42" t="n">
        <v>1700</v>
      </c>
      <c r="F33" s="42" t="n">
        <v>20</v>
      </c>
      <c r="G33" s="42" t="n">
        <v>-8</v>
      </c>
    </row>
    <row r="34">
      <c r="A34" s="42" t="inlineStr">
        <is>
          <t>Missouri</t>
        </is>
      </c>
      <c r="B34" s="42" t="inlineStr">
        <is>
          <t>4-2</t>
        </is>
      </c>
      <c r="C34" s="42" t="n">
        <v>1.91</v>
      </c>
      <c r="D34" s="42" t="n">
        <v>29</v>
      </c>
      <c r="E34" s="42" t="n">
        <v>1672.9</v>
      </c>
      <c r="F34" s="42" t="n">
        <v>24</v>
      </c>
      <c r="G34" s="42" t="n">
        <v>-5</v>
      </c>
    </row>
    <row r="35">
      <c r="A35" s="42" t="inlineStr">
        <is>
          <t>Florida</t>
        </is>
      </c>
      <c r="B35" s="42" t="inlineStr">
        <is>
          <t>4-2</t>
        </is>
      </c>
      <c r="C35" s="42" t="n">
        <v>1.82</v>
      </c>
      <c r="D35" s="42" t="n">
        <v>30</v>
      </c>
      <c r="E35" s="42" t="n">
        <v>1592.7</v>
      </c>
      <c r="F35" s="42" t="n">
        <v>54</v>
      </c>
      <c r="G35" s="49" t="n">
        <v>24</v>
      </c>
    </row>
    <row r="36">
      <c r="A36" s="42" t="inlineStr">
        <is>
          <t>Wisconsin</t>
        </is>
      </c>
      <c r="B36" s="42" t="inlineStr">
        <is>
          <t>4-2</t>
        </is>
      </c>
      <c r="C36" s="42" t="n">
        <v>1.75</v>
      </c>
      <c r="D36" s="42" t="n">
        <v>31</v>
      </c>
      <c r="E36" s="42" t="n">
        <v>1588.8</v>
      </c>
      <c r="F36" s="42" t="n">
        <v>57</v>
      </c>
      <c r="G36" s="49" t="n">
        <v>26</v>
      </c>
    </row>
    <row r="37">
      <c r="A37" s="42" t="inlineStr">
        <is>
          <t>Memphis</t>
        </is>
      </c>
      <c r="B37" s="42" t="inlineStr">
        <is>
          <t>5-2</t>
        </is>
      </c>
      <c r="C37" s="42" t="n">
        <v>1.73</v>
      </c>
      <c r="D37" s="42" t="n">
        <v>32</v>
      </c>
      <c r="E37" s="42" t="n">
        <v>1621.6</v>
      </c>
      <c r="F37" s="42" t="n">
        <v>40</v>
      </c>
      <c r="G37" s="42" t="n">
        <v>8</v>
      </c>
    </row>
    <row r="38">
      <c r="A38" s="42" t="inlineStr">
        <is>
          <t>North Dakota State</t>
        </is>
      </c>
      <c r="B38" s="42" t="inlineStr">
        <is>
          <t>5-2</t>
        </is>
      </c>
      <c r="C38" s="42" t="n">
        <v>1.72</v>
      </c>
      <c r="D38" s="42" t="n">
        <v>33</v>
      </c>
      <c r="E38" s="42" t="n">
        <v>1726.7</v>
      </c>
      <c r="F38" s="42" t="n">
        <v>14</v>
      </c>
      <c r="G38" s="42" t="n">
        <v>-19</v>
      </c>
    </row>
    <row r="39">
      <c r="A39" s="42" t="inlineStr">
        <is>
          <t>Nebraska</t>
        </is>
      </c>
      <c r="B39" s="42" t="inlineStr">
        <is>
          <t>4-2</t>
        </is>
      </c>
      <c r="C39" s="42" t="n">
        <v>1.54</v>
      </c>
      <c r="D39" s="42" t="n">
        <v>34</v>
      </c>
      <c r="E39" s="42" t="n">
        <v>1621.1</v>
      </c>
      <c r="F39" s="42" t="n">
        <v>41</v>
      </c>
      <c r="G39" s="42" t="n">
        <v>7</v>
      </c>
    </row>
    <row r="40">
      <c r="A40" s="42" t="inlineStr">
        <is>
          <t>Cincinnati</t>
        </is>
      </c>
      <c r="B40" s="42" t="inlineStr">
        <is>
          <t>4-2</t>
        </is>
      </c>
      <c r="C40" s="42" t="n">
        <v>1.53</v>
      </c>
      <c r="D40" s="42" t="n">
        <v>35</v>
      </c>
      <c r="E40" s="42" t="n">
        <v>1591.3</v>
      </c>
      <c r="F40" s="42" t="n">
        <v>55</v>
      </c>
      <c r="G40" s="49" t="n">
        <v>20</v>
      </c>
    </row>
    <row r="41">
      <c r="A41" s="42" t="inlineStr">
        <is>
          <t>North Texas</t>
        </is>
      </c>
      <c r="B41" s="42" t="inlineStr">
        <is>
          <t>4-2</t>
        </is>
      </c>
      <c r="C41" s="42" t="n">
        <v>1.46</v>
      </c>
      <c r="D41" s="42" t="n">
        <v>36</v>
      </c>
      <c r="E41" s="42" t="n">
        <v>1655.5</v>
      </c>
      <c r="F41" s="42" t="n">
        <v>28</v>
      </c>
      <c r="G41" s="42" t="n">
        <v>-8</v>
      </c>
    </row>
    <row r="42">
      <c r="A42" s="42" t="inlineStr">
        <is>
          <t>Duke</t>
        </is>
      </c>
      <c r="B42" s="42" t="inlineStr">
        <is>
          <t>4-2</t>
        </is>
      </c>
      <c r="C42" s="42" t="n">
        <v>1.45</v>
      </c>
      <c r="D42" s="42" t="n">
        <v>37</v>
      </c>
      <c r="E42" s="42" t="n">
        <v>1660.6</v>
      </c>
      <c r="F42" s="42" t="n">
        <v>26</v>
      </c>
      <c r="G42" s="42" t="n">
        <v>-11</v>
      </c>
    </row>
    <row r="43">
      <c r="A43" s="42" t="inlineStr">
        <is>
          <t>Mississippi State</t>
        </is>
      </c>
      <c r="B43" s="42" t="inlineStr">
        <is>
          <t>4-3</t>
        </is>
      </c>
      <c r="C43" s="42" t="n">
        <v>1.44</v>
      </c>
      <c r="D43" s="42" t="n">
        <v>38</v>
      </c>
      <c r="E43" s="42" t="n">
        <v>1517.2</v>
      </c>
      <c r="F43" s="42" t="n">
        <v>84</v>
      </c>
      <c r="G43" s="49" t="n">
        <v>46</v>
      </c>
    </row>
    <row r="44">
      <c r="A44" s="42" t="inlineStr">
        <is>
          <t>Oklahoma</t>
        </is>
      </c>
      <c r="B44" s="42" t="inlineStr">
        <is>
          <t>4-3</t>
        </is>
      </c>
      <c r="C44" s="42" t="n">
        <v>1.44</v>
      </c>
      <c r="D44" s="42" t="n">
        <v>39</v>
      </c>
      <c r="E44" s="42" t="n">
        <v>1649.6</v>
      </c>
      <c r="F44" s="42" t="n">
        <v>29</v>
      </c>
      <c r="G44" s="42" t="n">
        <v>-10</v>
      </c>
    </row>
    <row r="45">
      <c r="A45" s="42" t="inlineStr">
        <is>
          <t>Oklahoma State</t>
        </is>
      </c>
      <c r="B45" s="42" t="inlineStr">
        <is>
          <t>4-2</t>
        </is>
      </c>
      <c r="C45" s="42" t="n">
        <v>1.44</v>
      </c>
      <c r="D45" s="42" t="n">
        <v>40</v>
      </c>
      <c r="E45" s="42" t="n">
        <v>1503.1</v>
      </c>
      <c r="F45" s="42" t="n">
        <v>94</v>
      </c>
      <c r="G45" s="49" t="n">
        <v>54</v>
      </c>
    </row>
    <row r="46">
      <c r="A46" s="42" t="inlineStr">
        <is>
          <t>Auburn</t>
        </is>
      </c>
      <c r="B46" s="42" t="inlineStr">
        <is>
          <t>4-3</t>
        </is>
      </c>
      <c r="C46" s="42" t="n">
        <v>1.44</v>
      </c>
      <c r="D46" s="42" t="n">
        <v>41</v>
      </c>
      <c r="E46" s="42" t="n">
        <v>1542.6</v>
      </c>
      <c r="F46" s="42" t="n">
        <v>74</v>
      </c>
      <c r="G46" s="49" t="n">
        <v>33</v>
      </c>
    </row>
    <row r="47">
      <c r="A47" s="42" t="inlineStr">
        <is>
          <t>Minnesota</t>
        </is>
      </c>
      <c r="B47" s="42" t="inlineStr">
        <is>
          <t>4-2</t>
        </is>
      </c>
      <c r="C47" s="42" t="n">
        <v>1.35</v>
      </c>
      <c r="D47" s="42" t="n">
        <v>42</v>
      </c>
      <c r="E47" s="42" t="n">
        <v>1589.7</v>
      </c>
      <c r="F47" s="42" t="n">
        <v>56</v>
      </c>
      <c r="G47" s="42" t="n">
        <v>14</v>
      </c>
    </row>
    <row r="48">
      <c r="A48" s="42" t="inlineStr">
        <is>
          <t>Ohio</t>
        </is>
      </c>
      <c r="B48" s="42" t="inlineStr">
        <is>
          <t>5-2</t>
        </is>
      </c>
      <c r="C48" s="42" t="n">
        <v>1.31</v>
      </c>
      <c r="D48" s="42" t="n">
        <v>43</v>
      </c>
      <c r="E48" s="42" t="n">
        <v>1643.5</v>
      </c>
      <c r="F48" s="42" t="n">
        <v>32</v>
      </c>
      <c r="G48" s="42" t="n">
        <v>-11</v>
      </c>
    </row>
    <row r="49">
      <c r="A49" s="42" t="inlineStr">
        <is>
          <t>App State</t>
        </is>
      </c>
      <c r="B49" s="42" t="inlineStr">
        <is>
          <t>4-2</t>
        </is>
      </c>
      <c r="C49" s="42" t="n">
        <v>1.31</v>
      </c>
      <c r="D49" s="42" t="n">
        <v>44</v>
      </c>
      <c r="E49" s="42" t="n">
        <v>1516.4</v>
      </c>
      <c r="F49" s="42" t="n">
        <v>85</v>
      </c>
      <c r="G49" s="49" t="n">
        <v>41</v>
      </c>
    </row>
    <row r="50">
      <c r="A50" s="42" t="inlineStr">
        <is>
          <t>Jacksonville State</t>
        </is>
      </c>
      <c r="B50" s="42" t="inlineStr">
        <is>
          <t>4-2</t>
        </is>
      </c>
      <c r="C50" s="42" t="n">
        <v>1.27</v>
      </c>
      <c r="D50" s="42" t="n">
        <v>45</v>
      </c>
      <c r="E50" s="42" t="n">
        <v>1593.5</v>
      </c>
      <c r="F50" s="42" t="n">
        <v>53</v>
      </c>
      <c r="G50" s="42" t="n">
        <v>8</v>
      </c>
    </row>
    <row r="51">
      <c r="A51" s="42" t="inlineStr">
        <is>
          <t>Air Force</t>
        </is>
      </c>
      <c r="B51" s="42" t="inlineStr">
        <is>
          <t>4-2</t>
        </is>
      </c>
      <c r="C51" s="42" t="n">
        <v>1.26</v>
      </c>
      <c r="D51" s="42" t="n">
        <v>46</v>
      </c>
      <c r="E51" s="42" t="n">
        <v>1539.2</v>
      </c>
      <c r="F51" s="42" t="n">
        <v>75</v>
      </c>
      <c r="G51" s="49" t="n">
        <v>29</v>
      </c>
    </row>
    <row r="52">
      <c r="A52" s="42" t="inlineStr">
        <is>
          <t>Michigan</t>
        </is>
      </c>
      <c r="B52" s="42" t="inlineStr">
        <is>
          <t>4-3</t>
        </is>
      </c>
      <c r="C52" s="42" t="n">
        <v>1.26</v>
      </c>
      <c r="D52" s="42" t="n">
        <v>47</v>
      </c>
      <c r="E52" s="42" t="n">
        <v>1646.2</v>
      </c>
      <c r="F52" s="42" t="n">
        <v>30</v>
      </c>
      <c r="G52" s="42" t="n">
        <v>-17</v>
      </c>
    </row>
    <row r="53">
      <c r="A53" s="42" t="inlineStr">
        <is>
          <t>Louisiana Tech</t>
        </is>
      </c>
      <c r="B53" s="42" t="inlineStr">
        <is>
          <t>4-2</t>
        </is>
      </c>
      <c r="C53" s="42" t="n">
        <v>1.17</v>
      </c>
      <c r="D53" s="42" t="n">
        <v>48</v>
      </c>
      <c r="E53" s="42" t="n">
        <v>1560.2</v>
      </c>
      <c r="F53" s="42" t="n">
        <v>67</v>
      </c>
      <c r="G53" s="49" t="n">
        <v>19</v>
      </c>
    </row>
    <row r="54">
      <c r="A54" s="42" t="inlineStr">
        <is>
          <t>Toledo</t>
        </is>
      </c>
      <c r="B54" s="42" t="inlineStr">
        <is>
          <t>5-2</t>
        </is>
      </c>
      <c r="C54" s="42" t="n">
        <v>1.15</v>
      </c>
      <c r="D54" s="42" t="n">
        <v>49</v>
      </c>
      <c r="E54" s="42" t="n">
        <v>1618.6</v>
      </c>
      <c r="F54" s="42" t="n">
        <v>42</v>
      </c>
      <c r="G54" s="42" t="n">
        <v>-7</v>
      </c>
    </row>
    <row r="55">
      <c r="A55" s="42" t="inlineStr">
        <is>
          <t>Army</t>
        </is>
      </c>
      <c r="B55" s="42" t="inlineStr">
        <is>
          <t>4-2</t>
        </is>
      </c>
      <c r="C55" s="42" t="n">
        <v>1.15</v>
      </c>
      <c r="D55" s="42" t="n">
        <v>50</v>
      </c>
      <c r="E55" s="42" t="n">
        <v>1635.8</v>
      </c>
      <c r="F55" s="42" t="n">
        <v>35</v>
      </c>
      <c r="G55" s="42" t="n">
        <v>-15</v>
      </c>
    </row>
    <row r="56">
      <c r="A56" s="42" t="inlineStr">
        <is>
          <t>UNLV</t>
        </is>
      </c>
      <c r="B56" s="42" t="inlineStr">
        <is>
          <t>4-3</t>
        </is>
      </c>
      <c r="C56" s="42" t="n">
        <v>1.13</v>
      </c>
      <c r="D56" s="42" t="n">
        <v>51</v>
      </c>
      <c r="E56" s="42" t="n">
        <v>1613.9</v>
      </c>
      <c r="F56" s="42" t="n">
        <v>44</v>
      </c>
      <c r="G56" s="42" t="n">
        <v>-7</v>
      </c>
    </row>
    <row r="57">
      <c r="A57" s="42" t="inlineStr">
        <is>
          <t>North Carolina</t>
        </is>
      </c>
      <c r="B57" s="42" t="inlineStr">
        <is>
          <t>3-3</t>
        </is>
      </c>
      <c r="C57" s="42" t="n">
        <v>1.13</v>
      </c>
      <c r="D57" s="42" t="n">
        <v>52</v>
      </c>
      <c r="E57" s="42" t="n">
        <v>1530.5</v>
      </c>
      <c r="F57" s="42" t="n">
        <v>81</v>
      </c>
      <c r="G57" s="49" t="n">
        <v>29</v>
      </c>
    </row>
    <row r="58">
      <c r="A58" s="42" t="inlineStr">
        <is>
          <t>Oregon State</t>
        </is>
      </c>
      <c r="B58" s="42" t="inlineStr">
        <is>
          <t>4-2</t>
        </is>
      </c>
      <c r="C58" s="42" t="n">
        <v>1.11</v>
      </c>
      <c r="D58" s="42" t="n">
        <v>53</v>
      </c>
      <c r="E58" s="42" t="n">
        <v>1547.2</v>
      </c>
      <c r="F58" s="42" t="n">
        <v>73</v>
      </c>
      <c r="G58" s="49" t="n">
        <v>20</v>
      </c>
    </row>
    <row r="59">
      <c r="A59" s="42" t="inlineStr">
        <is>
          <t>West Virginia</t>
        </is>
      </c>
      <c r="B59" s="42" t="inlineStr">
        <is>
          <t>4-3</t>
        </is>
      </c>
      <c r="C59" s="42" t="n">
        <v>0.99</v>
      </c>
      <c r="D59" s="42" t="n">
        <v>54</v>
      </c>
      <c r="E59" s="42" t="n">
        <v>1523.2</v>
      </c>
      <c r="F59" s="42" t="n">
        <v>83</v>
      </c>
      <c r="G59" s="49" t="n">
        <v>29</v>
      </c>
    </row>
    <row r="60">
      <c r="A60" s="42" t="inlineStr">
        <is>
          <t>Florida Atlantic</t>
        </is>
      </c>
      <c r="B60" s="42" t="inlineStr">
        <is>
          <t>4-2</t>
        </is>
      </c>
      <c r="C60" s="42" t="n">
        <v>0.98</v>
      </c>
      <c r="D60" s="42" t="n">
        <v>55</v>
      </c>
      <c r="E60" s="42" t="n">
        <v>1484.9</v>
      </c>
      <c r="F60" s="42" t="n">
        <v>101</v>
      </c>
      <c r="G60" s="49" t="n">
        <v>46</v>
      </c>
    </row>
    <row r="61">
      <c r="A61" s="42" t="inlineStr">
        <is>
          <t>Western Michigan</t>
        </is>
      </c>
      <c r="B61" s="42" t="inlineStr">
        <is>
          <t>4-3</t>
        </is>
      </c>
      <c r="C61" s="42" t="n">
        <v>0.97</v>
      </c>
      <c r="D61" s="42" t="n">
        <v>56</v>
      </c>
      <c r="E61" s="42" t="n">
        <v>1601.1</v>
      </c>
      <c r="F61" s="42" t="n">
        <v>49</v>
      </c>
      <c r="G61" s="42" t="n">
        <v>-7</v>
      </c>
    </row>
    <row r="62">
      <c r="A62" s="42" t="inlineStr">
        <is>
          <t>South Florida</t>
        </is>
      </c>
      <c r="B62" s="42" t="inlineStr">
        <is>
          <t>4-2</t>
        </is>
      </c>
      <c r="C62" s="42" t="n">
        <v>0.87</v>
      </c>
      <c r="D62" s="42" t="n">
        <v>57</v>
      </c>
      <c r="E62" s="42" t="n">
        <v>1615.1</v>
      </c>
      <c r="F62" s="42" t="n">
        <v>43</v>
      </c>
      <c r="G62" s="42" t="n">
        <v>-14</v>
      </c>
    </row>
    <row r="63">
      <c r="A63" s="42" t="inlineStr">
        <is>
          <t>Fresno State</t>
        </is>
      </c>
      <c r="B63" s="42" t="inlineStr">
        <is>
          <t>4-3</t>
        </is>
      </c>
      <c r="C63" s="42" t="n">
        <v>0.84</v>
      </c>
      <c r="D63" s="42" t="n">
        <v>58</v>
      </c>
      <c r="E63" s="42" t="n">
        <v>1599.3</v>
      </c>
      <c r="F63" s="42" t="n">
        <v>50</v>
      </c>
      <c r="G63" s="42" t="n">
        <v>-8</v>
      </c>
    </row>
    <row r="64">
      <c r="A64" s="42" t="inlineStr">
        <is>
          <t>Pittsburgh</t>
        </is>
      </c>
      <c r="B64" s="42" t="inlineStr">
        <is>
          <t>4-3</t>
        </is>
      </c>
      <c r="C64" s="42" t="n">
        <v>0.73</v>
      </c>
      <c r="D64" s="42" t="n">
        <v>59</v>
      </c>
      <c r="E64" s="42" t="n">
        <v>1588</v>
      </c>
      <c r="F64" s="42" t="n">
        <v>60</v>
      </c>
      <c r="G64" s="42" t="n">
        <v>1</v>
      </c>
    </row>
    <row r="65">
      <c r="A65" s="42" t="inlineStr">
        <is>
          <t>Louisville</t>
        </is>
      </c>
      <c r="B65" s="42" t="inlineStr">
        <is>
          <t>3-3</t>
        </is>
      </c>
      <c r="C65" s="42" t="n">
        <v>0.72</v>
      </c>
      <c r="D65" s="42" t="n">
        <v>60</v>
      </c>
      <c r="E65" s="42" t="n">
        <v>1675.4</v>
      </c>
      <c r="F65" s="42" t="n">
        <v>22</v>
      </c>
      <c r="G65" s="42" t="n">
        <v>-38</v>
      </c>
    </row>
    <row r="66">
      <c r="A66" s="42" t="inlineStr">
        <is>
          <t>UCF</t>
        </is>
      </c>
      <c r="B66" s="42" t="inlineStr">
        <is>
          <t>3-3</t>
        </is>
      </c>
      <c r="C66" s="42" t="n">
        <v>0.7</v>
      </c>
      <c r="D66" s="42" t="n">
        <v>61</v>
      </c>
      <c r="E66" s="42" t="n">
        <v>1531.8</v>
      </c>
      <c r="F66" s="42" t="n">
        <v>80</v>
      </c>
      <c r="G66" s="49" t="n">
        <v>19</v>
      </c>
    </row>
    <row r="67">
      <c r="A67" s="42" t="inlineStr">
        <is>
          <t>Arizona State</t>
        </is>
      </c>
      <c r="B67" s="42" t="inlineStr">
        <is>
          <t>3-3</t>
        </is>
      </c>
      <c r="C67" s="42" t="n">
        <v>0.62</v>
      </c>
      <c r="D67" s="42" t="n">
        <v>62</v>
      </c>
      <c r="E67" s="42" t="n">
        <v>1588.1</v>
      </c>
      <c r="F67" s="42" t="n">
        <v>59</v>
      </c>
      <c r="G67" s="42" t="n">
        <v>-3</v>
      </c>
    </row>
    <row r="68">
      <c r="A68" s="42" t="inlineStr">
        <is>
          <t>Oregon</t>
        </is>
      </c>
      <c r="B68" s="42" t="inlineStr">
        <is>
          <t>3-3</t>
        </is>
      </c>
      <c r="C68" s="42" t="n">
        <v>0.58</v>
      </c>
      <c r="D68" s="42" t="n">
        <v>63</v>
      </c>
      <c r="E68" s="42" t="n">
        <v>1742.5</v>
      </c>
      <c r="F68" s="42" t="n">
        <v>11</v>
      </c>
      <c r="G68" s="42" t="n">
        <v>-52</v>
      </c>
    </row>
    <row r="69">
      <c r="A69" s="42" t="inlineStr">
        <is>
          <t>Stanford</t>
        </is>
      </c>
      <c r="B69" s="42" t="inlineStr">
        <is>
          <t>3-4</t>
        </is>
      </c>
      <c r="C69" s="42" t="n">
        <v>0.58</v>
      </c>
      <c r="D69" s="42" t="n">
        <v>64</v>
      </c>
      <c r="E69" s="42" t="n">
        <v>1480.9</v>
      </c>
      <c r="F69" s="42" t="n">
        <v>102</v>
      </c>
      <c r="G69" s="49" t="n">
        <v>38</v>
      </c>
    </row>
    <row r="70">
      <c r="A70" s="42" t="inlineStr">
        <is>
          <t>Idaho State</t>
        </is>
      </c>
      <c r="B70" s="42" t="inlineStr">
        <is>
          <t>1-0</t>
        </is>
      </c>
      <c r="C70" s="42" t="n">
        <v>0.57</v>
      </c>
      <c r="D70" s="42" t="n">
        <v>65</v>
      </c>
      <c r="E70" s="42" t="n">
        <v>1459.7</v>
      </c>
      <c r="F70" s="42" t="n">
        <v>117</v>
      </c>
      <c r="G70" s="49" t="n">
        <v>52</v>
      </c>
    </row>
    <row r="71">
      <c r="A71" s="42" t="inlineStr">
        <is>
          <t>South Carolina</t>
        </is>
      </c>
      <c r="B71" s="42" t="inlineStr">
        <is>
          <t>3-3</t>
        </is>
      </c>
      <c r="C71" s="42" t="n">
        <v>0.51</v>
      </c>
      <c r="D71" s="42" t="n">
        <v>66</v>
      </c>
      <c r="E71" s="42" t="n">
        <v>1586.9</v>
      </c>
      <c r="F71" s="42" t="n">
        <v>61</v>
      </c>
      <c r="G71" s="42" t="n">
        <v>-5</v>
      </c>
    </row>
    <row r="72">
      <c r="A72" s="42" t="inlineStr">
        <is>
          <t>Montana State</t>
        </is>
      </c>
      <c r="B72" s="42" t="inlineStr">
        <is>
          <t>1-0</t>
        </is>
      </c>
      <c r="C72" s="42" t="n">
        <v>0.51</v>
      </c>
      <c r="D72" s="42" t="n">
        <v>67</v>
      </c>
      <c r="E72" s="42" t="n">
        <v>1505.4</v>
      </c>
      <c r="F72" s="42" t="n">
        <v>92</v>
      </c>
      <c r="G72" s="49" t="n">
        <v>25</v>
      </c>
    </row>
    <row r="73">
      <c r="A73" s="42" t="inlineStr">
        <is>
          <t>Tarleton State</t>
        </is>
      </c>
      <c r="B73" s="42" t="inlineStr">
        <is>
          <t>1-0</t>
        </is>
      </c>
      <c r="C73" s="42" t="n">
        <v>0.5</v>
      </c>
      <c r="D73" s="42" t="n">
        <v>68</v>
      </c>
      <c r="E73" s="42" t="n">
        <v>1505.7</v>
      </c>
      <c r="F73" s="42" t="n">
        <v>91</v>
      </c>
      <c r="G73" s="49" t="n">
        <v>23</v>
      </c>
    </row>
    <row r="74">
      <c r="A74" s="42" t="inlineStr">
        <is>
          <t>Boston College</t>
        </is>
      </c>
      <c r="B74" s="42" t="inlineStr">
        <is>
          <t>3-3</t>
        </is>
      </c>
      <c r="C74" s="42" t="n">
        <v>0.5</v>
      </c>
      <c r="D74" s="42" t="n">
        <v>69</v>
      </c>
      <c r="E74" s="42" t="n">
        <v>1504.3</v>
      </c>
      <c r="F74" s="42" t="n">
        <v>93</v>
      </c>
      <c r="G74" s="49" t="n">
        <v>24</v>
      </c>
    </row>
    <row r="75">
      <c r="A75" s="42" t="inlineStr">
        <is>
          <t>Wyoming</t>
        </is>
      </c>
      <c r="B75" s="42" t="inlineStr">
        <is>
          <t>4-3</t>
        </is>
      </c>
      <c r="C75" s="42" t="n">
        <v>0.49</v>
      </c>
      <c r="D75" s="42" t="n">
        <v>70</v>
      </c>
      <c r="E75" s="42" t="n">
        <v>1487.6</v>
      </c>
      <c r="F75" s="42" t="n">
        <v>100</v>
      </c>
      <c r="G75" s="49" t="n">
        <v>30</v>
      </c>
    </row>
    <row r="76">
      <c r="A76" s="42" t="inlineStr">
        <is>
          <t>Clemson</t>
        </is>
      </c>
      <c r="B76" s="42" t="inlineStr">
        <is>
          <t>3-3</t>
        </is>
      </c>
      <c r="C76" s="42" t="n">
        <v>0.47</v>
      </c>
      <c r="D76" s="42" t="n">
        <v>71</v>
      </c>
      <c r="E76" s="42" t="n">
        <v>1610.7</v>
      </c>
      <c r="F76" s="42" t="n">
        <v>46</v>
      </c>
      <c r="G76" s="42" t="n">
        <v>-25</v>
      </c>
    </row>
    <row r="77">
      <c r="A77" s="42" t="inlineStr">
        <is>
          <t>Illinois State</t>
        </is>
      </c>
      <c r="B77" s="42" t="inlineStr">
        <is>
          <t>1-0</t>
        </is>
      </c>
      <c r="C77" s="42" t="n">
        <v>0.47</v>
      </c>
      <c r="D77" s="42" t="n">
        <v>72</v>
      </c>
      <c r="E77" s="42" t="n">
        <v>1460.9</v>
      </c>
      <c r="F77" s="42" t="n">
        <v>115</v>
      </c>
      <c r="G77" s="49" t="n">
        <v>43</v>
      </c>
    </row>
    <row r="78">
      <c r="A78" s="42" t="inlineStr">
        <is>
          <t>Georgia State</t>
        </is>
      </c>
      <c r="B78" s="42" t="inlineStr">
        <is>
          <t>3-3</t>
        </is>
      </c>
      <c r="C78" s="42" t="n">
        <v>0.46</v>
      </c>
      <c r="D78" s="42" t="n">
        <v>73</v>
      </c>
      <c r="E78" s="42" t="n">
        <v>1459.7</v>
      </c>
      <c r="F78" s="42" t="n">
        <v>116</v>
      </c>
      <c r="G78" s="49" t="n">
        <v>43</v>
      </c>
    </row>
    <row r="79">
      <c r="A79" s="42" t="inlineStr">
        <is>
          <t>UAB</t>
        </is>
      </c>
      <c r="B79" s="42" t="inlineStr">
        <is>
          <t>3-3</t>
        </is>
      </c>
      <c r="C79" s="42" t="n">
        <v>0.46</v>
      </c>
      <c r="D79" s="42" t="n">
        <v>74</v>
      </c>
      <c r="E79" s="42" t="n">
        <v>1469.5</v>
      </c>
      <c r="F79" s="42" t="n">
        <v>113</v>
      </c>
      <c r="G79" s="49" t="n">
        <v>39</v>
      </c>
    </row>
    <row r="80">
      <c r="A80" s="42" t="inlineStr">
        <is>
          <t>Kansas State</t>
        </is>
      </c>
      <c r="B80" s="42" t="inlineStr">
        <is>
          <t>3-3</t>
        </is>
      </c>
      <c r="C80" s="42" t="n">
        <v>0.45</v>
      </c>
      <c r="D80" s="42" t="n">
        <v>75</v>
      </c>
      <c r="E80" s="42" t="n">
        <v>1596.1</v>
      </c>
      <c r="F80" s="42" t="n">
        <v>51</v>
      </c>
      <c r="G80" s="42" t="n">
        <v>-24</v>
      </c>
    </row>
    <row r="81">
      <c r="A81" s="42" t="inlineStr">
        <is>
          <t>Washington</t>
        </is>
      </c>
      <c r="B81" s="42" t="inlineStr">
        <is>
          <t>3-3</t>
        </is>
      </c>
      <c r="C81" s="42" t="n">
        <v>0.37</v>
      </c>
      <c r="D81" s="42" t="n">
        <v>76</v>
      </c>
      <c r="E81" s="42" t="n">
        <v>1642.1</v>
      </c>
      <c r="F81" s="42" t="n">
        <v>33</v>
      </c>
      <c r="G81" s="42" t="n">
        <v>-43</v>
      </c>
    </row>
    <row r="82">
      <c r="A82" s="42" t="inlineStr">
        <is>
          <t>Illinois</t>
        </is>
      </c>
      <c r="B82" s="42" t="inlineStr">
        <is>
          <t>3-3</t>
        </is>
      </c>
      <c r="C82" s="42" t="n">
        <v>0.36</v>
      </c>
      <c r="D82" s="42" t="n">
        <v>77</v>
      </c>
      <c r="E82" s="42" t="n">
        <v>1609.2</v>
      </c>
      <c r="F82" s="42" t="n">
        <v>47</v>
      </c>
      <c r="G82" s="42" t="n">
        <v>-30</v>
      </c>
    </row>
    <row r="83">
      <c r="A83" s="42" t="inlineStr">
        <is>
          <t>South Alabama</t>
        </is>
      </c>
      <c r="B83" s="42" t="inlineStr">
        <is>
          <t>3-3</t>
        </is>
      </c>
      <c r="C83" s="42" t="n">
        <v>0.34</v>
      </c>
      <c r="D83" s="42" t="n">
        <v>78</v>
      </c>
      <c r="E83" s="42" t="n">
        <v>1509.7</v>
      </c>
      <c r="F83" s="42" t="n">
        <v>88</v>
      </c>
      <c r="G83" s="42" t="n">
        <v>10</v>
      </c>
    </row>
    <row r="84">
      <c r="A84" s="42" t="inlineStr">
        <is>
          <t>Louisiana</t>
        </is>
      </c>
      <c r="B84" s="42" t="inlineStr">
        <is>
          <t>4-3</t>
        </is>
      </c>
      <c r="C84" s="42" t="n">
        <v>0.31</v>
      </c>
      <c r="D84" s="42" t="n">
        <v>79</v>
      </c>
      <c r="E84" s="42" t="n">
        <v>1558.9</v>
      </c>
      <c r="F84" s="42" t="n">
        <v>68</v>
      </c>
      <c r="G84" s="42" t="n">
        <v>-11</v>
      </c>
    </row>
    <row r="85">
      <c r="A85" s="42" t="inlineStr">
        <is>
          <t>Miami (OH)</t>
        </is>
      </c>
      <c r="B85" s="42" t="inlineStr">
        <is>
          <t>4-3</t>
        </is>
      </c>
      <c r="C85" s="42" t="n">
        <v>0.31</v>
      </c>
      <c r="D85" s="42" t="n">
        <v>80</v>
      </c>
      <c r="E85" s="42" t="n">
        <v>1538</v>
      </c>
      <c r="F85" s="42" t="n">
        <v>76</v>
      </c>
      <c r="G85" s="42" t="n">
        <v>-4</v>
      </c>
    </row>
    <row r="86">
      <c r="A86" s="42" t="inlineStr">
        <is>
          <t>Marshall</t>
        </is>
      </c>
      <c r="B86" s="42" t="inlineStr">
        <is>
          <t>3-3</t>
        </is>
      </c>
      <c r="C86" s="42" t="n">
        <v>0.25</v>
      </c>
      <c r="D86" s="42" t="n">
        <v>81</v>
      </c>
      <c r="E86" s="42" t="n">
        <v>1537.3</v>
      </c>
      <c r="F86" s="42" t="n">
        <v>77</v>
      </c>
      <c r="G86" s="42" t="n">
        <v>-4</v>
      </c>
    </row>
    <row r="87">
      <c r="A87" s="42" t="inlineStr">
        <is>
          <t>Baylor</t>
        </is>
      </c>
      <c r="B87" s="42" t="inlineStr">
        <is>
          <t>3-3</t>
        </is>
      </c>
      <c r="C87" s="42" t="n">
        <v>0.23</v>
      </c>
      <c r="D87" s="42" t="n">
        <v>82</v>
      </c>
      <c r="E87" s="42" t="n">
        <v>1574.1</v>
      </c>
      <c r="F87" s="42" t="n">
        <v>65</v>
      </c>
      <c r="G87" s="42" t="n">
        <v>-17</v>
      </c>
    </row>
    <row r="88">
      <c r="A88" s="42" t="inlineStr">
        <is>
          <t>Texas State</t>
        </is>
      </c>
      <c r="B88" s="42" t="inlineStr">
        <is>
          <t>3-3</t>
        </is>
      </c>
      <c r="C88" s="42" t="n">
        <v>0.22</v>
      </c>
      <c r="D88" s="42" t="n">
        <v>83</v>
      </c>
      <c r="E88" s="42" t="n">
        <v>1595.6</v>
      </c>
      <c r="F88" s="42" t="n">
        <v>52</v>
      </c>
      <c r="G88" s="42" t="n">
        <v>-31</v>
      </c>
    </row>
    <row r="89">
      <c r="A89" s="42" t="inlineStr">
        <is>
          <t>Buffalo</t>
        </is>
      </c>
      <c r="B89" s="42" t="inlineStr">
        <is>
          <t>3-3</t>
        </is>
      </c>
      <c r="C89" s="42" t="n">
        <v>0.18</v>
      </c>
      <c r="D89" s="42" t="n">
        <v>84</v>
      </c>
      <c r="E89" s="42" t="n">
        <v>1508.3</v>
      </c>
      <c r="F89" s="42" t="n">
        <v>89</v>
      </c>
      <c r="G89" s="42" t="n">
        <v>5</v>
      </c>
    </row>
    <row r="90">
      <c r="A90" s="42" t="inlineStr">
        <is>
          <t>Texas A&amp;M</t>
        </is>
      </c>
      <c r="B90" s="42" t="inlineStr">
        <is>
          <t>3-4</t>
        </is>
      </c>
      <c r="C90" s="42" t="n">
        <v>0.16</v>
      </c>
      <c r="D90" s="42" t="n">
        <v>85</v>
      </c>
      <c r="E90" s="42" t="n">
        <v>1631.1</v>
      </c>
      <c r="F90" s="42" t="n">
        <v>37</v>
      </c>
      <c r="G90" s="42" t="n">
        <v>-48</v>
      </c>
    </row>
    <row r="91">
      <c r="A91" s="42" t="inlineStr">
        <is>
          <t>Middle Tennessee</t>
        </is>
      </c>
      <c r="B91" s="42" t="inlineStr">
        <is>
          <t>3-3</t>
        </is>
      </c>
      <c r="C91" s="42" t="n">
        <v>0.16</v>
      </c>
      <c r="D91" s="42" t="n">
        <v>86</v>
      </c>
      <c r="E91" s="42" t="n">
        <v>1411.5</v>
      </c>
      <c r="F91" s="42" t="n">
        <v>203</v>
      </c>
      <c r="G91" s="49" t="n">
        <v>117</v>
      </c>
    </row>
    <row r="92">
      <c r="A92" s="42" t="inlineStr">
        <is>
          <t>Tulane</t>
        </is>
      </c>
      <c r="B92" s="42" t="inlineStr">
        <is>
          <t>3-4</t>
        </is>
      </c>
      <c r="C92" s="42" t="n">
        <v>0.15</v>
      </c>
      <c r="D92" s="42" t="n">
        <v>87</v>
      </c>
      <c r="E92" s="42" t="n">
        <v>1588.3</v>
      </c>
      <c r="F92" s="42" t="n">
        <v>58</v>
      </c>
      <c r="G92" s="42" t="n">
        <v>-29</v>
      </c>
    </row>
    <row r="93">
      <c r="A93" s="42" t="inlineStr">
        <is>
          <t>Arkansas</t>
        </is>
      </c>
      <c r="B93" s="42" t="inlineStr">
        <is>
          <t>2-4</t>
        </is>
      </c>
      <c r="C93" s="42" t="n">
        <v>0.12</v>
      </c>
      <c r="D93" s="42" t="n">
        <v>88</v>
      </c>
      <c r="E93" s="42" t="n">
        <v>1510.4</v>
      </c>
      <c r="F93" s="42" t="n">
        <v>87</v>
      </c>
      <c r="G93" s="42" t="n">
        <v>-1</v>
      </c>
    </row>
    <row r="94">
      <c r="A94" s="42" t="inlineStr">
        <is>
          <t>The Citadel</t>
        </is>
      </c>
      <c r="B94" s="42" t="inlineStr">
        <is>
          <t>1-1</t>
        </is>
      </c>
      <c r="C94" s="42" t="n">
        <v>0.1</v>
      </c>
      <c r="D94" s="42" t="n">
        <v>89</v>
      </c>
      <c r="E94" s="42" t="n">
        <v>1445.8</v>
      </c>
      <c r="F94" s="42" t="n">
        <v>133</v>
      </c>
      <c r="G94" s="49" t="n">
        <v>44</v>
      </c>
    </row>
    <row r="95">
      <c r="A95" s="42" t="inlineStr">
        <is>
          <t>Florida State</t>
        </is>
      </c>
      <c r="B95" s="42" t="inlineStr">
        <is>
          <t>2-4</t>
        </is>
      </c>
      <c r="C95" s="42" t="n">
        <v>0.05</v>
      </c>
      <c r="D95" s="42" t="n">
        <v>90</v>
      </c>
      <c r="E95" s="42" t="n">
        <v>1534.4</v>
      </c>
      <c r="F95" s="42" t="n">
        <v>78</v>
      </c>
      <c r="G95" s="42" t="n">
        <v>-12</v>
      </c>
    </row>
    <row r="96">
      <c r="A96" s="42" t="inlineStr">
        <is>
          <t>Utah State</t>
        </is>
      </c>
      <c r="B96" s="42" t="inlineStr">
        <is>
          <t>2-4</t>
        </is>
      </c>
      <c r="C96" s="42" t="n">
        <v>0.01</v>
      </c>
      <c r="D96" s="42" t="n">
        <v>91</v>
      </c>
      <c r="E96" s="42" t="n">
        <v>1457.3</v>
      </c>
      <c r="F96" s="42" t="n">
        <v>120</v>
      </c>
      <c r="G96" s="49" t="n">
        <v>29</v>
      </c>
    </row>
    <row r="97">
      <c r="A97" s="42" t="inlineStr">
        <is>
          <t>Penn State</t>
        </is>
      </c>
      <c r="B97" s="42" t="inlineStr">
        <is>
          <t>3-4</t>
        </is>
      </c>
      <c r="C97" s="42" t="n">
        <v>-0.07000000000000001</v>
      </c>
      <c r="D97" s="42" t="n">
        <v>92</v>
      </c>
      <c r="E97" s="42" t="n">
        <v>1628</v>
      </c>
      <c r="F97" s="42" t="n">
        <v>39</v>
      </c>
      <c r="G97" s="42" t="n">
        <v>-53</v>
      </c>
    </row>
    <row r="98">
      <c r="A98" s="42" t="inlineStr">
        <is>
          <t>SE Louisiana</t>
        </is>
      </c>
      <c r="B98" s="42" t="inlineStr">
        <is>
          <t>1-1</t>
        </is>
      </c>
      <c r="C98" s="42" t="n">
        <v>-0.07000000000000001</v>
      </c>
      <c r="D98" s="42" t="n">
        <v>93</v>
      </c>
      <c r="E98" s="42" t="n">
        <v>1412.1</v>
      </c>
      <c r="F98" s="42" t="n">
        <v>201</v>
      </c>
      <c r="G98" s="49" t="n">
        <v>108</v>
      </c>
    </row>
    <row r="99">
      <c r="A99" s="42" t="inlineStr">
        <is>
          <t>Virginia</t>
        </is>
      </c>
      <c r="B99" s="42" t="inlineStr">
        <is>
          <t>3-4</t>
        </is>
      </c>
      <c r="C99" s="42" t="n">
        <v>-0.08</v>
      </c>
      <c r="D99" s="42" t="n">
        <v>94</v>
      </c>
      <c r="E99" s="42" t="n">
        <v>1565.5</v>
      </c>
      <c r="F99" s="42" t="n">
        <v>66</v>
      </c>
      <c r="G99" s="42" t="n">
        <v>-28</v>
      </c>
    </row>
    <row r="100">
      <c r="A100" s="42" t="inlineStr">
        <is>
          <t>Iowa State</t>
        </is>
      </c>
      <c r="B100" s="42" t="inlineStr">
        <is>
          <t>2-4</t>
        </is>
      </c>
      <c r="C100" s="42" t="n">
        <v>-0.1</v>
      </c>
      <c r="D100" s="42" t="n">
        <v>95</v>
      </c>
      <c r="E100" s="42" t="n">
        <v>1578.5</v>
      </c>
      <c r="F100" s="42" t="n">
        <v>63</v>
      </c>
      <c r="G100" s="42" t="n">
        <v>-32</v>
      </c>
    </row>
    <row r="101">
      <c r="A101" s="42" t="inlineStr">
        <is>
          <t>Tennessee State</t>
        </is>
      </c>
      <c r="B101" s="42" t="inlineStr">
        <is>
          <t>0-1</t>
        </is>
      </c>
      <c r="C101" s="42" t="n">
        <v>-0.12</v>
      </c>
      <c r="D101" s="42" t="n">
        <v>96</v>
      </c>
      <c r="E101" s="42" t="n">
        <v>1447.4</v>
      </c>
      <c r="F101" s="42" t="n">
        <v>132</v>
      </c>
      <c r="G101" s="49" t="n">
        <v>36</v>
      </c>
    </row>
    <row r="102">
      <c r="A102" s="42" t="inlineStr">
        <is>
          <t>Nevada</t>
        </is>
      </c>
      <c r="B102" s="42" t="inlineStr">
        <is>
          <t>3-3</t>
        </is>
      </c>
      <c r="C102" s="42" t="n">
        <v>-0.13</v>
      </c>
      <c r="D102" s="42" t="n">
        <v>97</v>
      </c>
      <c r="E102" s="42" t="n">
        <v>1433.1</v>
      </c>
      <c r="F102" s="42" t="n">
        <v>156</v>
      </c>
      <c r="G102" s="49" t="n">
        <v>59</v>
      </c>
    </row>
    <row r="103">
      <c r="A103" s="42" t="inlineStr">
        <is>
          <t>Florida A&amp;M</t>
        </is>
      </c>
      <c r="B103" s="42" t="inlineStr">
        <is>
          <t>0-1</t>
        </is>
      </c>
      <c r="C103" s="42" t="n">
        <v>-0.14</v>
      </c>
      <c r="D103" s="42" t="n">
        <v>98</v>
      </c>
      <c r="E103" s="42" t="n">
        <v>1414.3</v>
      </c>
      <c r="F103" s="42" t="n">
        <v>191</v>
      </c>
      <c r="G103" s="49" t="n">
        <v>93</v>
      </c>
    </row>
    <row r="104">
      <c r="A104" s="42" t="inlineStr">
        <is>
          <t>Georgia Southern</t>
        </is>
      </c>
      <c r="B104" s="42" t="inlineStr">
        <is>
          <t>2-4</t>
        </is>
      </c>
      <c r="C104" s="42" t="n">
        <v>-0.15</v>
      </c>
      <c r="D104" s="42" t="n">
        <v>99</v>
      </c>
      <c r="E104" s="42" t="n">
        <v>1533.6</v>
      </c>
      <c r="F104" s="42" t="n">
        <v>79</v>
      </c>
      <c r="G104" s="42" t="n">
        <v>-20</v>
      </c>
    </row>
    <row r="105">
      <c r="A105" s="42" t="inlineStr">
        <is>
          <t>Abilene Christian</t>
        </is>
      </c>
      <c r="B105" s="42" t="inlineStr">
        <is>
          <t>0-1</t>
        </is>
      </c>
      <c r="C105" s="42" t="n">
        <v>-0.17</v>
      </c>
      <c r="D105" s="42" t="n">
        <v>100</v>
      </c>
      <c r="E105" s="42" t="n">
        <v>1414.3</v>
      </c>
      <c r="F105" s="42" t="n">
        <v>192</v>
      </c>
      <c r="G105" s="49" t="n">
        <v>92</v>
      </c>
    </row>
    <row r="106">
      <c r="A106" s="42" t="inlineStr">
        <is>
          <t>UC Davis</t>
        </is>
      </c>
      <c r="B106" s="42" t="inlineStr">
        <is>
          <t>0-1</t>
        </is>
      </c>
      <c r="C106" s="42" t="n">
        <v>-0.18</v>
      </c>
      <c r="D106" s="42" t="n">
        <v>101</v>
      </c>
      <c r="E106" s="42" t="n">
        <v>1449.9</v>
      </c>
      <c r="F106" s="42" t="n">
        <v>127</v>
      </c>
      <c r="G106" s="49" t="n">
        <v>26</v>
      </c>
    </row>
    <row r="107">
      <c r="A107" s="42" t="inlineStr">
        <is>
          <t>Idaho</t>
        </is>
      </c>
      <c r="B107" s="42" t="inlineStr">
        <is>
          <t>0-1</t>
        </is>
      </c>
      <c r="C107" s="42" t="n">
        <v>-0.18</v>
      </c>
      <c r="D107" s="42" t="n">
        <v>102</v>
      </c>
      <c r="E107" s="42" t="n">
        <v>1459.1</v>
      </c>
      <c r="F107" s="42" t="n">
        <v>119</v>
      </c>
      <c r="G107" s="49" t="n">
        <v>17</v>
      </c>
    </row>
    <row r="108">
      <c r="A108" s="42" t="inlineStr">
        <is>
          <t>Northern Iowa</t>
        </is>
      </c>
      <c r="B108" s="42" t="inlineStr">
        <is>
          <t>0-1</t>
        </is>
      </c>
      <c r="C108" s="42" t="n">
        <v>-0.18</v>
      </c>
      <c r="D108" s="42" t="n">
        <v>103</v>
      </c>
      <c r="E108" s="42" t="n">
        <v>1411.5</v>
      </c>
      <c r="F108" s="42" t="n">
        <v>202</v>
      </c>
      <c r="G108" s="49" t="n">
        <v>99</v>
      </c>
    </row>
    <row r="109">
      <c r="A109" s="42" t="inlineStr">
        <is>
          <t>Utah Tech</t>
        </is>
      </c>
      <c r="B109" s="42" t="inlineStr">
        <is>
          <t>0-1</t>
        </is>
      </c>
      <c r="C109" s="42" t="n">
        <v>-0.19</v>
      </c>
      <c r="D109" s="42" t="n">
        <v>104</v>
      </c>
      <c r="E109" s="42" t="n">
        <v>1439.6</v>
      </c>
      <c r="F109" s="42" t="n">
        <v>143</v>
      </c>
      <c r="G109" s="49" t="n">
        <v>39</v>
      </c>
    </row>
    <row r="110">
      <c r="A110" s="42" t="inlineStr">
        <is>
          <t>Purdue</t>
        </is>
      </c>
      <c r="B110" s="42" t="inlineStr">
        <is>
          <t>2-4</t>
        </is>
      </c>
      <c r="C110" s="42" t="n">
        <v>-0.19</v>
      </c>
      <c r="D110" s="42" t="n">
        <v>105</v>
      </c>
      <c r="E110" s="42" t="n">
        <v>1451.1</v>
      </c>
      <c r="F110" s="42" t="n">
        <v>124</v>
      </c>
      <c r="G110" s="49" t="n">
        <v>19</v>
      </c>
    </row>
    <row r="111">
      <c r="A111" s="42" t="inlineStr">
        <is>
          <t>Eastern Washington</t>
        </is>
      </c>
      <c r="B111" s="42" t="inlineStr">
        <is>
          <t>0-1</t>
        </is>
      </c>
      <c r="C111" s="42" t="n">
        <v>-0.2</v>
      </c>
      <c r="D111" s="42" t="n">
        <v>106</v>
      </c>
      <c r="E111" s="42" t="n">
        <v>1433.4</v>
      </c>
      <c r="F111" s="42" t="n">
        <v>154</v>
      </c>
      <c r="G111" s="49" t="n">
        <v>48</v>
      </c>
    </row>
    <row r="112">
      <c r="A112" s="42" t="inlineStr">
        <is>
          <t>William &amp; Mary</t>
        </is>
      </c>
      <c r="B112" s="42" t="inlineStr">
        <is>
          <t>0-1</t>
        </is>
      </c>
      <c r="C112" s="42" t="n">
        <v>-0.2</v>
      </c>
      <c r="D112" s="42" t="n">
        <v>107</v>
      </c>
      <c r="E112" s="42" t="n">
        <v>1440</v>
      </c>
      <c r="F112" s="42" t="n">
        <v>142</v>
      </c>
      <c r="G112" s="49" t="n">
        <v>35</v>
      </c>
    </row>
    <row r="113">
      <c r="A113" s="42" t="inlineStr">
        <is>
          <t>McNeese</t>
        </is>
      </c>
      <c r="B113" s="42" t="inlineStr">
        <is>
          <t>0-1</t>
        </is>
      </c>
      <c r="C113" s="42" t="n">
        <v>-0.21</v>
      </c>
      <c r="D113" s="42" t="n">
        <v>108</v>
      </c>
      <c r="E113" s="42" t="n">
        <v>1417.4</v>
      </c>
      <c r="F113" s="42" t="n">
        <v>185</v>
      </c>
      <c r="G113" s="49" t="n">
        <v>77</v>
      </c>
    </row>
    <row r="114">
      <c r="A114" s="42" t="inlineStr">
        <is>
          <t>Austin Peay</t>
        </is>
      </c>
      <c r="B114" s="42" t="inlineStr">
        <is>
          <t>0-1</t>
        </is>
      </c>
      <c r="C114" s="42" t="n">
        <v>-0.23</v>
      </c>
      <c r="D114" s="42" t="n">
        <v>109</v>
      </c>
      <c r="E114" s="42" t="n">
        <v>1470.1</v>
      </c>
      <c r="F114" s="42" t="n">
        <v>112</v>
      </c>
      <c r="G114" s="42" t="n">
        <v>3</v>
      </c>
    </row>
    <row r="115">
      <c r="A115" s="42" t="inlineStr">
        <is>
          <t>Arkansas State</t>
        </is>
      </c>
      <c r="B115" s="42" t="inlineStr">
        <is>
          <t>3-4</t>
        </is>
      </c>
      <c r="C115" s="42" t="n">
        <v>-0.23</v>
      </c>
      <c r="D115" s="42" t="n">
        <v>110</v>
      </c>
      <c r="E115" s="42" t="n">
        <v>1512.6</v>
      </c>
      <c r="F115" s="42" t="n">
        <v>86</v>
      </c>
      <c r="G115" s="42" t="n">
        <v>-24</v>
      </c>
    </row>
    <row r="116">
      <c r="A116" s="42" t="inlineStr">
        <is>
          <t>Villanova</t>
        </is>
      </c>
      <c r="B116" s="42" t="inlineStr">
        <is>
          <t>0-1</t>
        </is>
      </c>
      <c r="C116" s="42" t="n">
        <v>-0.23</v>
      </c>
      <c r="D116" s="42" t="n">
        <v>111</v>
      </c>
      <c r="E116" s="42" t="n">
        <v>1456.2</v>
      </c>
      <c r="F116" s="42" t="n">
        <v>121</v>
      </c>
      <c r="G116" s="42" t="n">
        <v>10</v>
      </c>
    </row>
    <row r="117">
      <c r="A117" s="42" t="inlineStr">
        <is>
          <t>Furman</t>
        </is>
      </c>
      <c r="B117" s="42" t="inlineStr">
        <is>
          <t>0-1</t>
        </is>
      </c>
      <c r="C117" s="42" t="n">
        <v>-0.25</v>
      </c>
      <c r="D117" s="42" t="n">
        <v>112</v>
      </c>
      <c r="E117" s="42" t="n">
        <v>1444.8</v>
      </c>
      <c r="F117" s="42" t="n">
        <v>136</v>
      </c>
      <c r="G117" s="49" t="n">
        <v>24</v>
      </c>
    </row>
    <row r="118">
      <c r="A118" s="42" t="inlineStr">
        <is>
          <t>South Dakota</t>
        </is>
      </c>
      <c r="B118" s="42" t="inlineStr">
        <is>
          <t>0-1</t>
        </is>
      </c>
      <c r="C118" s="42" t="n">
        <v>-0.25</v>
      </c>
      <c r="D118" s="42" t="n">
        <v>113</v>
      </c>
      <c r="E118" s="42" t="n">
        <v>1445.5</v>
      </c>
      <c r="F118" s="42" t="n">
        <v>135</v>
      </c>
      <c r="G118" s="49" t="n">
        <v>22</v>
      </c>
    </row>
    <row r="119">
      <c r="A119" s="42" t="inlineStr">
        <is>
          <t>Delaware State</t>
        </is>
      </c>
      <c r="B119" s="42" t="inlineStr">
        <is>
          <t>0-1</t>
        </is>
      </c>
      <c r="C119" s="42" t="n">
        <v>-0.25</v>
      </c>
      <c r="D119" s="42" t="n">
        <v>114</v>
      </c>
      <c r="E119" s="42" t="n">
        <v>1412.3</v>
      </c>
      <c r="F119" s="42" t="n">
        <v>199</v>
      </c>
      <c r="G119" s="49" t="n">
        <v>85</v>
      </c>
    </row>
    <row r="120">
      <c r="A120" s="42" t="inlineStr">
        <is>
          <t>Grambling</t>
        </is>
      </c>
      <c r="B120" s="42" t="inlineStr">
        <is>
          <t>0-1</t>
        </is>
      </c>
      <c r="C120" s="42" t="n">
        <v>-0.26</v>
      </c>
      <c r="D120" s="42" t="n">
        <v>115</v>
      </c>
      <c r="E120" s="42" t="n">
        <v>1429.6</v>
      </c>
      <c r="F120" s="42" t="n">
        <v>162</v>
      </c>
      <c r="G120" s="49" t="n">
        <v>47</v>
      </c>
    </row>
    <row r="121">
      <c r="A121" s="42" t="inlineStr">
        <is>
          <t>Bucknell</t>
        </is>
      </c>
      <c r="B121" s="42" t="inlineStr">
        <is>
          <t>0-1</t>
        </is>
      </c>
      <c r="C121" s="42" t="n">
        <v>-0.26</v>
      </c>
      <c r="D121" s="42" t="n">
        <v>116</v>
      </c>
      <c r="E121" s="42" t="n">
        <v>1431.1</v>
      </c>
      <c r="F121" s="42" t="n">
        <v>158</v>
      </c>
      <c r="G121" s="49" t="n">
        <v>42</v>
      </c>
    </row>
    <row r="122">
      <c r="A122" s="42" t="inlineStr">
        <is>
          <t>Syracuse</t>
        </is>
      </c>
      <c r="B122" s="42" t="inlineStr">
        <is>
          <t>2-4</t>
        </is>
      </c>
      <c r="C122" s="42" t="n">
        <v>-0.26</v>
      </c>
      <c r="D122" s="42" t="n">
        <v>117</v>
      </c>
      <c r="E122" s="42" t="n">
        <v>1454.8</v>
      </c>
      <c r="F122" s="42" t="n">
        <v>122</v>
      </c>
      <c r="G122" s="42" t="n">
        <v>5</v>
      </c>
    </row>
    <row r="123">
      <c r="A123" s="42" t="inlineStr">
        <is>
          <t>Northern Arizona</t>
        </is>
      </c>
      <c r="B123" s="42" t="inlineStr">
        <is>
          <t>0-1</t>
        </is>
      </c>
      <c r="C123" s="42" t="n">
        <v>-0.26</v>
      </c>
      <c r="D123" s="42" t="n">
        <v>118</v>
      </c>
      <c r="E123" s="42" t="n">
        <v>1447.5</v>
      </c>
      <c r="F123" s="42" t="n">
        <v>131</v>
      </c>
      <c r="G123" s="42" t="n">
        <v>13</v>
      </c>
    </row>
    <row r="124">
      <c r="A124" s="42" t="inlineStr">
        <is>
          <t>Arkansas-Pine Bluff</t>
        </is>
      </c>
      <c r="B124" s="42" t="inlineStr">
        <is>
          <t>0-1</t>
        </is>
      </c>
      <c r="C124" s="42" t="n">
        <v>-0.26</v>
      </c>
      <c r="D124" s="42" t="n">
        <v>119</v>
      </c>
      <c r="E124" s="42" t="n">
        <v>1422.7</v>
      </c>
      <c r="F124" s="42" t="n">
        <v>174</v>
      </c>
      <c r="G124" s="49" t="n">
        <v>55</v>
      </c>
    </row>
    <row r="125">
      <c r="A125" s="42" t="inlineStr">
        <is>
          <t>Southeast Missouri State</t>
        </is>
      </c>
      <c r="B125" s="42" t="inlineStr">
        <is>
          <t>0-1</t>
        </is>
      </c>
      <c r="C125" s="42" t="n">
        <v>-0.27</v>
      </c>
      <c r="D125" s="42" t="n">
        <v>120</v>
      </c>
      <c r="E125" s="42" t="n">
        <v>1436.8</v>
      </c>
      <c r="F125" s="42" t="n">
        <v>145</v>
      </c>
      <c r="G125" s="49" t="n">
        <v>25</v>
      </c>
    </row>
    <row r="126">
      <c r="A126" s="42" t="inlineStr">
        <is>
          <t>Bryant</t>
        </is>
      </c>
      <c r="B126" s="42" t="inlineStr">
        <is>
          <t>0-1</t>
        </is>
      </c>
      <c r="C126" s="42" t="n">
        <v>-0.28</v>
      </c>
      <c r="D126" s="42" t="n">
        <v>121</v>
      </c>
      <c r="E126" s="42" t="n">
        <v>1434.1</v>
      </c>
      <c r="F126" s="42" t="n">
        <v>151</v>
      </c>
      <c r="G126" s="49" t="n">
        <v>30</v>
      </c>
    </row>
    <row r="127">
      <c r="A127" s="42" t="inlineStr">
        <is>
          <t>Southern Illinois</t>
        </is>
      </c>
      <c r="B127" s="42" t="inlineStr">
        <is>
          <t>0-1</t>
        </is>
      </c>
      <c r="C127" s="42" t="n">
        <v>-0.28</v>
      </c>
      <c r="D127" s="42" t="n">
        <v>122</v>
      </c>
      <c r="E127" s="42" t="n">
        <v>1436.5</v>
      </c>
      <c r="F127" s="42" t="n">
        <v>146</v>
      </c>
      <c r="G127" s="49" t="n">
        <v>24</v>
      </c>
    </row>
    <row r="128">
      <c r="A128" s="42" t="inlineStr">
        <is>
          <t>Morgan State</t>
        </is>
      </c>
      <c r="B128" s="42" t="inlineStr">
        <is>
          <t>0-1</t>
        </is>
      </c>
      <c r="C128" s="42" t="n">
        <v>-0.29</v>
      </c>
      <c r="D128" s="42" t="n">
        <v>123</v>
      </c>
      <c r="E128" s="42" t="n">
        <v>1414.2</v>
      </c>
      <c r="F128" s="42" t="n">
        <v>193</v>
      </c>
      <c r="G128" s="49" t="n">
        <v>70</v>
      </c>
    </row>
    <row r="129">
      <c r="A129" s="42" t="inlineStr">
        <is>
          <t>Eastern Illinois</t>
        </is>
      </c>
      <c r="B129" s="42" t="inlineStr">
        <is>
          <t>0-1</t>
        </is>
      </c>
      <c r="C129" s="42" t="n">
        <v>-0.29</v>
      </c>
      <c r="D129" s="42" t="n">
        <v>124</v>
      </c>
      <c r="E129" s="42" t="n">
        <v>1418.5</v>
      </c>
      <c r="F129" s="42" t="n">
        <v>181</v>
      </c>
      <c r="G129" s="49" t="n">
        <v>57</v>
      </c>
    </row>
    <row r="130">
      <c r="A130" s="42" t="inlineStr">
        <is>
          <t>Monmouth</t>
        </is>
      </c>
      <c r="B130" s="42" t="inlineStr">
        <is>
          <t>0-1</t>
        </is>
      </c>
      <c r="C130" s="42" t="n">
        <v>-0.3</v>
      </c>
      <c r="D130" s="42" t="n">
        <v>125</v>
      </c>
      <c r="E130" s="42" t="n">
        <v>1438.9</v>
      </c>
      <c r="F130" s="42" t="n">
        <v>144</v>
      </c>
      <c r="G130" s="49" t="n">
        <v>19</v>
      </c>
    </row>
    <row r="131">
      <c r="A131" s="42" t="inlineStr">
        <is>
          <t>Southern</t>
        </is>
      </c>
      <c r="B131" s="42" t="inlineStr">
        <is>
          <t>0-1</t>
        </is>
      </c>
      <c r="C131" s="42" t="n">
        <v>-0.3</v>
      </c>
      <c r="D131" s="42" t="n">
        <v>126</v>
      </c>
      <c r="E131" s="42" t="n">
        <v>1422.8</v>
      </c>
      <c r="F131" s="42" t="n">
        <v>173</v>
      </c>
      <c r="G131" s="49" t="n">
        <v>47</v>
      </c>
    </row>
    <row r="132">
      <c r="A132" s="42" t="inlineStr">
        <is>
          <t>UT Rio Grande Valley</t>
        </is>
      </c>
      <c r="B132" s="42" t="inlineStr">
        <is>
          <t>0-1</t>
        </is>
      </c>
      <c r="C132" s="42" t="n">
        <v>-0.3</v>
      </c>
      <c r="D132" s="42" t="n">
        <v>127</v>
      </c>
      <c r="E132" s="42" t="n">
        <v>1480.7</v>
      </c>
      <c r="F132" s="42" t="n">
        <v>103</v>
      </c>
      <c r="G132" s="42" t="n">
        <v>-24</v>
      </c>
    </row>
    <row r="133">
      <c r="A133" s="42" t="inlineStr">
        <is>
          <t>North Dakota</t>
        </is>
      </c>
      <c r="B133" s="42" t="inlineStr">
        <is>
          <t>0-1</t>
        </is>
      </c>
      <c r="C133" s="42" t="n">
        <v>-0.3</v>
      </c>
      <c r="D133" s="42" t="n">
        <v>128</v>
      </c>
      <c r="E133" s="42" t="n">
        <v>1451</v>
      </c>
      <c r="F133" s="42" t="n">
        <v>126</v>
      </c>
      <c r="G133" s="42" t="n">
        <v>-2</v>
      </c>
    </row>
    <row r="134">
      <c r="A134" s="42" t="inlineStr">
        <is>
          <t>North Carolina Central</t>
        </is>
      </c>
      <c r="B134" s="42" t="inlineStr">
        <is>
          <t>0-1</t>
        </is>
      </c>
      <c r="C134" s="42" t="n">
        <v>-0.31</v>
      </c>
      <c r="D134" s="42" t="n">
        <v>129</v>
      </c>
      <c r="E134" s="42" t="n">
        <v>1429.2</v>
      </c>
      <c r="F134" s="42" t="n">
        <v>163</v>
      </c>
      <c r="G134" s="49" t="n">
        <v>34</v>
      </c>
    </row>
    <row r="135">
      <c r="A135" s="42" t="inlineStr">
        <is>
          <t>Incarnate Word</t>
        </is>
      </c>
      <c r="B135" s="42" t="inlineStr">
        <is>
          <t>0-1</t>
        </is>
      </c>
      <c r="C135" s="42" t="n">
        <v>-0.32</v>
      </c>
      <c r="D135" s="42" t="n">
        <v>130</v>
      </c>
      <c r="E135" s="42" t="n">
        <v>1441.2</v>
      </c>
      <c r="F135" s="42" t="n">
        <v>141</v>
      </c>
      <c r="G135" s="42" t="n">
        <v>11</v>
      </c>
    </row>
    <row r="136">
      <c r="A136" s="42" t="inlineStr">
        <is>
          <t>Richmond</t>
        </is>
      </c>
      <c r="B136" s="42" t="inlineStr">
        <is>
          <t>0-1</t>
        </is>
      </c>
      <c r="C136" s="42" t="n">
        <v>-0.32</v>
      </c>
      <c r="D136" s="42" t="n">
        <v>131</v>
      </c>
      <c r="E136" s="42" t="n">
        <v>1425.1</v>
      </c>
      <c r="F136" s="42" t="n">
        <v>170</v>
      </c>
      <c r="G136" s="49" t="n">
        <v>39</v>
      </c>
    </row>
    <row r="137">
      <c r="A137" s="42" t="inlineStr">
        <is>
          <t>Lafayette</t>
        </is>
      </c>
      <c r="B137" s="42" t="inlineStr">
        <is>
          <t>0-1</t>
        </is>
      </c>
      <c r="C137" s="42" t="n">
        <v>-0.32</v>
      </c>
      <c r="D137" s="42" t="n">
        <v>132</v>
      </c>
      <c r="E137" s="42" t="n">
        <v>1405.5</v>
      </c>
      <c r="F137" s="42" t="n">
        <v>210</v>
      </c>
      <c r="G137" s="49" t="n">
        <v>78</v>
      </c>
    </row>
    <row r="138">
      <c r="A138" s="42" t="inlineStr">
        <is>
          <t>Campbell</t>
        </is>
      </c>
      <c r="B138" s="42" t="inlineStr">
        <is>
          <t>0-1</t>
        </is>
      </c>
      <c r="C138" s="42" t="n">
        <v>-0.33</v>
      </c>
      <c r="D138" s="42" t="n">
        <v>133</v>
      </c>
      <c r="E138" s="42" t="n">
        <v>1413.9</v>
      </c>
      <c r="F138" s="42" t="n">
        <v>194</v>
      </c>
      <c r="G138" s="49" t="n">
        <v>61</v>
      </c>
    </row>
    <row r="139">
      <c r="A139" s="42" t="inlineStr">
        <is>
          <t>Central Connecticut</t>
        </is>
      </c>
      <c r="B139" s="42" t="inlineStr">
        <is>
          <t>0-1</t>
        </is>
      </c>
      <c r="C139" s="42" t="n">
        <v>-0.33</v>
      </c>
      <c r="D139" s="42" t="n">
        <v>134</v>
      </c>
      <c r="E139" s="42" t="n">
        <v>1403.3</v>
      </c>
      <c r="F139" s="42" t="n">
        <v>214</v>
      </c>
      <c r="G139" s="49" t="n">
        <v>80</v>
      </c>
    </row>
    <row r="140">
      <c r="A140" s="42" t="inlineStr">
        <is>
          <t>NC State</t>
        </is>
      </c>
      <c r="B140" s="42" t="inlineStr">
        <is>
          <t>2-4</t>
        </is>
      </c>
      <c r="C140" s="42" t="n">
        <v>-0.34</v>
      </c>
      <c r="D140" s="42" t="n">
        <v>135</v>
      </c>
      <c r="E140" s="42" t="n">
        <v>1553.4</v>
      </c>
      <c r="F140" s="42" t="n">
        <v>72</v>
      </c>
      <c r="G140" s="42" t="n">
        <v>-63</v>
      </c>
    </row>
    <row r="141">
      <c r="A141" s="42" t="inlineStr">
        <is>
          <t>Eastern Kentucky</t>
        </is>
      </c>
      <c r="B141" s="42" t="inlineStr">
        <is>
          <t>0-1</t>
        </is>
      </c>
      <c r="C141" s="42" t="n">
        <v>-0.34</v>
      </c>
      <c r="D141" s="42" t="n">
        <v>136</v>
      </c>
      <c r="E141" s="42" t="n">
        <v>1409.5</v>
      </c>
      <c r="F141" s="42" t="n">
        <v>206</v>
      </c>
      <c r="G141" s="49" t="n">
        <v>70</v>
      </c>
    </row>
    <row r="142">
      <c r="A142" s="42" t="inlineStr">
        <is>
          <t>Alabama State</t>
        </is>
      </c>
      <c r="B142" s="42" t="inlineStr">
        <is>
          <t>0-1</t>
        </is>
      </c>
      <c r="C142" s="42" t="n">
        <v>-0.35</v>
      </c>
      <c r="D142" s="42" t="n">
        <v>137</v>
      </c>
      <c r="E142" s="42" t="n">
        <v>1428.8</v>
      </c>
      <c r="F142" s="42" t="n">
        <v>164</v>
      </c>
      <c r="G142" s="49" t="n">
        <v>27</v>
      </c>
    </row>
    <row r="143">
      <c r="A143" s="42" t="inlineStr">
        <is>
          <t>Western Carolina</t>
        </is>
      </c>
      <c r="B143" s="42" t="inlineStr">
        <is>
          <t>0-1</t>
        </is>
      </c>
      <c r="C143" s="42" t="n">
        <v>-0.35</v>
      </c>
      <c r="D143" s="42" t="n">
        <v>138</v>
      </c>
      <c r="E143" s="42" t="n">
        <v>1420.7</v>
      </c>
      <c r="F143" s="42" t="n">
        <v>177</v>
      </c>
      <c r="G143" s="49" t="n">
        <v>39</v>
      </c>
    </row>
    <row r="144">
      <c r="A144" s="42" t="inlineStr">
        <is>
          <t>Mercer</t>
        </is>
      </c>
      <c r="B144" s="42" t="inlineStr">
        <is>
          <t>0-1</t>
        </is>
      </c>
      <c r="C144" s="42" t="n">
        <v>-0.36</v>
      </c>
      <c r="D144" s="42" t="n">
        <v>139</v>
      </c>
      <c r="E144" s="42" t="n">
        <v>1430.9</v>
      </c>
      <c r="F144" s="42" t="n">
        <v>160</v>
      </c>
      <c r="G144" s="49" t="n">
        <v>21</v>
      </c>
    </row>
    <row r="145">
      <c r="A145" s="42" t="inlineStr">
        <is>
          <t>South Dakota State</t>
        </is>
      </c>
      <c r="B145" s="42" t="inlineStr">
        <is>
          <t>0-1</t>
        </is>
      </c>
      <c r="C145" s="42" t="n">
        <v>-0.36</v>
      </c>
      <c r="D145" s="42" t="n">
        <v>140</v>
      </c>
      <c r="E145" s="42" t="n">
        <v>1491.6</v>
      </c>
      <c r="F145" s="42" t="n">
        <v>97</v>
      </c>
      <c r="G145" s="42" t="n">
        <v>-43</v>
      </c>
    </row>
    <row r="146">
      <c r="A146" s="42" t="inlineStr">
        <is>
          <t>UConn</t>
        </is>
      </c>
      <c r="B146" s="42" t="inlineStr">
        <is>
          <t>3-3</t>
        </is>
      </c>
      <c r="C146" s="42" t="n">
        <v>-0.37</v>
      </c>
      <c r="D146" s="42" t="n">
        <v>141</v>
      </c>
      <c r="E146" s="42" t="n">
        <v>1579.6</v>
      </c>
      <c r="F146" s="42" t="n">
        <v>62</v>
      </c>
      <c r="G146" s="42" t="n">
        <v>-79</v>
      </c>
    </row>
    <row r="147">
      <c r="A147" s="42" t="inlineStr">
        <is>
          <t>Northwestern State</t>
        </is>
      </c>
      <c r="B147" s="42" t="inlineStr">
        <is>
          <t>0-1</t>
        </is>
      </c>
      <c r="C147" s="42" t="n">
        <v>-0.38</v>
      </c>
      <c r="D147" s="42" t="n">
        <v>142</v>
      </c>
      <c r="E147" s="42" t="n">
        <v>1382.5</v>
      </c>
      <c r="F147" s="42" t="n">
        <v>236</v>
      </c>
      <c r="G147" s="49" t="n">
        <v>94</v>
      </c>
    </row>
    <row r="148">
      <c r="A148" s="42" t="inlineStr">
        <is>
          <t>Lamar</t>
        </is>
      </c>
      <c r="B148" s="42" t="inlineStr">
        <is>
          <t>0-1</t>
        </is>
      </c>
      <c r="C148" s="42" t="n">
        <v>-0.38</v>
      </c>
      <c r="D148" s="42" t="n">
        <v>143</v>
      </c>
      <c r="E148" s="42" t="n">
        <v>1412.8</v>
      </c>
      <c r="F148" s="42" t="n">
        <v>197</v>
      </c>
      <c r="G148" s="49" t="n">
        <v>54</v>
      </c>
    </row>
    <row r="149">
      <c r="A149" s="42" t="inlineStr">
        <is>
          <t>Youngstown State</t>
        </is>
      </c>
      <c r="B149" s="42" t="inlineStr">
        <is>
          <t>0-1</t>
        </is>
      </c>
      <c r="C149" s="42" t="n">
        <v>-0.39</v>
      </c>
      <c r="D149" s="42" t="n">
        <v>144</v>
      </c>
      <c r="E149" s="42" t="n">
        <v>1425.9</v>
      </c>
      <c r="F149" s="42" t="n">
        <v>169</v>
      </c>
      <c r="G149" s="49" t="n">
        <v>25</v>
      </c>
    </row>
    <row r="150">
      <c r="A150" s="42" t="inlineStr">
        <is>
          <t>Holy Cross</t>
        </is>
      </c>
      <c r="B150" s="42" t="inlineStr">
        <is>
          <t>0-1</t>
        </is>
      </c>
      <c r="C150" s="42" t="n">
        <v>-0.39</v>
      </c>
      <c r="D150" s="42" t="n">
        <v>145</v>
      </c>
      <c r="E150" s="42" t="n">
        <v>1444.4</v>
      </c>
      <c r="F150" s="42" t="n">
        <v>137</v>
      </c>
      <c r="G150" s="42" t="n">
        <v>-8</v>
      </c>
    </row>
    <row r="151">
      <c r="A151" s="42" t="inlineStr">
        <is>
          <t>Kansas</t>
        </is>
      </c>
      <c r="B151" s="42" t="inlineStr">
        <is>
          <t>2-4</t>
        </is>
      </c>
      <c r="C151" s="42" t="n">
        <v>-0.4</v>
      </c>
      <c r="D151" s="42" t="n">
        <v>146</v>
      </c>
      <c r="E151" s="42" t="n">
        <v>1507.6</v>
      </c>
      <c r="F151" s="42" t="n">
        <v>90</v>
      </c>
      <c r="G151" s="42" t="n">
        <v>-56</v>
      </c>
    </row>
    <row r="152">
      <c r="A152" s="42" t="inlineStr">
        <is>
          <t>Prairie View A&amp;M</t>
        </is>
      </c>
      <c r="B152" s="42" t="inlineStr">
        <is>
          <t>0-1</t>
        </is>
      </c>
      <c r="C152" s="42" t="n">
        <v>-0.4</v>
      </c>
      <c r="D152" s="42" t="n">
        <v>147</v>
      </c>
      <c r="E152" s="42" t="n">
        <v>1414.9</v>
      </c>
      <c r="F152" s="42" t="n">
        <v>189</v>
      </c>
      <c r="G152" s="49" t="n">
        <v>42</v>
      </c>
    </row>
    <row r="153">
      <c r="A153" s="42" t="inlineStr">
        <is>
          <t>Central Arkansas</t>
        </is>
      </c>
      <c r="B153" s="42" t="inlineStr">
        <is>
          <t>0-1</t>
        </is>
      </c>
      <c r="C153" s="42" t="n">
        <v>-0.41</v>
      </c>
      <c r="D153" s="42" t="n">
        <v>148</v>
      </c>
      <c r="E153" s="42" t="n">
        <v>1433.8</v>
      </c>
      <c r="F153" s="42" t="n">
        <v>152</v>
      </c>
      <c r="G153" s="42" t="n">
        <v>4</v>
      </c>
    </row>
    <row r="154">
      <c r="A154" s="42" t="inlineStr">
        <is>
          <t>East Tennessee State</t>
        </is>
      </c>
      <c r="B154" s="42" t="inlineStr">
        <is>
          <t>0-1</t>
        </is>
      </c>
      <c r="C154" s="42" t="n">
        <v>-0.42</v>
      </c>
      <c r="D154" s="42" t="n">
        <v>149</v>
      </c>
      <c r="E154" s="42" t="n">
        <v>1429.6</v>
      </c>
      <c r="F154" s="42" t="n">
        <v>161</v>
      </c>
      <c r="G154" s="42" t="n">
        <v>12</v>
      </c>
    </row>
    <row r="155">
      <c r="A155" s="42" t="inlineStr">
        <is>
          <t>Western Illinois</t>
        </is>
      </c>
      <c r="B155" s="42" t="inlineStr">
        <is>
          <t>0-1</t>
        </is>
      </c>
      <c r="C155" s="42" t="n">
        <v>-0.42</v>
      </c>
      <c r="D155" s="42" t="n">
        <v>150</v>
      </c>
      <c r="E155" s="42" t="n">
        <v>1387.5</v>
      </c>
      <c r="F155" s="42" t="n">
        <v>232</v>
      </c>
      <c r="G155" s="49" t="n">
        <v>82</v>
      </c>
    </row>
    <row r="156">
      <c r="A156" s="42" t="inlineStr">
        <is>
          <t>Merrimack</t>
        </is>
      </c>
      <c r="B156" s="42" t="inlineStr">
        <is>
          <t>0-1</t>
        </is>
      </c>
      <c r="C156" s="42" t="n">
        <v>-0.43</v>
      </c>
      <c r="D156" s="42" t="n">
        <v>151</v>
      </c>
      <c r="E156" s="42" t="n">
        <v>1400.8</v>
      </c>
      <c r="F156" s="42" t="n">
        <v>218</v>
      </c>
      <c r="G156" s="49" t="n">
        <v>67</v>
      </c>
    </row>
    <row r="157">
      <c r="A157" s="42" t="inlineStr">
        <is>
          <t>Bethune-Cookman</t>
        </is>
      </c>
      <c r="B157" s="42" t="inlineStr">
        <is>
          <t>0-1</t>
        </is>
      </c>
      <c r="C157" s="42" t="n">
        <v>-0.43</v>
      </c>
      <c r="D157" s="42" t="n">
        <v>152</v>
      </c>
      <c r="E157" s="42" t="n">
        <v>1379</v>
      </c>
      <c r="F157" s="42" t="n">
        <v>237</v>
      </c>
      <c r="G157" s="49" t="n">
        <v>85</v>
      </c>
    </row>
    <row r="158">
      <c r="A158" s="42" t="inlineStr">
        <is>
          <t>North Alabama</t>
        </is>
      </c>
      <c r="B158" s="42" t="inlineStr">
        <is>
          <t>0-1</t>
        </is>
      </c>
      <c r="C158" s="42" t="n">
        <v>-0.43</v>
      </c>
      <c r="D158" s="42" t="n">
        <v>153</v>
      </c>
      <c r="E158" s="42" t="n">
        <v>1434.2</v>
      </c>
      <c r="F158" s="42" t="n">
        <v>150</v>
      </c>
      <c r="G158" s="42" t="n">
        <v>-3</v>
      </c>
    </row>
    <row r="159">
      <c r="A159" s="42" t="inlineStr">
        <is>
          <t>Weber State</t>
        </is>
      </c>
      <c r="B159" s="42" t="inlineStr">
        <is>
          <t>0-1</t>
        </is>
      </c>
      <c r="C159" s="42" t="n">
        <v>-0.45</v>
      </c>
      <c r="D159" s="42" t="n">
        <v>154</v>
      </c>
      <c r="E159" s="42" t="n">
        <v>1433.7</v>
      </c>
      <c r="F159" s="42" t="n">
        <v>153</v>
      </c>
      <c r="G159" s="42" t="n">
        <v>-1</v>
      </c>
    </row>
    <row r="160">
      <c r="A160" s="42" t="inlineStr">
        <is>
          <t>UAlbany</t>
        </is>
      </c>
      <c r="B160" s="42" t="inlineStr">
        <is>
          <t>0-1</t>
        </is>
      </c>
      <c r="C160" s="42" t="n">
        <v>-0.45</v>
      </c>
      <c r="D160" s="42" t="n">
        <v>155</v>
      </c>
      <c r="E160" s="42" t="n">
        <v>1435.7</v>
      </c>
      <c r="F160" s="42" t="n">
        <v>147</v>
      </c>
      <c r="G160" s="42" t="n">
        <v>-8</v>
      </c>
    </row>
    <row r="161">
      <c r="A161" s="42" t="inlineStr">
        <is>
          <t>Tulsa</t>
        </is>
      </c>
      <c r="B161" s="42" t="inlineStr">
        <is>
          <t>3-4</t>
        </is>
      </c>
      <c r="C161" s="42" t="n">
        <v>-0.45</v>
      </c>
      <c r="D161" s="42" t="n">
        <v>156</v>
      </c>
      <c r="E161" s="42" t="n">
        <v>1442.6</v>
      </c>
      <c r="F161" s="42" t="n">
        <v>139</v>
      </c>
      <c r="G161" s="42" t="n">
        <v>-17</v>
      </c>
    </row>
    <row r="162">
      <c r="A162" s="42" t="inlineStr">
        <is>
          <t>Hampton</t>
        </is>
      </c>
      <c r="B162" s="42" t="inlineStr">
        <is>
          <t>0-1</t>
        </is>
      </c>
      <c r="C162" s="42" t="n">
        <v>-0.48</v>
      </c>
      <c r="D162" s="42" t="n">
        <v>157</v>
      </c>
      <c r="E162" s="42" t="n">
        <v>1402.8</v>
      </c>
      <c r="F162" s="42" t="n">
        <v>215</v>
      </c>
      <c r="G162" s="49" t="n">
        <v>58</v>
      </c>
    </row>
    <row r="163">
      <c r="A163" s="42" t="inlineStr">
        <is>
          <t>New Hampshire</t>
        </is>
      </c>
      <c r="B163" s="42" t="inlineStr">
        <is>
          <t>0-1</t>
        </is>
      </c>
      <c r="C163" s="42" t="n">
        <v>-0.48</v>
      </c>
      <c r="D163" s="42" t="n">
        <v>158</v>
      </c>
      <c r="E163" s="42" t="n">
        <v>1417.1</v>
      </c>
      <c r="F163" s="42" t="n">
        <v>186</v>
      </c>
      <c r="G163" s="49" t="n">
        <v>28</v>
      </c>
    </row>
    <row r="164">
      <c r="A164" s="42" t="inlineStr">
        <is>
          <t>Mississippi Valley State</t>
        </is>
      </c>
      <c r="B164" s="42" t="inlineStr">
        <is>
          <t>0-1</t>
        </is>
      </c>
      <c r="C164" s="42" t="n">
        <v>-0.48</v>
      </c>
      <c r="D164" s="42" t="n">
        <v>159</v>
      </c>
      <c r="E164" s="42" t="n">
        <v>1435.2</v>
      </c>
      <c r="F164" s="42" t="n">
        <v>148</v>
      </c>
      <c r="G164" s="42" t="n">
        <v>-11</v>
      </c>
    </row>
    <row r="165">
      <c r="A165" s="42" t="inlineStr">
        <is>
          <t>Portland State</t>
        </is>
      </c>
      <c r="B165" s="42" t="inlineStr">
        <is>
          <t>0-2</t>
        </is>
      </c>
      <c r="C165" s="42" t="n">
        <v>-0.48</v>
      </c>
      <c r="D165" s="42" t="n">
        <v>160</v>
      </c>
      <c r="E165" s="42" t="n">
        <v>1391.8</v>
      </c>
      <c r="F165" s="42" t="n">
        <v>228</v>
      </c>
      <c r="G165" s="49" t="n">
        <v>68</v>
      </c>
    </row>
    <row r="166">
      <c r="A166" s="42" t="inlineStr">
        <is>
          <t>VMI</t>
        </is>
      </c>
      <c r="B166" s="42" t="inlineStr">
        <is>
          <t>0-1</t>
        </is>
      </c>
      <c r="C166" s="42" t="n">
        <v>-0.48</v>
      </c>
      <c r="D166" s="42" t="n">
        <v>161</v>
      </c>
      <c r="E166" s="42" t="n">
        <v>1411.1</v>
      </c>
      <c r="F166" s="42" t="n">
        <v>204</v>
      </c>
      <c r="G166" s="49" t="n">
        <v>43</v>
      </c>
    </row>
    <row r="167">
      <c r="A167" s="42" t="inlineStr">
        <is>
          <t>Colgate</t>
        </is>
      </c>
      <c r="B167" s="42" t="inlineStr">
        <is>
          <t>0-1</t>
        </is>
      </c>
      <c r="C167" s="42" t="n">
        <v>-0.49</v>
      </c>
      <c r="D167" s="42" t="n">
        <v>162</v>
      </c>
      <c r="E167" s="42" t="n">
        <v>1422</v>
      </c>
      <c r="F167" s="42" t="n">
        <v>175</v>
      </c>
      <c r="G167" s="42" t="n">
        <v>13</v>
      </c>
    </row>
    <row r="168">
      <c r="A168" s="42" t="inlineStr">
        <is>
          <t>Elon</t>
        </is>
      </c>
      <c r="B168" s="42" t="inlineStr">
        <is>
          <t>0-1</t>
        </is>
      </c>
      <c r="C168" s="42" t="n">
        <v>-0.5</v>
      </c>
      <c r="D168" s="42" t="n">
        <v>163</v>
      </c>
      <c r="E168" s="42" t="n">
        <v>1428.7</v>
      </c>
      <c r="F168" s="42" t="n">
        <v>165</v>
      </c>
      <c r="G168" s="42" t="n">
        <v>2</v>
      </c>
    </row>
    <row r="169">
      <c r="A169" s="42" t="inlineStr">
        <is>
          <t>Alcorn State</t>
        </is>
      </c>
      <c r="B169" s="42" t="inlineStr">
        <is>
          <t>0-1</t>
        </is>
      </c>
      <c r="C169" s="42" t="n">
        <v>-0.5</v>
      </c>
      <c r="D169" s="42" t="n">
        <v>164</v>
      </c>
      <c r="E169" s="42" t="n">
        <v>1384.2</v>
      </c>
      <c r="F169" s="42" t="n">
        <v>234</v>
      </c>
      <c r="G169" s="49" t="n">
        <v>70</v>
      </c>
    </row>
    <row r="170">
      <c r="A170" s="42" t="inlineStr">
        <is>
          <t>Norfolk State</t>
        </is>
      </c>
      <c r="B170" s="42" t="inlineStr">
        <is>
          <t>0-2</t>
        </is>
      </c>
      <c r="C170" s="42" t="n">
        <v>-0.5</v>
      </c>
      <c r="D170" s="42" t="n">
        <v>165</v>
      </c>
      <c r="E170" s="42" t="n">
        <v>1404.2</v>
      </c>
      <c r="F170" s="42" t="n">
        <v>211</v>
      </c>
      <c r="G170" s="49" t="n">
        <v>46</v>
      </c>
    </row>
    <row r="171">
      <c r="A171" s="42" t="inlineStr">
        <is>
          <t>Cal Poly</t>
        </is>
      </c>
      <c r="B171" s="42" t="inlineStr">
        <is>
          <t>0-1</t>
        </is>
      </c>
      <c r="C171" s="42" t="n">
        <v>-0.5</v>
      </c>
      <c r="D171" s="42" t="n">
        <v>166</v>
      </c>
      <c r="E171" s="42" t="n">
        <v>1413.6</v>
      </c>
      <c r="F171" s="42" t="n">
        <v>195</v>
      </c>
      <c r="G171" s="49" t="n">
        <v>29</v>
      </c>
    </row>
    <row r="172">
      <c r="A172" s="42" t="inlineStr">
        <is>
          <t>Rhode Island</t>
        </is>
      </c>
      <c r="B172" s="42" t="inlineStr">
        <is>
          <t>0-1</t>
        </is>
      </c>
      <c r="C172" s="42" t="n">
        <v>-0.51</v>
      </c>
      <c r="D172" s="42" t="n">
        <v>167</v>
      </c>
      <c r="E172" s="42" t="n">
        <v>1418.7</v>
      </c>
      <c r="F172" s="42" t="n">
        <v>180</v>
      </c>
      <c r="G172" s="42" t="n">
        <v>13</v>
      </c>
    </row>
    <row r="173">
      <c r="A173" s="42" t="inlineStr">
        <is>
          <t>Samford</t>
        </is>
      </c>
      <c r="B173" s="42" t="inlineStr">
        <is>
          <t>0-1</t>
        </is>
      </c>
      <c r="C173" s="42" t="n">
        <v>-0.52</v>
      </c>
      <c r="D173" s="42" t="n">
        <v>168</v>
      </c>
      <c r="E173" s="42" t="n">
        <v>1420.6</v>
      </c>
      <c r="F173" s="42" t="n">
        <v>178</v>
      </c>
      <c r="G173" s="42" t="n">
        <v>10</v>
      </c>
    </row>
    <row r="174">
      <c r="A174" s="42" t="inlineStr">
        <is>
          <t>East Texas A&amp;M</t>
        </is>
      </c>
      <c r="B174" s="42" t="inlineStr">
        <is>
          <t>0-1</t>
        </is>
      </c>
      <c r="C174" s="42" t="n">
        <v>-0.52</v>
      </c>
      <c r="D174" s="42" t="n">
        <v>169</v>
      </c>
      <c r="E174" s="42" t="n">
        <v>1420.6</v>
      </c>
      <c r="F174" s="42" t="n">
        <v>179</v>
      </c>
      <c r="G174" s="42" t="n">
        <v>10</v>
      </c>
    </row>
    <row r="175">
      <c r="A175" s="42" t="inlineStr">
        <is>
          <t>Southern Utah</t>
        </is>
      </c>
      <c r="B175" s="42" t="inlineStr">
        <is>
          <t>0-1</t>
        </is>
      </c>
      <c r="C175" s="42" t="n">
        <v>-0.52</v>
      </c>
      <c r="D175" s="42" t="n">
        <v>170</v>
      </c>
      <c r="E175" s="42" t="n">
        <v>1416.7</v>
      </c>
      <c r="F175" s="42" t="n">
        <v>187</v>
      </c>
      <c r="G175" s="49" t="n">
        <v>17</v>
      </c>
    </row>
    <row r="176">
      <c r="A176" s="42" t="inlineStr">
        <is>
          <t>East Carolina</t>
        </is>
      </c>
      <c r="B176" s="42" t="inlineStr">
        <is>
          <t>2-4</t>
        </is>
      </c>
      <c r="C176" s="42" t="n">
        <v>-0.54</v>
      </c>
      <c r="D176" s="42" t="n">
        <v>171</v>
      </c>
      <c r="E176" s="42" t="n">
        <v>1556.5</v>
      </c>
      <c r="F176" s="42" t="n">
        <v>70</v>
      </c>
      <c r="G176" s="42" t="n">
        <v>-101</v>
      </c>
    </row>
    <row r="177">
      <c r="A177" s="42" t="inlineStr">
        <is>
          <t>San José State</t>
        </is>
      </c>
      <c r="B177" s="42" t="inlineStr">
        <is>
          <t>3-4</t>
        </is>
      </c>
      <c r="C177" s="42" t="n">
        <v>-0.54</v>
      </c>
      <c r="D177" s="42" t="n">
        <v>172</v>
      </c>
      <c r="E177" s="42" t="n">
        <v>1427</v>
      </c>
      <c r="F177" s="42" t="n">
        <v>167</v>
      </c>
      <c r="G177" s="42" t="n">
        <v>-5</v>
      </c>
    </row>
    <row r="178">
      <c r="A178" s="42" t="inlineStr">
        <is>
          <t>Indiana State</t>
        </is>
      </c>
      <c r="B178" s="42" t="inlineStr">
        <is>
          <t>0-1</t>
        </is>
      </c>
      <c r="C178" s="42" t="n">
        <v>-0.55</v>
      </c>
      <c r="D178" s="42" t="n">
        <v>173</v>
      </c>
      <c r="E178" s="42" t="n">
        <v>1393.9</v>
      </c>
      <c r="F178" s="42" t="n">
        <v>225</v>
      </c>
      <c r="G178" s="49" t="n">
        <v>52</v>
      </c>
    </row>
    <row r="179">
      <c r="A179" s="42" t="inlineStr">
        <is>
          <t>Northern Colorado</t>
        </is>
      </c>
      <c r="B179" s="42" t="inlineStr">
        <is>
          <t>0-1</t>
        </is>
      </c>
      <c r="C179" s="42" t="n">
        <v>-0.55</v>
      </c>
      <c r="D179" s="42" t="n">
        <v>174</v>
      </c>
      <c r="E179" s="42" t="n">
        <v>1425.1</v>
      </c>
      <c r="F179" s="42" t="n">
        <v>172</v>
      </c>
      <c r="G179" s="42" t="n">
        <v>-2</v>
      </c>
    </row>
    <row r="180">
      <c r="A180" s="42" t="inlineStr">
        <is>
          <t>Towson</t>
        </is>
      </c>
      <c r="B180" s="42" t="inlineStr">
        <is>
          <t>0-2</t>
        </is>
      </c>
      <c r="C180" s="42" t="n">
        <v>-0.5600000000000001</v>
      </c>
      <c r="D180" s="42" t="n">
        <v>175</v>
      </c>
      <c r="E180" s="42" t="n">
        <v>1412.2</v>
      </c>
      <c r="F180" s="42" t="n">
        <v>200</v>
      </c>
      <c r="G180" s="49" t="n">
        <v>25</v>
      </c>
    </row>
    <row r="181">
      <c r="A181" s="42" t="inlineStr">
        <is>
          <t>Montana</t>
        </is>
      </c>
      <c r="B181" s="42" t="inlineStr">
        <is>
          <t>0-1</t>
        </is>
      </c>
      <c r="C181" s="42" t="n">
        <v>-0.58</v>
      </c>
      <c r="D181" s="42" t="n">
        <v>176</v>
      </c>
      <c r="E181" s="42" t="n">
        <v>1467.1</v>
      </c>
      <c r="F181" s="42" t="n">
        <v>114</v>
      </c>
      <c r="G181" s="42" t="n">
        <v>-62</v>
      </c>
    </row>
    <row r="182">
      <c r="A182" s="42" t="inlineStr">
        <is>
          <t>Howard</t>
        </is>
      </c>
      <c r="B182" s="42" t="inlineStr">
        <is>
          <t>0-2</t>
        </is>
      </c>
      <c r="C182" s="42" t="n">
        <v>-0.58</v>
      </c>
      <c r="D182" s="42" t="n">
        <v>177</v>
      </c>
      <c r="E182" s="42" t="n">
        <v>1388</v>
      </c>
      <c r="F182" s="42" t="n">
        <v>231</v>
      </c>
      <c r="G182" s="49" t="n">
        <v>54</v>
      </c>
    </row>
    <row r="183">
      <c r="A183" s="42" t="inlineStr">
        <is>
          <t>Western Kentucky</t>
        </is>
      </c>
      <c r="B183" s="42" t="inlineStr">
        <is>
          <t>2-4</t>
        </is>
      </c>
      <c r="C183" s="42" t="n">
        <v>-0.59</v>
      </c>
      <c r="D183" s="42" t="n">
        <v>178</v>
      </c>
      <c r="E183" s="42" t="n">
        <v>1527.5</v>
      </c>
      <c r="F183" s="42" t="n">
        <v>82</v>
      </c>
      <c r="G183" s="42" t="n">
        <v>-96</v>
      </c>
    </row>
    <row r="184">
      <c r="A184" s="42" t="inlineStr">
        <is>
          <t>Stony Brook</t>
        </is>
      </c>
      <c r="B184" s="42" t="inlineStr">
        <is>
          <t>0-1</t>
        </is>
      </c>
      <c r="C184" s="42" t="n">
        <v>-0.59</v>
      </c>
      <c r="D184" s="42" t="n">
        <v>179</v>
      </c>
      <c r="E184" s="42" t="n">
        <v>1395</v>
      </c>
      <c r="F184" s="42" t="n">
        <v>224</v>
      </c>
      <c r="G184" s="49" t="n">
        <v>45</v>
      </c>
    </row>
    <row r="185">
      <c r="A185" s="42" t="inlineStr">
        <is>
          <t>Wagner</t>
        </is>
      </c>
      <c r="B185" s="42" t="inlineStr">
        <is>
          <t>0-2</t>
        </is>
      </c>
      <c r="C185" s="42" t="n">
        <v>-0.61</v>
      </c>
      <c r="D185" s="42" t="n">
        <v>180</v>
      </c>
      <c r="E185" s="42" t="n">
        <v>1353.5</v>
      </c>
      <c r="F185" s="42" t="n">
        <v>244</v>
      </c>
      <c r="G185" s="49" t="n">
        <v>64</v>
      </c>
    </row>
    <row r="186">
      <c r="A186" s="42" t="inlineStr">
        <is>
          <t>Wofford</t>
        </is>
      </c>
      <c r="B186" s="42" t="inlineStr">
        <is>
          <t>0-1</t>
        </is>
      </c>
      <c r="C186" s="42" t="n">
        <v>-0.61</v>
      </c>
      <c r="D186" s="42" t="n">
        <v>181</v>
      </c>
      <c r="E186" s="42" t="n">
        <v>1417.9</v>
      </c>
      <c r="F186" s="42" t="n">
        <v>184</v>
      </c>
      <c r="G186" s="42" t="n">
        <v>3</v>
      </c>
    </row>
    <row r="187">
      <c r="A187" s="42" t="inlineStr">
        <is>
          <t>North Carolina A&amp;T</t>
        </is>
      </c>
      <c r="B187" s="42" t="inlineStr">
        <is>
          <t>0-1</t>
        </is>
      </c>
      <c r="C187" s="42" t="n">
        <v>-0.61</v>
      </c>
      <c r="D187" s="42" t="n">
        <v>182</v>
      </c>
      <c r="E187" s="42" t="n">
        <v>1397.7</v>
      </c>
      <c r="F187" s="42" t="n">
        <v>221</v>
      </c>
      <c r="G187" s="49" t="n">
        <v>39</v>
      </c>
    </row>
    <row r="188">
      <c r="A188" s="42" t="inlineStr">
        <is>
          <t>Fordham</t>
        </is>
      </c>
      <c r="B188" s="42" t="inlineStr">
        <is>
          <t>0-2</t>
        </is>
      </c>
      <c r="C188" s="42" t="n">
        <v>-0.62</v>
      </c>
      <c r="D188" s="42" t="n">
        <v>183</v>
      </c>
      <c r="E188" s="42" t="n">
        <v>1413.3</v>
      </c>
      <c r="F188" s="42" t="n">
        <v>196</v>
      </c>
      <c r="G188" s="42" t="n">
        <v>13</v>
      </c>
    </row>
    <row r="189">
      <c r="A189" s="42" t="inlineStr">
        <is>
          <t>Charleston Southern</t>
        </is>
      </c>
      <c r="B189" s="42" t="inlineStr">
        <is>
          <t>0-2</t>
        </is>
      </c>
      <c r="C189" s="42" t="n">
        <v>-0.62</v>
      </c>
      <c r="D189" s="42" t="n">
        <v>184</v>
      </c>
      <c r="E189" s="42" t="n">
        <v>1400.6</v>
      </c>
      <c r="F189" s="42" t="n">
        <v>219</v>
      </c>
      <c r="G189" s="49" t="n">
        <v>35</v>
      </c>
    </row>
    <row r="190">
      <c r="A190" s="42" t="inlineStr">
        <is>
          <t>TCU</t>
        </is>
      </c>
      <c r="B190" s="42" t="inlineStr">
        <is>
          <t>2-4</t>
        </is>
      </c>
      <c r="C190" s="42" t="n">
        <v>-0.65</v>
      </c>
      <c r="D190" s="42" t="n">
        <v>185</v>
      </c>
      <c r="E190" s="42" t="n">
        <v>1612.2</v>
      </c>
      <c r="F190" s="42" t="n">
        <v>45</v>
      </c>
      <c r="G190" s="42" t="n">
        <v>-140</v>
      </c>
    </row>
    <row r="191">
      <c r="A191" s="42" t="inlineStr">
        <is>
          <t>Vanderbilt</t>
        </is>
      </c>
      <c r="B191" s="42" t="inlineStr">
        <is>
          <t>2-5</t>
        </is>
      </c>
      <c r="C191" s="42" t="n">
        <v>-0.67</v>
      </c>
      <c r="D191" s="42" t="n">
        <v>186</v>
      </c>
      <c r="E191" s="42" t="n">
        <v>1557.8</v>
      </c>
      <c r="F191" s="42" t="n">
        <v>69</v>
      </c>
      <c r="G191" s="42" t="n">
        <v>-117</v>
      </c>
    </row>
    <row r="192">
      <c r="A192" s="42" t="inlineStr">
        <is>
          <t>UT Martin</t>
        </is>
      </c>
      <c r="B192" s="42" t="inlineStr">
        <is>
          <t>0-2</t>
        </is>
      </c>
      <c r="C192" s="42" t="n">
        <v>-0.68</v>
      </c>
      <c r="D192" s="42" t="n">
        <v>187</v>
      </c>
      <c r="E192" s="42" t="n">
        <v>1383.9</v>
      </c>
      <c r="F192" s="42" t="n">
        <v>235</v>
      </c>
      <c r="G192" s="49" t="n">
        <v>48</v>
      </c>
    </row>
    <row r="193">
      <c r="A193" s="42" t="inlineStr">
        <is>
          <t>Sacred Heart</t>
        </is>
      </c>
      <c r="B193" s="42" t="inlineStr">
        <is>
          <t>0-1</t>
        </is>
      </c>
      <c r="C193" s="42" t="n">
        <v>-0.7</v>
      </c>
      <c r="D193" s="42" t="n">
        <v>188</v>
      </c>
      <c r="E193" s="42" t="n">
        <v>1427.1</v>
      </c>
      <c r="F193" s="42" t="n">
        <v>166</v>
      </c>
      <c r="G193" s="42" t="n">
        <v>-22</v>
      </c>
    </row>
    <row r="194">
      <c r="A194" s="42" t="inlineStr">
        <is>
          <t>Gardner-Webb</t>
        </is>
      </c>
      <c r="B194" s="42" t="inlineStr">
        <is>
          <t>0-2</t>
        </is>
      </c>
      <c r="C194" s="42" t="n">
        <v>-0.78</v>
      </c>
      <c r="D194" s="42" t="n">
        <v>189</v>
      </c>
      <c r="E194" s="42" t="n">
        <v>1421.6</v>
      </c>
      <c r="F194" s="42" t="n">
        <v>176</v>
      </c>
      <c r="G194" s="42" t="n">
        <v>-13</v>
      </c>
    </row>
    <row r="195">
      <c r="A195" s="42" t="inlineStr">
        <is>
          <t>Houston Christian</t>
        </is>
      </c>
      <c r="B195" s="42" t="inlineStr">
        <is>
          <t>0-2</t>
        </is>
      </c>
      <c r="C195" s="42" t="n">
        <v>-0.8</v>
      </c>
      <c r="D195" s="42" t="n">
        <v>190</v>
      </c>
      <c r="E195" s="42" t="n">
        <v>1392.6</v>
      </c>
      <c r="F195" s="42" t="n">
        <v>227</v>
      </c>
      <c r="G195" s="49" t="n">
        <v>37</v>
      </c>
    </row>
    <row r="196">
      <c r="A196" s="42" t="inlineStr">
        <is>
          <t>Duquesne</t>
        </is>
      </c>
      <c r="B196" s="42" t="inlineStr">
        <is>
          <t>0-2</t>
        </is>
      </c>
      <c r="C196" s="42" t="n">
        <v>-0.8</v>
      </c>
      <c r="D196" s="42" t="n">
        <v>191</v>
      </c>
      <c r="E196" s="42" t="n">
        <v>1359.3</v>
      </c>
      <c r="F196" s="42" t="n">
        <v>240</v>
      </c>
      <c r="G196" s="49" t="n">
        <v>49</v>
      </c>
    </row>
    <row r="197">
      <c r="A197" s="42" t="inlineStr">
        <is>
          <t>West Georgia</t>
        </is>
      </c>
      <c r="B197" s="42" t="inlineStr">
        <is>
          <t>0-2</t>
        </is>
      </c>
      <c r="C197" s="42" t="n">
        <v>-0.82</v>
      </c>
      <c r="D197" s="42" t="n">
        <v>192</v>
      </c>
      <c r="E197" s="42" t="n">
        <v>1442.3</v>
      </c>
      <c r="F197" s="42" t="n">
        <v>140</v>
      </c>
      <c r="G197" s="42" t="n">
        <v>-52</v>
      </c>
    </row>
    <row r="198">
      <c r="A198" s="42" t="inlineStr">
        <is>
          <t>Colorado State</t>
        </is>
      </c>
      <c r="B198" s="42" t="inlineStr">
        <is>
          <t>2-4</t>
        </is>
      </c>
      <c r="C198" s="42" t="n">
        <v>-0.82</v>
      </c>
      <c r="D198" s="42" t="n">
        <v>193</v>
      </c>
      <c r="E198" s="42" t="n">
        <v>1401.2</v>
      </c>
      <c r="F198" s="42" t="n">
        <v>217</v>
      </c>
      <c r="G198" s="49" t="n">
        <v>24</v>
      </c>
    </row>
    <row r="199">
      <c r="A199" s="42" t="inlineStr">
        <is>
          <t>Long Island University</t>
        </is>
      </c>
      <c r="B199" s="42" t="inlineStr">
        <is>
          <t>0-2</t>
        </is>
      </c>
      <c r="C199" s="42" t="n">
        <v>-0.83</v>
      </c>
      <c r="D199" s="42" t="n">
        <v>194</v>
      </c>
      <c r="E199" s="42" t="n">
        <v>1409.7</v>
      </c>
      <c r="F199" s="42" t="n">
        <v>205</v>
      </c>
      <c r="G199" s="42" t="n">
        <v>11</v>
      </c>
    </row>
    <row r="200">
      <c r="A200" s="42" t="inlineStr">
        <is>
          <t>California</t>
        </is>
      </c>
      <c r="B200" s="42" t="inlineStr">
        <is>
          <t>2-5</t>
        </is>
      </c>
      <c r="C200" s="42" t="n">
        <v>-0.85</v>
      </c>
      <c r="D200" s="42" t="n">
        <v>195</v>
      </c>
      <c r="E200" s="42" t="n">
        <v>1449.5</v>
      </c>
      <c r="F200" s="42" t="n">
        <v>128</v>
      </c>
      <c r="G200" s="42" t="n">
        <v>-67</v>
      </c>
    </row>
    <row r="201">
      <c r="A201" s="42" t="inlineStr">
        <is>
          <t>Massachusetts</t>
        </is>
      </c>
      <c r="B201" s="42" t="inlineStr">
        <is>
          <t>2-4</t>
        </is>
      </c>
      <c r="C201" s="42" t="n">
        <v>-0.87</v>
      </c>
      <c r="D201" s="42" t="n">
        <v>196</v>
      </c>
      <c r="E201" s="42" t="n">
        <v>1353.8</v>
      </c>
      <c r="F201" s="42" t="n">
        <v>243</v>
      </c>
      <c r="G201" s="49" t="n">
        <v>47</v>
      </c>
    </row>
    <row r="202">
      <c r="A202" s="42" t="inlineStr">
        <is>
          <t>Nicholls</t>
        </is>
      </c>
      <c r="B202" s="42" t="inlineStr">
        <is>
          <t>0-2</t>
        </is>
      </c>
      <c r="C202" s="42" t="n">
        <v>-0.88</v>
      </c>
      <c r="D202" s="42" t="n">
        <v>197</v>
      </c>
      <c r="E202" s="42" t="n">
        <v>1366.1</v>
      </c>
      <c r="F202" s="42" t="n">
        <v>239</v>
      </c>
      <c r="G202" s="49" t="n">
        <v>42</v>
      </c>
    </row>
    <row r="203">
      <c r="A203" s="42" t="inlineStr">
        <is>
          <t>San Diego State</t>
        </is>
      </c>
      <c r="B203" s="42" t="inlineStr">
        <is>
          <t>2-5</t>
        </is>
      </c>
      <c r="C203" s="42" t="n">
        <v>-0.89</v>
      </c>
      <c r="D203" s="42" t="n">
        <v>198</v>
      </c>
      <c r="E203" s="42" t="n">
        <v>1470.6</v>
      </c>
      <c r="F203" s="42" t="n">
        <v>111</v>
      </c>
      <c r="G203" s="42" t="n">
        <v>-87</v>
      </c>
    </row>
    <row r="204">
      <c r="A204" s="42" t="inlineStr">
        <is>
          <t>Delaware</t>
        </is>
      </c>
      <c r="B204" s="42" t="inlineStr">
        <is>
          <t>2-4</t>
        </is>
      </c>
      <c r="C204" s="42" t="n">
        <v>-0.9</v>
      </c>
      <c r="D204" s="42" t="n">
        <v>199</v>
      </c>
      <c r="E204" s="42" t="n">
        <v>1475.1</v>
      </c>
      <c r="F204" s="42" t="n">
        <v>107</v>
      </c>
      <c r="G204" s="42" t="n">
        <v>-92</v>
      </c>
    </row>
    <row r="205">
      <c r="A205" s="42" t="inlineStr">
        <is>
          <t>New Mexico State</t>
        </is>
      </c>
      <c r="B205" s="42" t="inlineStr">
        <is>
          <t>2-4</t>
        </is>
      </c>
      <c r="C205" s="42" t="n">
        <v>-0.91</v>
      </c>
      <c r="D205" s="42" t="n">
        <v>200</v>
      </c>
      <c r="E205" s="42" t="n">
        <v>1425.1</v>
      </c>
      <c r="F205" s="42" t="n">
        <v>171</v>
      </c>
      <c r="G205" s="42" t="n">
        <v>-29</v>
      </c>
    </row>
    <row r="206">
      <c r="A206" s="42" t="inlineStr">
        <is>
          <t>Maine</t>
        </is>
      </c>
      <c r="B206" s="42" t="inlineStr">
        <is>
          <t>0-2</t>
        </is>
      </c>
      <c r="C206" s="42" t="n">
        <v>-0.92</v>
      </c>
      <c r="D206" s="42" t="n">
        <v>201</v>
      </c>
      <c r="E206" s="42" t="n">
        <v>1388.5</v>
      </c>
      <c r="F206" s="42" t="n">
        <v>230</v>
      </c>
      <c r="G206" s="49" t="n">
        <v>29</v>
      </c>
    </row>
    <row r="207">
      <c r="A207" s="42" t="inlineStr">
        <is>
          <t>Colorado</t>
        </is>
      </c>
      <c r="B207" s="42" t="inlineStr">
        <is>
          <t>1-5</t>
        </is>
      </c>
      <c r="C207" s="42" t="n">
        <v>-0.93</v>
      </c>
      <c r="D207" s="42" t="n">
        <v>202</v>
      </c>
      <c r="E207" s="42" t="n">
        <v>1418</v>
      </c>
      <c r="F207" s="42" t="n">
        <v>183</v>
      </c>
      <c r="G207" s="42" t="n">
        <v>-19</v>
      </c>
    </row>
    <row r="208">
      <c r="A208" s="42" t="inlineStr">
        <is>
          <t>Stonehill</t>
        </is>
      </c>
      <c r="B208" s="42" t="inlineStr">
        <is>
          <t>0-2</t>
        </is>
      </c>
      <c r="C208" s="42" t="n">
        <v>-0.9399999999999999</v>
      </c>
      <c r="D208" s="42" t="n">
        <v>203</v>
      </c>
      <c r="E208" s="42" t="n">
        <v>1445.5</v>
      </c>
      <c r="F208" s="42" t="n">
        <v>134</v>
      </c>
      <c r="G208" s="42" t="n">
        <v>-69</v>
      </c>
    </row>
    <row r="209">
      <c r="A209" s="42" t="inlineStr">
        <is>
          <t>Kent State</t>
        </is>
      </c>
      <c r="B209" s="42" t="inlineStr">
        <is>
          <t>2-5</t>
        </is>
      </c>
      <c r="C209" s="42" t="n">
        <v>-0.99</v>
      </c>
      <c r="D209" s="42" t="n">
        <v>204</v>
      </c>
      <c r="E209" s="42" t="n">
        <v>1397.1</v>
      </c>
      <c r="F209" s="42" t="n">
        <v>223</v>
      </c>
      <c r="G209" s="49" t="n">
        <v>19</v>
      </c>
    </row>
    <row r="210">
      <c r="A210" s="42" t="inlineStr">
        <is>
          <t>Eastern Michigan</t>
        </is>
      </c>
      <c r="B210" s="42" t="inlineStr">
        <is>
          <t>3-5</t>
        </is>
      </c>
      <c r="C210" s="42" t="n">
        <v>-1.01</v>
      </c>
      <c r="D210" s="42" t="n">
        <v>205</v>
      </c>
      <c r="E210" s="42" t="n">
        <v>1435</v>
      </c>
      <c r="F210" s="42" t="n">
        <v>149</v>
      </c>
      <c r="G210" s="42" t="n">
        <v>-56</v>
      </c>
    </row>
    <row r="211">
      <c r="A211" s="42" t="inlineStr">
        <is>
          <t>Robert Morris</t>
        </is>
      </c>
      <c r="B211" s="42" t="inlineStr">
        <is>
          <t>0-2</t>
        </is>
      </c>
      <c r="C211" s="42" t="n">
        <v>-1.03</v>
      </c>
      <c r="D211" s="42" t="n">
        <v>206</v>
      </c>
      <c r="E211" s="42" t="n">
        <v>1402.2</v>
      </c>
      <c r="F211" s="42" t="n">
        <v>216</v>
      </c>
      <c r="G211" s="42" t="n">
        <v>10</v>
      </c>
    </row>
    <row r="212">
      <c r="A212" s="42" t="inlineStr">
        <is>
          <t>Lindenwood</t>
        </is>
      </c>
      <c r="B212" s="42" t="inlineStr">
        <is>
          <t>0-2</t>
        </is>
      </c>
      <c r="C212" s="42" t="n">
        <v>-1.05</v>
      </c>
      <c r="D212" s="42" t="n">
        <v>207</v>
      </c>
      <c r="E212" s="42" t="n">
        <v>1399.2</v>
      </c>
      <c r="F212" s="42" t="n">
        <v>220</v>
      </c>
      <c r="G212" s="42" t="n">
        <v>13</v>
      </c>
    </row>
    <row r="213">
      <c r="A213" s="42" t="inlineStr">
        <is>
          <t>Texas Southern</t>
        </is>
      </c>
      <c r="B213" s="42" t="inlineStr">
        <is>
          <t>0-2</t>
        </is>
      </c>
      <c r="C213" s="42" t="n">
        <v>-1.07</v>
      </c>
      <c r="D213" s="42" t="n">
        <v>208</v>
      </c>
      <c r="E213" s="42" t="n">
        <v>1357.3</v>
      </c>
      <c r="F213" s="42" t="n">
        <v>242</v>
      </c>
      <c r="G213" s="49" t="n">
        <v>34</v>
      </c>
    </row>
    <row r="214">
      <c r="A214" s="42" t="inlineStr">
        <is>
          <t>Ball State</t>
        </is>
      </c>
      <c r="B214" s="42" t="inlineStr">
        <is>
          <t>2-5</t>
        </is>
      </c>
      <c r="C214" s="42" t="n">
        <v>-1.11</v>
      </c>
      <c r="D214" s="42" t="n">
        <v>209</v>
      </c>
      <c r="E214" s="42" t="n">
        <v>1374.7</v>
      </c>
      <c r="F214" s="42" t="n">
        <v>238</v>
      </c>
      <c r="G214" s="49" t="n">
        <v>29</v>
      </c>
    </row>
    <row r="215">
      <c r="A215" s="42" t="inlineStr">
        <is>
          <t>Florida International</t>
        </is>
      </c>
      <c r="B215" s="42" t="inlineStr">
        <is>
          <t>2-4</t>
        </is>
      </c>
      <c r="C215" s="42" t="n">
        <v>-1.14</v>
      </c>
      <c r="D215" s="42" t="n">
        <v>210</v>
      </c>
      <c r="E215" s="42" t="n">
        <v>1480</v>
      </c>
      <c r="F215" s="42" t="n">
        <v>104</v>
      </c>
      <c r="G215" s="42" t="n">
        <v>-106</v>
      </c>
    </row>
    <row r="216">
      <c r="A216" s="42" t="inlineStr">
        <is>
          <t>Central Michigan</t>
        </is>
      </c>
      <c r="B216" s="42" t="inlineStr">
        <is>
          <t>2-5</t>
        </is>
      </c>
      <c r="C216" s="42" t="n">
        <v>-1.16</v>
      </c>
      <c r="D216" s="42" t="n">
        <v>211</v>
      </c>
      <c r="E216" s="42" t="n">
        <v>1448.5</v>
      </c>
      <c r="F216" s="42" t="n">
        <v>129</v>
      </c>
      <c r="G216" s="42" t="n">
        <v>-82</v>
      </c>
    </row>
    <row r="217">
      <c r="A217" s="42" t="inlineStr">
        <is>
          <t>Murray State</t>
        </is>
      </c>
      <c r="B217" s="42" t="inlineStr">
        <is>
          <t>0-2</t>
        </is>
      </c>
      <c r="C217" s="42" t="n">
        <v>-1.17</v>
      </c>
      <c r="D217" s="42" t="n">
        <v>212</v>
      </c>
      <c r="E217" s="42" t="n">
        <v>1340.4</v>
      </c>
      <c r="F217" s="42" t="n">
        <v>245</v>
      </c>
      <c r="G217" s="49" t="n">
        <v>33</v>
      </c>
    </row>
    <row r="218">
      <c r="A218" s="42" t="inlineStr">
        <is>
          <t>Michigan State</t>
        </is>
      </c>
      <c r="B218" s="42" t="inlineStr">
        <is>
          <t>2-6</t>
        </is>
      </c>
      <c r="C218" s="42" t="n">
        <v>-1.23</v>
      </c>
      <c r="D218" s="42" t="n">
        <v>213</v>
      </c>
      <c r="E218" s="42" t="n">
        <v>1427</v>
      </c>
      <c r="F218" s="42" t="n">
        <v>168</v>
      </c>
      <c r="G218" s="42" t="n">
        <v>-45</v>
      </c>
    </row>
    <row r="219">
      <c r="A219" s="42" t="inlineStr">
        <is>
          <t>Bowling Green</t>
        </is>
      </c>
      <c r="B219" s="42" t="inlineStr">
        <is>
          <t>2-5</t>
        </is>
      </c>
      <c r="C219" s="42" t="n">
        <v>-1.25</v>
      </c>
      <c r="D219" s="42" t="n">
        <v>214</v>
      </c>
      <c r="E219" s="42" t="n">
        <v>1406.7</v>
      </c>
      <c r="F219" s="42" t="n">
        <v>209</v>
      </c>
      <c r="G219" s="42" t="n">
        <v>-5</v>
      </c>
    </row>
    <row r="220">
      <c r="A220" s="42" t="inlineStr">
        <is>
          <t>Charlotte</t>
        </is>
      </c>
      <c r="B220" s="42" t="inlineStr">
        <is>
          <t>1-5</t>
        </is>
      </c>
      <c r="C220" s="42" t="n">
        <v>-1.26</v>
      </c>
      <c r="D220" s="42" t="n">
        <v>215</v>
      </c>
      <c r="E220" s="42" t="n">
        <v>1298.5</v>
      </c>
      <c r="F220" s="42" t="n">
        <v>250</v>
      </c>
      <c r="G220" s="49" t="n">
        <v>35</v>
      </c>
    </row>
    <row r="221">
      <c r="A221" s="42" t="inlineStr">
        <is>
          <t>Mercyhurst</t>
        </is>
      </c>
      <c r="B221" s="42" t="inlineStr">
        <is>
          <t>0-3</t>
        </is>
      </c>
      <c r="C221" s="42" t="n">
        <v>-1.3</v>
      </c>
      <c r="D221" s="42" t="n">
        <v>216</v>
      </c>
      <c r="E221" s="42" t="n">
        <v>1414.7</v>
      </c>
      <c r="F221" s="42" t="n">
        <v>190</v>
      </c>
      <c r="G221" s="42" t="n">
        <v>-26</v>
      </c>
    </row>
    <row r="222">
      <c r="A222" s="42" t="inlineStr">
        <is>
          <t>Troy</t>
        </is>
      </c>
      <c r="B222" s="42" t="inlineStr">
        <is>
          <t>2-4</t>
        </is>
      </c>
      <c r="C222" s="42" t="n">
        <v>-1.35</v>
      </c>
      <c r="D222" s="42" t="n">
        <v>217</v>
      </c>
      <c r="E222" s="42" t="n">
        <v>1479.7</v>
      </c>
      <c r="F222" s="42" t="n">
        <v>105</v>
      </c>
      <c r="G222" s="42" t="n">
        <v>-112</v>
      </c>
    </row>
    <row r="223">
      <c r="A223" s="42" t="inlineStr">
        <is>
          <t>Maryland</t>
        </is>
      </c>
      <c r="B223" s="42" t="inlineStr">
        <is>
          <t>1-5</t>
        </is>
      </c>
      <c r="C223" s="42" t="n">
        <v>-1.38</v>
      </c>
      <c r="D223" s="42" t="n">
        <v>218</v>
      </c>
      <c r="E223" s="42" t="n">
        <v>1418.1</v>
      </c>
      <c r="F223" s="42" t="n">
        <v>182</v>
      </c>
      <c r="G223" s="42" t="n">
        <v>-36</v>
      </c>
    </row>
    <row r="224">
      <c r="A224" s="42" t="inlineStr">
        <is>
          <t>Missouri State</t>
        </is>
      </c>
      <c r="B224" s="42" t="inlineStr">
        <is>
          <t>1-5</t>
        </is>
      </c>
      <c r="C224" s="42" t="n">
        <v>-1.47</v>
      </c>
      <c r="D224" s="42" t="n">
        <v>219</v>
      </c>
      <c r="E224" s="42" t="n">
        <v>1415.1</v>
      </c>
      <c r="F224" s="42" t="n">
        <v>188</v>
      </c>
      <c r="G224" s="42" t="n">
        <v>-31</v>
      </c>
    </row>
    <row r="225">
      <c r="A225" s="42" t="inlineStr">
        <is>
          <t>Rutgers</t>
        </is>
      </c>
      <c r="B225" s="42" t="inlineStr">
        <is>
          <t>1-5</t>
        </is>
      </c>
      <c r="C225" s="42" t="n">
        <v>-1.61</v>
      </c>
      <c r="D225" s="42" t="n">
        <v>220</v>
      </c>
      <c r="E225" s="42" t="n">
        <v>1473</v>
      </c>
      <c r="F225" s="42" t="n">
        <v>108</v>
      </c>
      <c r="G225" s="42" t="n">
        <v>-112</v>
      </c>
    </row>
    <row r="226">
      <c r="A226" s="42" t="inlineStr">
        <is>
          <t>Southern Miss</t>
        </is>
      </c>
      <c r="B226" s="42" t="inlineStr">
        <is>
          <t>1-5</t>
        </is>
      </c>
      <c r="C226" s="42" t="n">
        <v>-1.66</v>
      </c>
      <c r="D226" s="42" t="n">
        <v>221</v>
      </c>
      <c r="E226" s="42" t="n">
        <v>1390.3</v>
      </c>
      <c r="F226" s="42" t="n">
        <v>229</v>
      </c>
      <c r="G226" s="42" t="n">
        <v>8</v>
      </c>
    </row>
    <row r="227">
      <c r="A227" s="42" t="inlineStr">
        <is>
          <t>Temple</t>
        </is>
      </c>
      <c r="B227" s="42" t="inlineStr">
        <is>
          <t>1-5</t>
        </is>
      </c>
      <c r="C227" s="42" t="n">
        <v>-1.68</v>
      </c>
      <c r="D227" s="42" t="n">
        <v>222</v>
      </c>
      <c r="E227" s="42" t="n">
        <v>1397.6</v>
      </c>
      <c r="F227" s="42" t="n">
        <v>222</v>
      </c>
      <c r="G227" s="42" t="n">
        <v>0</v>
      </c>
    </row>
    <row r="228">
      <c r="A228" s="42" t="inlineStr">
        <is>
          <t>Navy</t>
        </is>
      </c>
      <c r="B228" s="42" t="inlineStr">
        <is>
          <t>1-5</t>
        </is>
      </c>
      <c r="C228" s="42" t="n">
        <v>-1.84</v>
      </c>
      <c r="D228" s="42" t="n">
        <v>223</v>
      </c>
      <c r="E228" s="42" t="n">
        <v>1555.3</v>
      </c>
      <c r="F228" s="42" t="n">
        <v>71</v>
      </c>
      <c r="G228" s="42" t="n">
        <v>-152</v>
      </c>
    </row>
    <row r="229">
      <c r="A229" s="42" t="inlineStr">
        <is>
          <t>Georgia Tech</t>
        </is>
      </c>
      <c r="B229" s="42" t="inlineStr">
        <is>
          <t>1-5</t>
        </is>
      </c>
      <c r="C229" s="42" t="n">
        <v>-1.86</v>
      </c>
      <c r="D229" s="42" t="n">
        <v>224</v>
      </c>
      <c r="E229" s="42" t="n">
        <v>1488.9</v>
      </c>
      <c r="F229" s="42" t="n">
        <v>99</v>
      </c>
      <c r="G229" s="42" t="n">
        <v>-125</v>
      </c>
    </row>
    <row r="230">
      <c r="A230" s="42" t="inlineStr">
        <is>
          <t>Coastal Carolina</t>
        </is>
      </c>
      <c r="B230" s="42" t="inlineStr">
        <is>
          <t>1-5</t>
        </is>
      </c>
      <c r="C230" s="42" t="n">
        <v>-1.99</v>
      </c>
      <c r="D230" s="42" t="n">
        <v>225</v>
      </c>
      <c r="E230" s="42" t="n">
        <v>1431</v>
      </c>
      <c r="F230" s="42" t="n">
        <v>159</v>
      </c>
      <c r="G230" s="42" t="n">
        <v>-66</v>
      </c>
    </row>
    <row r="231">
      <c r="A231" s="42" t="inlineStr">
        <is>
          <t>Old Dominion</t>
        </is>
      </c>
      <c r="B231" s="42" t="inlineStr">
        <is>
          <t>1-6</t>
        </is>
      </c>
      <c r="C231" s="42" t="n">
        <v>-2.05</v>
      </c>
      <c r="D231" s="42" t="n">
        <v>226</v>
      </c>
      <c r="E231" s="42" t="n">
        <v>1491.8</v>
      </c>
      <c r="F231" s="42" t="n">
        <v>96</v>
      </c>
      <c r="G231" s="42" t="n">
        <v>-130</v>
      </c>
    </row>
    <row r="232">
      <c r="A232" s="42" t="inlineStr">
        <is>
          <t>UL Monroe</t>
        </is>
      </c>
      <c r="B232" s="42" t="inlineStr">
        <is>
          <t>1-5</t>
        </is>
      </c>
      <c r="C232" s="42" t="n">
        <v>-2.05</v>
      </c>
      <c r="D232" s="42" t="n">
        <v>227</v>
      </c>
      <c r="E232" s="42" t="n">
        <v>1299</v>
      </c>
      <c r="F232" s="42" t="n">
        <v>249</v>
      </c>
      <c r="G232" s="49" t="n">
        <v>22</v>
      </c>
    </row>
    <row r="233">
      <c r="A233" s="42" t="inlineStr">
        <is>
          <t>Hawai'i</t>
        </is>
      </c>
      <c r="B233" s="42" t="inlineStr">
        <is>
          <t>2-6</t>
        </is>
      </c>
      <c r="C233" s="42" t="n">
        <v>-2.31</v>
      </c>
      <c r="D233" s="42" t="n">
        <v>228</v>
      </c>
      <c r="E233" s="42" t="n">
        <v>1454.8</v>
      </c>
      <c r="F233" s="42" t="n">
        <v>123</v>
      </c>
      <c r="G233" s="42" t="n">
        <v>-105</v>
      </c>
    </row>
    <row r="234">
      <c r="A234" s="42" t="inlineStr">
        <is>
          <t>Washington State</t>
        </is>
      </c>
      <c r="B234" s="42" t="inlineStr">
        <is>
          <t>0-7</t>
        </is>
      </c>
      <c r="C234" s="42" t="n">
        <v>-2.47</v>
      </c>
      <c r="D234" s="42" t="n">
        <v>229</v>
      </c>
      <c r="E234" s="42" t="n">
        <v>1451.1</v>
      </c>
      <c r="F234" s="42" t="n">
        <v>125</v>
      </c>
      <c r="G234" s="42" t="n">
        <v>-104</v>
      </c>
    </row>
    <row r="235">
      <c r="A235" s="42" t="inlineStr">
        <is>
          <t>Rice</t>
        </is>
      </c>
      <c r="B235" s="42" t="inlineStr">
        <is>
          <t>0-7</t>
        </is>
      </c>
      <c r="C235" s="42" t="n">
        <v>-2.7</v>
      </c>
      <c r="D235" s="42" t="n">
        <v>230</v>
      </c>
      <c r="E235" s="42" t="n">
        <v>1358</v>
      </c>
      <c r="F235" s="42" t="n">
        <v>241</v>
      </c>
      <c r="G235" s="42" t="n">
        <v>11</v>
      </c>
    </row>
    <row r="236">
      <c r="A236" s="42" t="inlineStr">
        <is>
          <t>Northern Illinois</t>
        </is>
      </c>
      <c r="B236" s="42" t="inlineStr">
        <is>
          <t>0-6</t>
        </is>
      </c>
      <c r="C236" s="42" t="n">
        <v>-2.73</v>
      </c>
      <c r="D236" s="42" t="n">
        <v>231</v>
      </c>
      <c r="E236" s="42" t="n">
        <v>1294.5</v>
      </c>
      <c r="F236" s="42" t="n">
        <v>251</v>
      </c>
      <c r="G236" s="49" t="n">
        <v>20</v>
      </c>
    </row>
    <row r="237">
      <c r="A237" s="42" t="inlineStr">
        <is>
          <t>Kennesaw State</t>
        </is>
      </c>
      <c r="B237" s="42" t="inlineStr">
        <is>
          <t>0-6</t>
        </is>
      </c>
      <c r="C237" s="42" t="n">
        <v>-2.81</v>
      </c>
      <c r="D237" s="42" t="n">
        <v>232</v>
      </c>
      <c r="E237" s="42" t="n">
        <v>1433.1</v>
      </c>
      <c r="F237" s="42" t="n">
        <v>155</v>
      </c>
      <c r="G237" s="42" t="n">
        <v>-77</v>
      </c>
    </row>
    <row r="238">
      <c r="A238" s="42" t="inlineStr">
        <is>
          <t>UTEP</t>
        </is>
      </c>
      <c r="B238" s="42" t="inlineStr">
        <is>
          <t>0-6</t>
        </is>
      </c>
      <c r="C238" s="42" t="n">
        <v>-2.83</v>
      </c>
      <c r="D238" s="42" t="n">
        <v>233</v>
      </c>
      <c r="E238" s="42" t="n">
        <v>1280.7</v>
      </c>
      <c r="F238" s="42" t="n">
        <v>252</v>
      </c>
      <c r="G238" s="49" t="n">
        <v>19</v>
      </c>
    </row>
    <row r="239">
      <c r="A239" s="42" t="inlineStr">
        <is>
          <t>Sam Houston</t>
        </is>
      </c>
      <c r="B239" s="42" t="inlineStr">
        <is>
          <t>0-6</t>
        </is>
      </c>
      <c r="C239" s="42" t="n">
        <v>-2.85</v>
      </c>
      <c r="D239" s="42" t="n">
        <v>234</v>
      </c>
      <c r="E239" s="42" t="n">
        <v>1335.8</v>
      </c>
      <c r="F239" s="42" t="n">
        <v>247</v>
      </c>
      <c r="G239" s="42" t="n">
        <v>13</v>
      </c>
    </row>
    <row r="240">
      <c r="A240" s="42" t="inlineStr">
        <is>
          <t>Akron</t>
        </is>
      </c>
      <c r="B240" s="42" t="inlineStr">
        <is>
          <t>0-7</t>
        </is>
      </c>
      <c r="C240" s="42" t="n">
        <v>-3.21</v>
      </c>
      <c r="D240" s="42" t="n">
        <v>235</v>
      </c>
      <c r="E240" s="42" t="n">
        <v>1332</v>
      </c>
      <c r="F240" s="42" t="n">
        <v>248</v>
      </c>
      <c r="G240" s="42" t="n">
        <v>13</v>
      </c>
    </row>
    <row r="241">
      <c r="A241" s="42" t="inlineStr">
        <is>
          <t>Sacramento State</t>
        </is>
      </c>
      <c r="B241" s="42" t="inlineStr">
        <is>
          <t>0-7</t>
        </is>
      </c>
      <c r="C241" s="42" t="n">
        <v>-3.44</v>
      </c>
      <c r="D241" s="42" t="n">
        <v>236</v>
      </c>
      <c r="E241" s="42" t="n">
        <v>1335.8</v>
      </c>
      <c r="F241" s="42" t="n">
        <v>246</v>
      </c>
      <c r="G241" s="4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11"/>
  <sheetViews>
    <sheetView showGridLines="0" workbookViewId="0">
      <selection activeCell="F6" sqref="F6"/>
    </sheetView>
  </sheetViews>
  <sheetFormatPr baseColWidth="8" defaultRowHeight="14.5"/>
  <cols>
    <col width="6" bestFit="1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26.5" customHeight="1">
      <c r="A1" s="41" t="inlineStr">
        <is>
          <t>National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296-263-7</t>
        </is>
      </c>
      <c r="C3" s="45" t="n">
        <v>0.53</v>
      </c>
    </row>
    <row r="4">
      <c r="A4" s="42" t="inlineStr">
        <is>
          <t>Weekly ATS (Wk 8)</t>
        </is>
      </c>
      <c r="B4" s="42" t="inlineStr">
        <is>
          <t>25-31-0</t>
        </is>
      </c>
      <c r="C4" s="45" t="n">
        <v>0.446</v>
      </c>
    </row>
    <row r="5">
      <c r="A5" s="42" t="inlineStr">
        <is>
          <t>Model pick W-L, straight-up (Wk 8)</t>
        </is>
      </c>
      <c r="B5" s="42" t="inlineStr">
        <is>
          <t>31-25</t>
        </is>
      </c>
      <c r="C5" s="45" t="n">
        <v>0.554</v>
      </c>
    </row>
    <row r="6" ht="26.5" customHeight="1"/>
    <row r="7" ht="26.25" customHeight="1">
      <c r="A7" s="41" t="inlineStr">
        <is>
          <t>Week 9</t>
        </is>
      </c>
    </row>
    <row r="8" ht="26.5" customHeight="1">
      <c r="A8" s="46" t="inlineStr">
        <is>
          <t>Week</t>
        </is>
      </c>
      <c r="B8" s="46" t="inlineStr">
        <is>
          <t>Date</t>
        </is>
      </c>
      <c r="C8" s="46" t="inlineStr">
        <is>
          <t>Home Conf</t>
        </is>
      </c>
      <c r="D8" s="46" t="inlineStr">
        <is>
          <t>Away Conf</t>
        </is>
      </c>
      <c r="E8" s="46" t="inlineStr">
        <is>
          <t>Away Team</t>
        </is>
      </c>
      <c r="F8" s="46" t="inlineStr">
        <is>
          <t>Home Team</t>
        </is>
      </c>
      <c r="G8" s="46" t="inlineStr">
        <is>
          <t>Model Line (Home)</t>
        </is>
      </c>
      <c r="H8" s="46" t="inlineStr">
        <is>
          <t>Market Line (Home)</t>
        </is>
      </c>
      <c r="I8" s="46" t="inlineStr">
        <is>
          <t>Spread Edge (pts)</t>
        </is>
      </c>
      <c r="J8" s="46" t="inlineStr">
        <is>
          <t>Ridge Line (Home)</t>
        </is>
      </c>
      <c r="K8" s="46" t="inlineStr">
        <is>
          <t>Massey Line (Home)</t>
        </is>
      </c>
      <c r="L8" s="46" t="inlineStr">
        <is>
          <t>Model Total</t>
        </is>
      </c>
      <c r="M8" s="46" t="inlineStr">
        <is>
          <t>Market Total</t>
        </is>
      </c>
      <c r="N8" s="46" t="inlineStr">
        <is>
          <t>Total Edge (pts)</t>
        </is>
      </c>
      <c r="O8" s="46" t="inlineStr">
        <is>
          <t>Away Pts</t>
        </is>
      </c>
      <c r="P8" s="46" t="inlineStr">
        <is>
          <t>Home Pts</t>
        </is>
      </c>
      <c r="Q8" s="46" t="inlineStr">
        <is>
          <t>Model Result (SU)</t>
        </is>
      </c>
      <c r="R8" s="46" t="inlineStr">
        <is>
          <t>XGBoost Line (Home)</t>
        </is>
      </c>
      <c r="S8" s="46" t="inlineStr">
        <is>
          <t>Gamma ATS</t>
        </is>
      </c>
      <c r="T8" s="46" t="inlineStr">
        <is>
          <t>Ridge ATS</t>
        </is>
      </c>
      <c r="U8" s="46" t="inlineStr">
        <is>
          <t>XGBoost ATS</t>
        </is>
      </c>
      <c r="V8" s="46" t="inlineStr">
        <is>
          <t>Massey ATS</t>
        </is>
      </c>
    </row>
    <row r="9">
      <c r="A9" s="42" t="n">
        <v>9</v>
      </c>
      <c r="B9" s="42" t="inlineStr">
        <is>
          <t>2026-10-31</t>
        </is>
      </c>
      <c r="C9" s="42" t="inlineStr">
        <is>
          <t>ACC</t>
        </is>
      </c>
      <c r="D9" s="42" t="inlineStr">
        <is>
          <t>ACC</t>
        </is>
      </c>
      <c r="E9" s="42" t="inlineStr">
        <is>
          <t>Boston College</t>
        </is>
      </c>
      <c r="F9" s="42" t="inlineStr">
        <is>
          <t>Duke</t>
        </is>
      </c>
      <c r="G9" s="42" t="n">
        <v>-14.4</v>
      </c>
      <c r="H9" s="42" t="n">
        <v>-7</v>
      </c>
      <c r="I9" s="56" t="n">
        <v>7.4</v>
      </c>
      <c r="J9" s="42" t="n">
        <v>-11.3</v>
      </c>
      <c r="K9" s="42" t="n">
        <v>-9.800000000000001</v>
      </c>
      <c r="L9" s="42" t="n">
        <v>51.3</v>
      </c>
      <c r="M9" s="42" t="n">
        <v>49.5</v>
      </c>
      <c r="N9" s="42" t="n">
        <v>1.8</v>
      </c>
      <c r="O9" s="42" t="n"/>
      <c r="P9" s="42" t="n"/>
      <c r="Q9" s="42" t="n"/>
      <c r="R9" s="42" t="n">
        <v>-12.3</v>
      </c>
      <c r="S9" s="51" t="n"/>
      <c r="T9" s="51" t="n"/>
      <c r="U9" s="51" t="n"/>
      <c r="V9" s="51" t="n"/>
    </row>
    <row r="10">
      <c r="A10" s="42" t="n">
        <v>9</v>
      </c>
      <c r="B10" s="42" t="inlineStr">
        <is>
          <t>2026-10-31</t>
        </is>
      </c>
      <c r="C10" s="42" t="inlineStr">
        <is>
          <t>ACC</t>
        </is>
      </c>
      <c r="D10" s="42" t="inlineStr">
        <is>
          <t>ACC</t>
        </is>
      </c>
      <c r="E10" s="42" t="inlineStr">
        <is>
          <t>Clemson</t>
        </is>
      </c>
      <c r="F10" s="42" t="inlineStr">
        <is>
          <t>Florida State</t>
        </is>
      </c>
      <c r="G10" s="42" t="n">
        <v>-4.9</v>
      </c>
      <c r="H10" s="42" t="n">
        <v>-6</v>
      </c>
      <c r="I10" s="42" t="n">
        <v>-1.1</v>
      </c>
      <c r="J10" s="42" t="n">
        <v>2.2</v>
      </c>
      <c r="K10" s="42" t="n">
        <v>-8</v>
      </c>
      <c r="L10" s="42" t="n">
        <v>46</v>
      </c>
      <c r="M10" s="42" t="n">
        <v>49.5</v>
      </c>
      <c r="N10" s="47" t="n">
        <v>-3.5</v>
      </c>
      <c r="O10" s="42" t="n"/>
      <c r="P10" s="42" t="n"/>
      <c r="Q10" s="42" t="n"/>
      <c r="R10" s="42" t="n">
        <v>0.9</v>
      </c>
      <c r="S10" s="51" t="n"/>
      <c r="T10" s="51" t="n"/>
      <c r="U10" s="51" t="n"/>
      <c r="V10" s="51" t="n"/>
    </row>
    <row r="11">
      <c r="A11" s="42" t="n">
        <v>9</v>
      </c>
      <c r="B11" s="42" t="inlineStr">
        <is>
          <t>2026-10-31</t>
        </is>
      </c>
      <c r="C11" s="42" t="inlineStr">
        <is>
          <t>ACC</t>
        </is>
      </c>
      <c r="D11" s="42" t="inlineStr">
        <is>
          <t>ACC</t>
        </is>
      </c>
      <c r="E11" s="42" t="inlineStr">
        <is>
          <t>Stanford</t>
        </is>
      </c>
      <c r="F11" s="42" t="inlineStr">
        <is>
          <t>Louisville</t>
        </is>
      </c>
      <c r="G11" s="42" t="n">
        <v>-19.6</v>
      </c>
      <c r="H11" s="42" t="n">
        <v>-22.5</v>
      </c>
      <c r="I11" s="47" t="n">
        <v>-2.9</v>
      </c>
      <c r="J11" s="42" t="n">
        <v>-14.9</v>
      </c>
      <c r="K11" s="42" t="n">
        <v>-23.4</v>
      </c>
      <c r="L11" s="42" t="n">
        <v>56.2</v>
      </c>
      <c r="M11" s="42" t="n">
        <v>61.5</v>
      </c>
      <c r="N11" s="47" t="n">
        <v>-5.3</v>
      </c>
      <c r="O11" s="42" t="n"/>
      <c r="P11" s="42" t="n"/>
      <c r="Q11" s="42" t="n"/>
      <c r="R11" s="42" t="n">
        <v>-18</v>
      </c>
      <c r="S11" s="51" t="n"/>
      <c r="T11" s="51" t="n"/>
      <c r="U11" s="51" t="n"/>
      <c r="V11" s="51" t="n"/>
    </row>
    <row r="12">
      <c r="A12" s="42" t="n">
        <v>9</v>
      </c>
      <c r="B12" s="42" t="inlineStr">
        <is>
          <t>2026-10-31</t>
        </is>
      </c>
      <c r="C12" s="42" t="inlineStr">
        <is>
          <t>ACC</t>
        </is>
      </c>
      <c r="D12" s="42" t="inlineStr">
        <is>
          <t>ACC</t>
        </is>
      </c>
      <c r="E12" s="42" t="inlineStr">
        <is>
          <t>California</t>
        </is>
      </c>
      <c r="F12" s="42" t="inlineStr">
        <is>
          <t>NC State</t>
        </is>
      </c>
      <c r="G12" s="42" t="n">
        <v>-11.5</v>
      </c>
      <c r="H12" s="42" t="n">
        <v>-8.5</v>
      </c>
      <c r="I12" s="47" t="n">
        <v>3</v>
      </c>
      <c r="J12" s="42" t="n">
        <v>-9</v>
      </c>
      <c r="K12" s="42" t="n">
        <v>-9.699999999999999</v>
      </c>
      <c r="L12" s="42" t="n">
        <v>51.3</v>
      </c>
      <c r="M12" s="42" t="n">
        <v>57.5</v>
      </c>
      <c r="N12" s="47" t="n">
        <v>-6.2</v>
      </c>
      <c r="O12" s="42" t="n"/>
      <c r="P12" s="42" t="n"/>
      <c r="Q12" s="42" t="n"/>
      <c r="R12" s="42" t="n">
        <v>-10.2</v>
      </c>
      <c r="S12" s="51" t="n"/>
      <c r="T12" s="51" t="n"/>
      <c r="U12" s="51" t="n"/>
      <c r="V12" s="51" t="n"/>
    </row>
    <row r="13">
      <c r="A13" s="42" t="n">
        <v>9</v>
      </c>
      <c r="B13" s="42" t="inlineStr">
        <is>
          <t>2026-10-31</t>
        </is>
      </c>
      <c r="C13" s="42" t="inlineStr">
        <is>
          <t>ACC</t>
        </is>
      </c>
      <c r="D13" s="42" t="inlineStr">
        <is>
          <t>ACC</t>
        </is>
      </c>
      <c r="E13" s="42" t="inlineStr">
        <is>
          <t>Miami</t>
        </is>
      </c>
      <c r="F13" s="42" t="inlineStr">
        <is>
          <t>North Carolina</t>
        </is>
      </c>
      <c r="G13" s="42" t="n">
        <v>18.7</v>
      </c>
      <c r="H13" s="42" t="n">
        <v>14.5</v>
      </c>
      <c r="I13" s="56" t="n">
        <v>-4.2</v>
      </c>
      <c r="J13" s="42" t="n">
        <v>18</v>
      </c>
      <c r="K13" s="42" t="n">
        <v>15.5</v>
      </c>
      <c r="L13" s="42" t="n">
        <v>48.9</v>
      </c>
      <c r="M13" s="42" t="n">
        <v>52.5</v>
      </c>
      <c r="N13" s="47" t="n">
        <v>-3.6</v>
      </c>
      <c r="O13" s="42" t="n"/>
      <c r="P13" s="42" t="n"/>
      <c r="Q13" s="42" t="n"/>
      <c r="R13" s="42" t="n">
        <v>16.9</v>
      </c>
      <c r="S13" s="51" t="n"/>
      <c r="T13" s="51" t="n"/>
      <c r="U13" s="51" t="n"/>
      <c r="V13" s="51" t="n"/>
    </row>
    <row r="14">
      <c r="A14" s="42" t="n">
        <v>9</v>
      </c>
      <c r="B14" s="42" t="inlineStr">
        <is>
          <t>2026-10-31</t>
        </is>
      </c>
      <c r="C14" s="42" t="inlineStr">
        <is>
          <t>ACC</t>
        </is>
      </c>
      <c r="D14" s="42" t="inlineStr">
        <is>
          <t>ACC</t>
        </is>
      </c>
      <c r="E14" s="42" t="inlineStr">
        <is>
          <t>Georgia Tech</t>
        </is>
      </c>
      <c r="F14" s="42" t="inlineStr">
        <is>
          <t>Pittsburgh</t>
        </is>
      </c>
      <c r="G14" s="42" t="n">
        <v>-11</v>
      </c>
      <c r="H14" s="42" t="n">
        <v>-7.5</v>
      </c>
      <c r="I14" s="47" t="n">
        <v>3.5</v>
      </c>
      <c r="J14" s="42" t="n">
        <v>-10.6</v>
      </c>
      <c r="K14" s="42" t="n">
        <v>-17.8</v>
      </c>
      <c r="L14" s="42" t="n">
        <v>52.8</v>
      </c>
      <c r="M14" s="42" t="n">
        <v>53.5</v>
      </c>
      <c r="N14" s="42" t="n">
        <v>-0.7</v>
      </c>
      <c r="O14" s="42" t="n"/>
      <c r="P14" s="42" t="n"/>
      <c r="Q14" s="42" t="n"/>
      <c r="R14" s="42" t="n">
        <v>-6.9</v>
      </c>
      <c r="S14" s="51" t="n"/>
      <c r="T14" s="51" t="n"/>
      <c r="U14" s="51" t="n"/>
      <c r="V14" s="51" t="n"/>
    </row>
    <row r="15">
      <c r="A15" s="42" t="n">
        <v>9</v>
      </c>
      <c r="B15" s="42" t="inlineStr">
        <is>
          <t>2026-10-31</t>
        </is>
      </c>
      <c r="C15" s="42" t="inlineStr">
        <is>
          <t>ACC</t>
        </is>
      </c>
      <c r="D15" s="42" t="inlineStr">
        <is>
          <t>ACC</t>
        </is>
      </c>
      <c r="E15" s="42" t="inlineStr">
        <is>
          <t>SMU</t>
        </is>
      </c>
      <c r="F15" s="42" t="inlineStr">
        <is>
          <t>Syracuse</t>
        </is>
      </c>
      <c r="G15" s="42" t="n">
        <v>10.5</v>
      </c>
      <c r="H15" s="42" t="n">
        <v>8.5</v>
      </c>
      <c r="I15" s="47" t="n">
        <v>-2</v>
      </c>
      <c r="J15" s="42" t="n">
        <v>12.8</v>
      </c>
      <c r="K15" s="42" t="n">
        <v>1.8</v>
      </c>
      <c r="L15" s="42" t="n">
        <v>49.3</v>
      </c>
      <c r="M15" s="42" t="n">
        <v>58.5</v>
      </c>
      <c r="N15" s="47" t="n">
        <v>-9.199999999999999</v>
      </c>
      <c r="O15" s="42" t="n"/>
      <c r="P15" s="42" t="n"/>
      <c r="Q15" s="42" t="n"/>
      <c r="R15" s="42" t="n">
        <v>15.9</v>
      </c>
      <c r="S15" s="51" t="n"/>
      <c r="T15" s="51" t="n"/>
      <c r="U15" s="51" t="n"/>
      <c r="V15" s="51" t="n"/>
    </row>
    <row r="16">
      <c r="A16" s="42" t="n">
        <v>9</v>
      </c>
      <c r="B16" s="42" t="inlineStr">
        <is>
          <t>2026-10-31</t>
        </is>
      </c>
      <c r="C16" s="42" t="inlineStr">
        <is>
          <t>ACC</t>
        </is>
      </c>
      <c r="D16" s="42" t="inlineStr">
        <is>
          <t>ACC</t>
        </is>
      </c>
      <c r="E16" s="42" t="inlineStr">
        <is>
          <t>Virginia</t>
        </is>
      </c>
      <c r="F16" s="42" t="inlineStr">
        <is>
          <t>Wake Forest</t>
        </is>
      </c>
      <c r="G16" s="42" t="n">
        <v>-9.5</v>
      </c>
      <c r="H16" s="42" t="n">
        <v>-14</v>
      </c>
      <c r="I16" s="56" t="n">
        <v>-4.5</v>
      </c>
      <c r="J16" s="42" t="n">
        <v>-11.2</v>
      </c>
      <c r="K16" s="42" t="n">
        <v>-11</v>
      </c>
      <c r="L16" s="42" t="n">
        <v>51.2</v>
      </c>
      <c r="M16" s="42" t="n">
        <v>49.5</v>
      </c>
      <c r="N16" s="42" t="n">
        <v>1.7</v>
      </c>
      <c r="O16" s="42" t="n"/>
      <c r="P16" s="42" t="n"/>
      <c r="Q16" s="42" t="n"/>
      <c r="R16" s="42" t="n">
        <v>-9.199999999999999</v>
      </c>
      <c r="S16" s="51" t="n"/>
      <c r="T16" s="51" t="n"/>
      <c r="U16" s="51" t="n"/>
      <c r="V16" s="51" t="n"/>
    </row>
    <row r="17">
      <c r="A17" s="42" t="n">
        <v>9</v>
      </c>
      <c r="B17" s="42" t="inlineStr">
        <is>
          <t>2026-10-29</t>
        </is>
      </c>
      <c r="C17" s="42" t="inlineStr">
        <is>
          <t>American Athletic</t>
        </is>
      </c>
      <c r="D17" s="42" t="inlineStr">
        <is>
          <t>American Athletic</t>
        </is>
      </c>
      <c r="E17" s="42" t="inlineStr">
        <is>
          <t>Florida Atlantic</t>
        </is>
      </c>
      <c r="F17" s="42" t="inlineStr">
        <is>
          <t>North Texas</t>
        </is>
      </c>
      <c r="G17" s="42" t="n">
        <v>-15.3</v>
      </c>
      <c r="H17" s="42" t="n">
        <v>-13.5</v>
      </c>
      <c r="I17" s="42" t="n">
        <v>1.8</v>
      </c>
      <c r="J17" s="42" t="n">
        <v>-8.4</v>
      </c>
      <c r="K17" s="42" t="n">
        <v>-13.2</v>
      </c>
      <c r="L17" s="42" t="n">
        <v>63.9</v>
      </c>
      <c r="M17" s="42" t="n">
        <v>73.5</v>
      </c>
      <c r="N17" s="47" t="n">
        <v>-9.6</v>
      </c>
      <c r="O17" s="42" t="n"/>
      <c r="P17" s="42" t="n"/>
      <c r="Q17" s="42" t="n"/>
      <c r="R17" s="42" t="n">
        <v>-13.2</v>
      </c>
      <c r="S17" s="51" t="n"/>
      <c r="T17" s="51" t="n"/>
      <c r="U17" s="51" t="n"/>
      <c r="V17" s="51" t="n"/>
    </row>
    <row r="18">
      <c r="A18" s="42" t="n">
        <v>9</v>
      </c>
      <c r="B18" s="42" t="inlineStr">
        <is>
          <t>2026-10-30</t>
        </is>
      </c>
      <c r="C18" s="42" t="inlineStr">
        <is>
          <t>American Athletic</t>
        </is>
      </c>
      <c r="D18" s="42" t="inlineStr">
        <is>
          <t>American Athletic</t>
        </is>
      </c>
      <c r="E18" s="42" t="inlineStr">
        <is>
          <t>Tulane</t>
        </is>
      </c>
      <c r="F18" s="42" t="inlineStr">
        <is>
          <t>Charlotte</t>
        </is>
      </c>
      <c r="G18" s="42" t="n">
        <v>14</v>
      </c>
      <c r="H18" s="42" t="n">
        <v>10.5</v>
      </c>
      <c r="I18" s="47" t="n">
        <v>-3.5</v>
      </c>
      <c r="J18" s="42" t="n">
        <v>15.7</v>
      </c>
      <c r="K18" s="42" t="n">
        <v>10.8</v>
      </c>
      <c r="L18" s="42" t="n">
        <v>50.9</v>
      </c>
      <c r="M18" s="42" t="n">
        <v>46.5</v>
      </c>
      <c r="N18" s="47" t="n">
        <v>4.4</v>
      </c>
      <c r="O18" s="42" t="n"/>
      <c r="P18" s="42" t="n"/>
      <c r="Q18" s="42" t="n"/>
      <c r="R18" s="42" t="n">
        <v>14.2</v>
      </c>
      <c r="S18" s="51" t="n"/>
      <c r="T18" s="51" t="n"/>
      <c r="U18" s="51" t="n"/>
      <c r="V18" s="51" t="n"/>
    </row>
    <row r="19">
      <c r="A19" s="42" t="n">
        <v>9</v>
      </c>
      <c r="B19" s="42" t="inlineStr">
        <is>
          <t>2026-10-31</t>
        </is>
      </c>
      <c r="C19" s="42" t="inlineStr">
        <is>
          <t>American Athletic</t>
        </is>
      </c>
      <c r="D19" s="42" t="inlineStr">
        <is>
          <t>American Athletic</t>
        </is>
      </c>
      <c r="E19" s="42" t="inlineStr">
        <is>
          <t>Temple</t>
        </is>
      </c>
      <c r="F19" s="42" t="inlineStr">
        <is>
          <t>East Carolina</t>
        </is>
      </c>
      <c r="G19" s="42" t="n">
        <v>-9.199999999999999</v>
      </c>
      <c r="H19" s="42" t="n">
        <v>-5.5</v>
      </c>
      <c r="I19" s="47" t="n">
        <v>3.7</v>
      </c>
      <c r="J19" s="42" t="n">
        <v>-11.1</v>
      </c>
      <c r="K19" s="42" t="n">
        <v>-3.7</v>
      </c>
      <c r="L19" s="42" t="n">
        <v>51.4</v>
      </c>
      <c r="M19" s="42" t="n">
        <v>50.5</v>
      </c>
      <c r="N19" s="42" t="n">
        <v>0.9</v>
      </c>
      <c r="O19" s="42" t="n"/>
      <c r="P19" s="42" t="n"/>
      <c r="Q19" s="42" t="n"/>
      <c r="R19" s="42" t="n">
        <v>-8</v>
      </c>
      <c r="S19" s="51" t="n"/>
      <c r="T19" s="51" t="n"/>
      <c r="U19" s="51" t="n"/>
      <c r="V19" s="51" t="n"/>
    </row>
    <row r="20">
      <c r="A20" s="42" t="n">
        <v>9</v>
      </c>
      <c r="B20" s="42" t="inlineStr">
        <is>
          <t>2026-10-31</t>
        </is>
      </c>
      <c r="C20" s="42" t="inlineStr">
        <is>
          <t>American Athletic</t>
        </is>
      </c>
      <c r="D20" s="42" t="inlineStr">
        <is>
          <t>FBS Independents</t>
        </is>
      </c>
      <c r="E20" s="42" t="inlineStr">
        <is>
          <t>Notre Dame</t>
        </is>
      </c>
      <c r="F20" s="42" t="inlineStr">
        <is>
          <t>Navy</t>
        </is>
      </c>
      <c r="G20" s="42" t="n">
        <v>20</v>
      </c>
      <c r="H20" s="42" t="n">
        <v>29.5</v>
      </c>
      <c r="I20" s="56" t="n">
        <v>9.5</v>
      </c>
      <c r="J20" s="42" t="n">
        <v>23.7</v>
      </c>
      <c r="K20" s="42" t="n">
        <v>23.7</v>
      </c>
      <c r="L20" s="42" t="n">
        <v>55.8</v>
      </c>
      <c r="M20" s="42" t="n">
        <v>54.5</v>
      </c>
      <c r="N20" s="42" t="n">
        <v>1.3</v>
      </c>
      <c r="O20" s="42" t="n"/>
      <c r="P20" s="42" t="n"/>
      <c r="Q20" s="42" t="n"/>
      <c r="R20" s="42" t="n">
        <v>20.1</v>
      </c>
      <c r="S20" s="51" t="n"/>
      <c r="T20" s="51" t="n"/>
      <c r="U20" s="51" t="n"/>
      <c r="V20" s="51" t="n"/>
    </row>
    <row r="21">
      <c r="A21" s="42" t="n">
        <v>9</v>
      </c>
      <c r="B21" s="42" t="inlineStr">
        <is>
          <t>2026-10-31</t>
        </is>
      </c>
      <c r="C21" s="42" t="inlineStr">
        <is>
          <t>American Athletic</t>
        </is>
      </c>
      <c r="D21" s="42" t="inlineStr">
        <is>
          <t>American Athletic</t>
        </is>
      </c>
      <c r="E21" s="42" t="inlineStr">
        <is>
          <t>UAB</t>
        </is>
      </c>
      <c r="F21" s="42" t="inlineStr">
        <is>
          <t>South Florida</t>
        </is>
      </c>
      <c r="G21" s="42" t="n">
        <v>-13.7</v>
      </c>
      <c r="H21" s="42" t="n">
        <v>-7.5</v>
      </c>
      <c r="I21" s="56" t="n">
        <v>6.2</v>
      </c>
      <c r="J21" s="42" t="n">
        <v>-8.300000000000001</v>
      </c>
      <c r="K21" s="42" t="n">
        <v>-10.4</v>
      </c>
      <c r="L21" s="42" t="n">
        <v>50.9</v>
      </c>
      <c r="M21" s="42" t="n">
        <v>41.5</v>
      </c>
      <c r="N21" s="47" t="n">
        <v>9.4</v>
      </c>
      <c r="O21" s="42" t="n"/>
      <c r="P21" s="42" t="n"/>
      <c r="Q21" s="42" t="n"/>
      <c r="R21" s="42" t="n">
        <v>-8.1</v>
      </c>
      <c r="S21" s="51" t="n"/>
      <c r="T21" s="51" t="n"/>
      <c r="U21" s="51" t="n"/>
      <c r="V21" s="51" t="n"/>
    </row>
    <row r="22">
      <c r="A22" s="42" t="n">
        <v>9</v>
      </c>
      <c r="B22" s="42" t="inlineStr">
        <is>
          <t>2026-11-01</t>
        </is>
      </c>
      <c r="C22" s="42" t="inlineStr">
        <is>
          <t>American Athletic</t>
        </is>
      </c>
      <c r="D22" s="42" t="inlineStr">
        <is>
          <t>American Athletic</t>
        </is>
      </c>
      <c r="E22" s="42" t="inlineStr">
        <is>
          <t>Army</t>
        </is>
      </c>
      <c r="F22" s="42" t="inlineStr">
        <is>
          <t>Memphis</t>
        </is>
      </c>
      <c r="G22" s="42" t="n">
        <v>-4.6</v>
      </c>
      <c r="H22" s="42" t="n">
        <v>-6.5</v>
      </c>
      <c r="I22" s="42" t="n">
        <v>-1.9</v>
      </c>
      <c r="J22" s="42" t="n">
        <v>-7</v>
      </c>
      <c r="K22" s="42" t="n">
        <v>-1.1</v>
      </c>
      <c r="L22" s="42" t="n">
        <v>57.6</v>
      </c>
      <c r="M22" s="42" t="n">
        <v>58.5</v>
      </c>
      <c r="N22" s="42" t="n">
        <v>-0.9</v>
      </c>
      <c r="O22" s="42" t="n"/>
      <c r="P22" s="42" t="n"/>
      <c r="Q22" s="42" t="n"/>
      <c r="R22" s="42" t="n">
        <v>-5.6</v>
      </c>
      <c r="S22" s="51" t="n"/>
      <c r="T22" s="51" t="n"/>
      <c r="U22" s="51" t="n"/>
      <c r="V22" s="51" t="n"/>
    </row>
    <row r="23">
      <c r="A23" s="42" t="n">
        <v>9</v>
      </c>
      <c r="B23" s="42" t="inlineStr">
        <is>
          <t>2026-10-30</t>
        </is>
      </c>
      <c r="C23" s="42" t="inlineStr">
        <is>
          <t>Big 12</t>
        </is>
      </c>
      <c r="D23" s="42" t="inlineStr">
        <is>
          <t>Big 12</t>
        </is>
      </c>
      <c r="E23" s="42" t="inlineStr">
        <is>
          <t>Baylor</t>
        </is>
      </c>
      <c r="F23" s="42" t="inlineStr">
        <is>
          <t>UCF</t>
        </is>
      </c>
      <c r="G23" s="42" t="n">
        <v>1.1</v>
      </c>
      <c r="H23" s="42" t="n">
        <v>-2.5</v>
      </c>
      <c r="I23" s="47" t="n">
        <v>-3.6</v>
      </c>
      <c r="J23" s="42" t="n">
        <v>3</v>
      </c>
      <c r="K23" s="42" t="n">
        <v>-4.2</v>
      </c>
      <c r="L23" s="42" t="n">
        <v>47.7</v>
      </c>
      <c r="M23" s="42" t="n">
        <v>47.5</v>
      </c>
      <c r="N23" s="42" t="n">
        <v>0.2</v>
      </c>
      <c r="O23" s="42" t="n"/>
      <c r="P23" s="42" t="n"/>
      <c r="Q23" s="42" t="n"/>
      <c r="R23" s="42" t="n">
        <v>3.1</v>
      </c>
      <c r="S23" s="51" t="n"/>
      <c r="T23" s="51" t="n"/>
      <c r="U23" s="51" t="n"/>
      <c r="V23" s="51" t="n"/>
    </row>
    <row r="24">
      <c r="A24" s="42" t="n">
        <v>9</v>
      </c>
      <c r="B24" s="42" t="inlineStr">
        <is>
          <t>2026-10-31</t>
        </is>
      </c>
      <c r="C24" s="42" t="inlineStr">
        <is>
          <t>Big 12</t>
        </is>
      </c>
      <c r="D24" s="42" t="inlineStr">
        <is>
          <t>Big 12</t>
        </is>
      </c>
      <c r="E24" s="42" t="inlineStr">
        <is>
          <t>Arizona State</t>
        </is>
      </c>
      <c r="F24" s="42" t="inlineStr">
        <is>
          <t>BYU</t>
        </is>
      </c>
      <c r="G24" s="42" t="n">
        <v>-14.5</v>
      </c>
      <c r="H24" s="42" t="n">
        <v>-15.5</v>
      </c>
      <c r="I24" s="42" t="n">
        <v>-1</v>
      </c>
      <c r="J24" s="42" t="n">
        <v>-16.9</v>
      </c>
      <c r="K24" s="42" t="n">
        <v>-16.3</v>
      </c>
      <c r="L24" s="42" t="n">
        <v>50.2</v>
      </c>
      <c r="M24" s="42" t="n">
        <v>49.5</v>
      </c>
      <c r="N24" s="42" t="n">
        <v>0.7</v>
      </c>
      <c r="O24" s="42" t="n"/>
      <c r="P24" s="42" t="n"/>
      <c r="Q24" s="42" t="n"/>
      <c r="R24" s="42" t="n">
        <v>-16.1</v>
      </c>
      <c r="S24" s="51" t="n"/>
      <c r="T24" s="51" t="n"/>
      <c r="U24" s="51" t="n"/>
      <c r="V24" s="51" t="n"/>
    </row>
    <row r="25">
      <c r="A25" s="42" t="n">
        <v>9</v>
      </c>
      <c r="B25" s="42" t="inlineStr">
        <is>
          <t>2026-10-31</t>
        </is>
      </c>
      <c r="C25" s="42" t="inlineStr">
        <is>
          <t>Big 12</t>
        </is>
      </c>
      <c r="D25" s="42" t="inlineStr">
        <is>
          <t>Big 12</t>
        </is>
      </c>
      <c r="E25" s="42" t="inlineStr">
        <is>
          <t>Utah</t>
        </is>
      </c>
      <c r="F25" s="42" t="inlineStr">
        <is>
          <t>Cincinnati</t>
        </is>
      </c>
      <c r="G25" s="42" t="n">
        <v>8.9</v>
      </c>
      <c r="H25" s="42" t="n">
        <v>6.5</v>
      </c>
      <c r="I25" s="47" t="n">
        <v>-2.4</v>
      </c>
      <c r="J25" s="42" t="n">
        <v>14.6</v>
      </c>
      <c r="K25" s="42" t="n">
        <v>6.6</v>
      </c>
      <c r="L25" s="42" t="n">
        <v>57.2</v>
      </c>
      <c r="M25" s="42" t="n">
        <v>57.5</v>
      </c>
      <c r="N25" s="42" t="n">
        <v>-0.3</v>
      </c>
      <c r="O25" s="42" t="n"/>
      <c r="P25" s="42" t="n"/>
      <c r="Q25" s="42" t="n"/>
      <c r="R25" s="42" t="n">
        <v>11</v>
      </c>
      <c r="S25" s="51" t="n"/>
      <c r="T25" s="51" t="n"/>
      <c r="U25" s="51" t="n"/>
      <c r="V25" s="51" t="n"/>
    </row>
    <row r="26">
      <c r="A26" s="42" t="n">
        <v>9</v>
      </c>
      <c r="B26" s="42" t="inlineStr">
        <is>
          <t>2026-10-31</t>
        </is>
      </c>
      <c r="C26" s="42" t="inlineStr">
        <is>
          <t>Big 12</t>
        </is>
      </c>
      <c r="D26" s="42" t="inlineStr">
        <is>
          <t>Big 12</t>
        </is>
      </c>
      <c r="E26" s="42" t="inlineStr">
        <is>
          <t>Kansas State</t>
        </is>
      </c>
      <c r="F26" s="42" t="inlineStr">
        <is>
          <t>Colorado</t>
        </is>
      </c>
      <c r="G26" s="42" t="n">
        <v>4.7</v>
      </c>
      <c r="H26" s="42" t="n">
        <v>2.5</v>
      </c>
      <c r="I26" s="47" t="n">
        <v>-2.2</v>
      </c>
      <c r="J26" s="42" t="n">
        <v>10.4</v>
      </c>
      <c r="K26" s="42" t="n">
        <v>6.4</v>
      </c>
      <c r="L26" s="42" t="n">
        <v>49.6</v>
      </c>
      <c r="M26" s="42" t="n">
        <v>48.5</v>
      </c>
      <c r="N26" s="42" t="n">
        <v>1.1</v>
      </c>
      <c r="O26" s="42" t="n"/>
      <c r="P26" s="42" t="n"/>
      <c r="Q26" s="42" t="n"/>
      <c r="R26" s="42" t="n">
        <v>11.1</v>
      </c>
      <c r="S26" s="51" t="n"/>
      <c r="T26" s="51" t="n"/>
      <c r="U26" s="51" t="n"/>
      <c r="V26" s="51" t="n"/>
    </row>
    <row r="27">
      <c r="A27" s="42" t="n">
        <v>9</v>
      </c>
      <c r="B27" s="42" t="inlineStr">
        <is>
          <t>2026-10-31</t>
        </is>
      </c>
      <c r="C27" s="42" t="inlineStr">
        <is>
          <t>Big 12</t>
        </is>
      </c>
      <c r="D27" s="42" t="inlineStr">
        <is>
          <t>Big 12</t>
        </is>
      </c>
      <c r="E27" s="42" t="inlineStr">
        <is>
          <t>Oklahoma State</t>
        </is>
      </c>
      <c r="F27" s="42" t="inlineStr">
        <is>
          <t>Iowa State</t>
        </is>
      </c>
      <c r="G27" s="42" t="n">
        <v>-6</v>
      </c>
      <c r="H27" s="42" t="n">
        <v>10</v>
      </c>
      <c r="I27" s="56" t="n">
        <v>16</v>
      </c>
      <c r="J27" s="42" t="n">
        <v>-5.6</v>
      </c>
      <c r="K27" s="42" t="n">
        <v>7.4</v>
      </c>
      <c r="L27" s="42" t="n">
        <v>49</v>
      </c>
      <c r="M27" s="42" t="n">
        <v>57.5</v>
      </c>
      <c r="N27" s="47" t="n">
        <v>-8.5</v>
      </c>
      <c r="O27" s="42" t="n"/>
      <c r="P27" s="42" t="n"/>
      <c r="Q27" s="42" t="n"/>
      <c r="R27" s="42" t="n">
        <v>-11</v>
      </c>
      <c r="S27" s="51" t="n"/>
      <c r="T27" s="51" t="n"/>
      <c r="U27" s="51" t="n"/>
      <c r="V27" s="51" t="n"/>
    </row>
    <row r="28">
      <c r="A28" s="42" t="n">
        <v>9</v>
      </c>
      <c r="B28" s="42" t="inlineStr">
        <is>
          <t>2026-10-31</t>
        </is>
      </c>
      <c r="C28" s="42" t="inlineStr">
        <is>
          <t>Big 12</t>
        </is>
      </c>
      <c r="D28" s="42" t="inlineStr">
        <is>
          <t>Big 12</t>
        </is>
      </c>
      <c r="E28" s="42" t="inlineStr">
        <is>
          <t>Kansas</t>
        </is>
      </c>
      <c r="F28" s="42" t="inlineStr">
        <is>
          <t>TCU</t>
        </is>
      </c>
      <c r="G28" s="42" t="n">
        <v>-6</v>
      </c>
      <c r="H28" s="42" t="n">
        <v>-5.5</v>
      </c>
      <c r="I28" s="42" t="n">
        <v>0.5</v>
      </c>
      <c r="J28" s="42" t="n">
        <v>-9.699999999999999</v>
      </c>
      <c r="K28" s="42" t="n">
        <v>-5.5</v>
      </c>
      <c r="L28" s="42" t="n">
        <v>48.7</v>
      </c>
      <c r="M28" s="42" t="n">
        <v>46.5</v>
      </c>
      <c r="N28" s="47" t="n">
        <v>2.2</v>
      </c>
      <c r="O28" s="42" t="n"/>
      <c r="P28" s="42" t="n"/>
      <c r="Q28" s="42" t="n"/>
      <c r="R28" s="42" t="n">
        <v>-9.6</v>
      </c>
      <c r="S28" s="51" t="n"/>
      <c r="T28" s="51" t="n"/>
      <c r="U28" s="51" t="n"/>
      <c r="V28" s="51" t="n"/>
    </row>
    <row r="29">
      <c r="A29" s="42" t="n">
        <v>9</v>
      </c>
      <c r="B29" s="42" t="inlineStr">
        <is>
          <t>2026-10-31</t>
        </is>
      </c>
      <c r="C29" s="42" t="inlineStr">
        <is>
          <t>Big 12</t>
        </is>
      </c>
      <c r="D29" s="42" t="inlineStr">
        <is>
          <t>Big 12</t>
        </is>
      </c>
      <c r="E29" s="42" t="inlineStr">
        <is>
          <t>Arizona</t>
        </is>
      </c>
      <c r="F29" s="42" t="inlineStr">
        <is>
          <t>Texas Tech</t>
        </is>
      </c>
      <c r="G29" s="42" t="n">
        <v>-4.6</v>
      </c>
      <c r="H29" s="42" t="n">
        <v>-3.5</v>
      </c>
      <c r="I29" s="42" t="n">
        <v>1.1</v>
      </c>
      <c r="J29" s="42" t="n">
        <v>-3.6</v>
      </c>
      <c r="K29" s="42" t="n">
        <v>-1.8</v>
      </c>
      <c r="L29" s="42" t="n">
        <v>49.3</v>
      </c>
      <c r="M29" s="42" t="n">
        <v>54.5</v>
      </c>
      <c r="N29" s="47" t="n">
        <v>-5.2</v>
      </c>
      <c r="O29" s="42" t="n"/>
      <c r="P29" s="42" t="n"/>
      <c r="Q29" s="42" t="n"/>
      <c r="R29" s="42" t="n">
        <v>-6.1</v>
      </c>
      <c r="S29" s="51" t="n"/>
      <c r="T29" s="51" t="n"/>
      <c r="U29" s="51" t="n"/>
      <c r="V29" s="51" t="n"/>
    </row>
    <row r="30">
      <c r="A30" s="42" t="n">
        <v>9</v>
      </c>
      <c r="B30" s="42" t="inlineStr">
        <is>
          <t>2026-10-31</t>
        </is>
      </c>
      <c r="C30" s="42" t="inlineStr">
        <is>
          <t>Big Ten</t>
        </is>
      </c>
      <c r="D30" s="42" t="inlineStr">
        <is>
          <t>Big Ten</t>
        </is>
      </c>
      <c r="E30" s="42" t="inlineStr">
        <is>
          <t>Minnesota</t>
        </is>
      </c>
      <c r="F30" s="42" t="inlineStr">
        <is>
          <t>Indiana</t>
        </is>
      </c>
      <c r="G30" s="42" t="n">
        <v>-22.2</v>
      </c>
      <c r="H30" s="42" t="n">
        <v>-19.5</v>
      </c>
      <c r="I30" s="47" t="n">
        <v>2.7</v>
      </c>
      <c r="J30" s="42" t="n">
        <v>-16.3</v>
      </c>
      <c r="K30" s="42" t="n">
        <v>-18.7</v>
      </c>
      <c r="L30" s="42" t="n">
        <v>46.9</v>
      </c>
      <c r="M30" s="42" t="n">
        <v>42.5</v>
      </c>
      <c r="N30" s="47" t="n">
        <v>4.4</v>
      </c>
      <c r="O30" s="42" t="n"/>
      <c r="P30" s="42" t="n"/>
      <c r="Q30" s="42" t="n"/>
      <c r="R30" s="42" t="n">
        <v>-14.7</v>
      </c>
      <c r="S30" s="51" t="n"/>
      <c r="T30" s="51" t="n"/>
      <c r="U30" s="51" t="n"/>
      <c r="V30" s="51" t="n"/>
    </row>
    <row r="31">
      <c r="A31" s="42" t="n">
        <v>9</v>
      </c>
      <c r="B31" s="42" t="inlineStr">
        <is>
          <t>2026-10-31</t>
        </is>
      </c>
      <c r="C31" s="42" t="inlineStr">
        <is>
          <t>Big Ten</t>
        </is>
      </c>
      <c r="D31" s="42" t="inlineStr">
        <is>
          <t>Big Ten</t>
        </is>
      </c>
      <c r="E31" s="42" t="inlineStr">
        <is>
          <t>Wisconsin</t>
        </is>
      </c>
      <c r="F31" s="42" t="inlineStr">
        <is>
          <t>Iowa</t>
        </is>
      </c>
      <c r="G31" s="42" t="n">
        <v>-10.3</v>
      </c>
      <c r="H31" s="42" t="n">
        <v>-3.5</v>
      </c>
      <c r="I31" s="56" t="n">
        <v>6.8</v>
      </c>
      <c r="J31" s="42" t="n">
        <v>-10.2</v>
      </c>
      <c r="K31" s="42" t="n">
        <v>0.1</v>
      </c>
      <c r="L31" s="42" t="n">
        <v>42.5</v>
      </c>
      <c r="M31" s="42" t="n">
        <v>36.5</v>
      </c>
      <c r="N31" s="47" t="n">
        <v>6</v>
      </c>
      <c r="O31" s="42" t="n"/>
      <c r="P31" s="42" t="n"/>
      <c r="Q31" s="42" t="n"/>
      <c r="R31" s="42" t="n">
        <v>-11</v>
      </c>
      <c r="S31" s="51" t="n"/>
      <c r="T31" s="51" t="n"/>
      <c r="U31" s="51" t="n"/>
      <c r="V31" s="51" t="n"/>
    </row>
    <row r="32">
      <c r="A32" s="42" t="n">
        <v>9</v>
      </c>
      <c r="B32" s="42" t="inlineStr">
        <is>
          <t>2026-10-31</t>
        </is>
      </c>
      <c r="C32" s="42" t="inlineStr">
        <is>
          <t>Big Ten</t>
        </is>
      </c>
      <c r="D32" s="42" t="inlineStr">
        <is>
          <t>Big Ten</t>
        </is>
      </c>
      <c r="E32" s="42" t="inlineStr">
        <is>
          <t>Illinois</t>
        </is>
      </c>
      <c r="F32" s="42" t="inlineStr">
        <is>
          <t>Maryland</t>
        </is>
      </c>
      <c r="G32" s="42" t="n">
        <v>8</v>
      </c>
      <c r="H32" s="42" t="n">
        <v>2.5</v>
      </c>
      <c r="I32" s="56" t="n">
        <v>-5.5</v>
      </c>
      <c r="J32" s="42" t="n">
        <v>11.3</v>
      </c>
      <c r="K32" s="42" t="n">
        <v>3.6</v>
      </c>
      <c r="L32" s="42" t="n">
        <v>52.9</v>
      </c>
      <c r="M32" s="42" t="n">
        <v>52.5</v>
      </c>
      <c r="N32" s="42" t="n">
        <v>0.4</v>
      </c>
      <c r="O32" s="42" t="n"/>
      <c r="P32" s="42" t="n"/>
      <c r="Q32" s="42" t="n"/>
      <c r="R32" s="42" t="n">
        <v>6.1</v>
      </c>
      <c r="S32" s="51" t="n"/>
      <c r="T32" s="51" t="n"/>
      <c r="U32" s="51" t="n"/>
      <c r="V32" s="51" t="n"/>
    </row>
    <row r="33">
      <c r="A33" s="42" t="n">
        <v>9</v>
      </c>
      <c r="B33" s="42" t="inlineStr">
        <is>
          <t>2026-10-31</t>
        </is>
      </c>
      <c r="C33" s="42" t="inlineStr">
        <is>
          <t>Big Ten</t>
        </is>
      </c>
      <c r="D33" s="42" t="inlineStr">
        <is>
          <t>Big Ten</t>
        </is>
      </c>
      <c r="E33" s="42" t="inlineStr">
        <is>
          <t>Northwestern</t>
        </is>
      </c>
      <c r="F33" s="42" t="inlineStr">
        <is>
          <t>Oregon</t>
        </is>
      </c>
      <c r="G33" s="42" t="n">
        <v>-8.4</v>
      </c>
      <c r="H33" s="42" t="n">
        <v>-3.5</v>
      </c>
      <c r="I33" s="56" t="n">
        <v>4.9</v>
      </c>
      <c r="J33" s="42" t="n">
        <v>-11.5</v>
      </c>
      <c r="K33" s="42" t="n">
        <v>-2.6</v>
      </c>
      <c r="L33" s="42" t="n">
        <v>48.3</v>
      </c>
      <c r="M33" s="42" t="n">
        <v>49.5</v>
      </c>
      <c r="N33" s="42" t="n">
        <v>-1.2</v>
      </c>
      <c r="O33" s="42" t="n"/>
      <c r="P33" s="42" t="n"/>
      <c r="Q33" s="42" t="n"/>
      <c r="R33" s="42" t="n">
        <v>-10.3</v>
      </c>
      <c r="S33" s="51" t="n"/>
      <c r="T33" s="51" t="n"/>
      <c r="U33" s="51" t="n"/>
      <c r="V33" s="51" t="n"/>
    </row>
    <row r="34">
      <c r="A34" s="42" t="n">
        <v>9</v>
      </c>
      <c r="B34" s="42" t="inlineStr">
        <is>
          <t>2026-10-31</t>
        </is>
      </c>
      <c r="C34" s="42" t="inlineStr">
        <is>
          <t>Big Ten</t>
        </is>
      </c>
      <c r="D34" s="42" t="inlineStr">
        <is>
          <t>Big Ten</t>
        </is>
      </c>
      <c r="E34" s="42" t="inlineStr">
        <is>
          <t>Purdue</t>
        </is>
      </c>
      <c r="F34" s="42" t="inlineStr">
        <is>
          <t>Penn State</t>
        </is>
      </c>
      <c r="G34" s="42" t="n">
        <v>-14.9</v>
      </c>
      <c r="H34" s="42" t="n">
        <v>-7.5</v>
      </c>
      <c r="I34" s="56" t="n">
        <v>7.4</v>
      </c>
      <c r="J34" s="42" t="n">
        <v>-10.9</v>
      </c>
      <c r="K34" s="42" t="n">
        <v>-7.9</v>
      </c>
      <c r="L34" s="42" t="n">
        <v>52.9</v>
      </c>
      <c r="M34" s="42" t="n">
        <v>53.5</v>
      </c>
      <c r="N34" s="42" t="n">
        <v>-0.6</v>
      </c>
      <c r="O34" s="42" t="n"/>
      <c r="P34" s="42" t="n"/>
      <c r="Q34" s="42" t="n"/>
      <c r="R34" s="42" t="n">
        <v>-11.9</v>
      </c>
      <c r="S34" s="51" t="n"/>
      <c r="T34" s="51" t="n"/>
      <c r="U34" s="51" t="n"/>
      <c r="V34" s="51" t="n"/>
    </row>
    <row r="35">
      <c r="A35" s="42" t="n">
        <v>9</v>
      </c>
      <c r="B35" s="42" t="inlineStr">
        <is>
          <t>2026-10-31</t>
        </is>
      </c>
      <c r="C35" s="42" t="inlineStr">
        <is>
          <t>Big Ten</t>
        </is>
      </c>
      <c r="D35" s="42" t="inlineStr">
        <is>
          <t>Big Ten</t>
        </is>
      </c>
      <c r="E35" s="42" t="inlineStr">
        <is>
          <t>Michigan</t>
        </is>
      </c>
      <c r="F35" s="42" t="inlineStr">
        <is>
          <t>Rutgers</t>
        </is>
      </c>
      <c r="G35" s="42" t="n">
        <v>8.300000000000001</v>
      </c>
      <c r="H35" s="42" t="n">
        <v>14</v>
      </c>
      <c r="I35" s="56" t="n">
        <v>5.7</v>
      </c>
      <c r="J35" s="42" t="n">
        <v>12.4</v>
      </c>
      <c r="K35" s="42" t="n">
        <v>5.1</v>
      </c>
      <c r="L35" s="42" t="n">
        <v>48.6</v>
      </c>
      <c r="M35" s="42" t="n">
        <v>47.5</v>
      </c>
      <c r="N35" s="42" t="n">
        <v>1.1</v>
      </c>
      <c r="O35" s="42" t="n"/>
      <c r="P35" s="42" t="n"/>
      <c r="Q35" s="42" t="n"/>
      <c r="R35" s="42" t="n">
        <v>12.6</v>
      </c>
      <c r="S35" s="51" t="n"/>
      <c r="T35" s="51" t="n"/>
      <c r="U35" s="51" t="n"/>
      <c r="V35" s="51" t="n"/>
    </row>
    <row r="36">
      <c r="A36" s="42" t="n">
        <v>9</v>
      </c>
      <c r="B36" s="42" t="inlineStr">
        <is>
          <t>2026-10-31</t>
        </is>
      </c>
      <c r="C36" s="42" t="inlineStr">
        <is>
          <t>Big Ten</t>
        </is>
      </c>
      <c r="D36" s="42" t="inlineStr">
        <is>
          <t>Mountain West</t>
        </is>
      </c>
      <c r="E36" s="42" t="inlineStr">
        <is>
          <t>Nevada</t>
        </is>
      </c>
      <c r="F36" s="42" t="inlineStr">
        <is>
          <t>UCLA</t>
        </is>
      </c>
      <c r="G36" s="42" t="n">
        <v>-21.2</v>
      </c>
      <c r="H36" s="42" t="n">
        <v>-22.5</v>
      </c>
      <c r="I36" s="42" t="n">
        <v>-1.3</v>
      </c>
      <c r="J36" s="42" t="n">
        <v>-23.3</v>
      </c>
      <c r="K36" s="42" t="n">
        <v>-19.5</v>
      </c>
      <c r="L36" s="42" t="n">
        <v>43.5</v>
      </c>
      <c r="M36" s="42" t="n">
        <v>44.5</v>
      </c>
      <c r="N36" s="42" t="n">
        <v>-1</v>
      </c>
      <c r="O36" s="42" t="n"/>
      <c r="P36" s="42" t="n"/>
      <c r="Q36" s="42" t="n"/>
      <c r="R36" s="42" t="n">
        <v>-20.6</v>
      </c>
      <c r="S36" s="51" t="n"/>
      <c r="T36" s="51" t="n"/>
      <c r="U36" s="51" t="n"/>
      <c r="V36" s="51" t="n"/>
    </row>
    <row r="37">
      <c r="A37" s="42" t="n">
        <v>9</v>
      </c>
      <c r="B37" s="42" t="inlineStr">
        <is>
          <t>2026-10-31</t>
        </is>
      </c>
      <c r="C37" s="42" t="inlineStr">
        <is>
          <t>Big Ten</t>
        </is>
      </c>
      <c r="D37" s="42" t="inlineStr">
        <is>
          <t>Big Ten</t>
        </is>
      </c>
      <c r="E37" s="42" t="inlineStr">
        <is>
          <t>Ohio State</t>
        </is>
      </c>
      <c r="F37" s="42" t="inlineStr">
        <is>
          <t>USC</t>
        </is>
      </c>
      <c r="G37" s="42" t="n">
        <v>12.6</v>
      </c>
      <c r="H37" s="42" t="n">
        <v>7</v>
      </c>
      <c r="I37" s="56" t="n">
        <v>-5.6</v>
      </c>
      <c r="J37" s="42" t="n">
        <v>9.800000000000001</v>
      </c>
      <c r="K37" s="42" t="n">
        <v>10.7</v>
      </c>
      <c r="L37" s="42" t="n">
        <v>53</v>
      </c>
      <c r="M37" s="42" t="n">
        <v>51.5</v>
      </c>
      <c r="N37" s="42" t="n">
        <v>1.5</v>
      </c>
      <c r="O37" s="42" t="n"/>
      <c r="P37" s="42" t="n"/>
      <c r="Q37" s="42" t="n"/>
      <c r="R37" s="42" t="n">
        <v>9.9</v>
      </c>
      <c r="S37" s="51" t="n"/>
      <c r="T37" s="51" t="n"/>
      <c r="U37" s="51" t="n"/>
      <c r="V37" s="51" t="n"/>
    </row>
    <row r="38">
      <c r="A38" s="42" t="n">
        <v>9</v>
      </c>
      <c r="B38" s="42" t="inlineStr">
        <is>
          <t>2026-11-01</t>
        </is>
      </c>
      <c r="C38" s="42" t="inlineStr">
        <is>
          <t>Big Ten</t>
        </is>
      </c>
      <c r="D38" s="42" t="inlineStr">
        <is>
          <t>Big Ten</t>
        </is>
      </c>
      <c r="E38" s="42" t="inlineStr">
        <is>
          <t>Washington</t>
        </is>
      </c>
      <c r="F38" s="42" t="inlineStr">
        <is>
          <t>Nebraska</t>
        </is>
      </c>
      <c r="G38" s="42" t="n">
        <v>-6.9</v>
      </c>
      <c r="H38" s="42" t="n">
        <v>-8.5</v>
      </c>
      <c r="I38" s="42" t="n">
        <v>-1.6</v>
      </c>
      <c r="J38" s="42" t="n">
        <v>0.9</v>
      </c>
      <c r="K38" s="42" t="n">
        <v>-16</v>
      </c>
      <c r="L38" s="42" t="n">
        <v>47.6</v>
      </c>
      <c r="M38" s="42" t="n">
        <v>49.5</v>
      </c>
      <c r="N38" s="42" t="n">
        <v>-1.9</v>
      </c>
      <c r="O38" s="42" t="n"/>
      <c r="P38" s="42" t="n"/>
      <c r="Q38" s="42" t="n"/>
      <c r="R38" s="42" t="n">
        <v>1.9</v>
      </c>
      <c r="S38" s="51" t="n"/>
      <c r="T38" s="51" t="n"/>
      <c r="U38" s="51" t="n"/>
      <c r="V38" s="51" t="n"/>
    </row>
    <row r="39">
      <c r="A39" s="42" t="n">
        <v>9</v>
      </c>
      <c r="B39" s="42" t="inlineStr">
        <is>
          <t>2026-10-27</t>
        </is>
      </c>
      <c r="C39" s="42" t="inlineStr">
        <is>
          <t>Conference USA</t>
        </is>
      </c>
      <c r="D39" s="42" t="inlineStr">
        <is>
          <t>Conference USA</t>
        </is>
      </c>
      <c r="E39" s="42" t="inlineStr">
        <is>
          <t>Delaware</t>
        </is>
      </c>
      <c r="F39" s="42" t="inlineStr">
        <is>
          <t>Western Kentucky</t>
        </is>
      </c>
      <c r="G39" s="42" t="n">
        <v>-2.7</v>
      </c>
      <c r="H39" s="42" t="n">
        <v>1.5</v>
      </c>
      <c r="I39" s="56" t="n">
        <v>4.2</v>
      </c>
      <c r="J39" s="42" t="n">
        <v>-6.7</v>
      </c>
      <c r="K39" s="42" t="n">
        <v>2.6</v>
      </c>
      <c r="L39" s="42" t="n">
        <v>51.4</v>
      </c>
      <c r="M39" s="42" t="n">
        <v>55.5</v>
      </c>
      <c r="N39" s="47" t="n">
        <v>-4.1</v>
      </c>
      <c r="O39" s="42" t="n"/>
      <c r="P39" s="42" t="n"/>
      <c r="Q39" s="42" t="n"/>
      <c r="R39" s="42" t="n">
        <v>-8</v>
      </c>
      <c r="S39" s="51" t="n"/>
      <c r="T39" s="51" t="n"/>
      <c r="U39" s="51" t="n"/>
      <c r="V39" s="51" t="n"/>
    </row>
    <row r="40">
      <c r="A40" s="42" t="n">
        <v>9</v>
      </c>
      <c r="B40" s="42" t="inlineStr">
        <is>
          <t>2026-10-28</t>
        </is>
      </c>
      <c r="C40" s="42" t="inlineStr">
        <is>
          <t>Conference USA</t>
        </is>
      </c>
      <c r="D40" s="42" t="inlineStr">
        <is>
          <t>Conference USA</t>
        </is>
      </c>
      <c r="E40" s="42" t="inlineStr">
        <is>
          <t>Kennesaw State</t>
        </is>
      </c>
      <c r="F40" s="42" t="inlineStr">
        <is>
          <t>Middle Tennessee</t>
        </is>
      </c>
      <c r="G40" s="42" t="n">
        <v>-0.8</v>
      </c>
      <c r="H40" s="42" t="n">
        <v>-3</v>
      </c>
      <c r="I40" s="47" t="n">
        <v>-2.2</v>
      </c>
      <c r="J40" s="42" t="n">
        <v>-3.4</v>
      </c>
      <c r="K40" s="42" t="n">
        <v>-1.8</v>
      </c>
      <c r="L40" s="42" t="n">
        <v>54.9</v>
      </c>
      <c r="M40" s="42" t="n">
        <v>50.5</v>
      </c>
      <c r="N40" s="47" t="n">
        <v>4.4</v>
      </c>
      <c r="O40" s="42" t="n"/>
      <c r="P40" s="42" t="n"/>
      <c r="Q40" s="42" t="n"/>
      <c r="R40" s="42" t="n">
        <v>1.2</v>
      </c>
      <c r="S40" s="51" t="n"/>
      <c r="T40" s="51" t="n"/>
      <c r="U40" s="51" t="n"/>
      <c r="V40" s="51" t="n"/>
    </row>
    <row r="41">
      <c r="A41" s="42" t="n">
        <v>9</v>
      </c>
      <c r="B41" s="42" t="inlineStr">
        <is>
          <t>2026-10-28</t>
        </is>
      </c>
      <c r="C41" s="42" t="inlineStr">
        <is>
          <t>Conference USA</t>
        </is>
      </c>
      <c r="D41" s="42" t="inlineStr">
        <is>
          <t>Conference USA</t>
        </is>
      </c>
      <c r="E41" s="42" t="inlineStr">
        <is>
          <t>Sam Houston</t>
        </is>
      </c>
      <c r="F41" s="42" t="inlineStr">
        <is>
          <t>Missouri State</t>
        </is>
      </c>
      <c r="G41" s="42" t="n">
        <v>-9.1</v>
      </c>
      <c r="H41" s="42" t="n">
        <v>-6</v>
      </c>
      <c r="I41" s="47" t="n">
        <v>3.1</v>
      </c>
      <c r="J41" s="42" t="n">
        <v>-6.2</v>
      </c>
      <c r="K41" s="42" t="n">
        <v>1</v>
      </c>
      <c r="L41" s="42" t="n">
        <v>52.9</v>
      </c>
      <c r="M41" s="42" t="n">
        <v>50.5</v>
      </c>
      <c r="N41" s="47" t="n">
        <v>2.4</v>
      </c>
      <c r="O41" s="42" t="n"/>
      <c r="P41" s="42" t="n"/>
      <c r="Q41" s="42" t="n"/>
      <c r="R41" s="42" t="n">
        <v>-6.7</v>
      </c>
      <c r="S41" s="51" t="n"/>
      <c r="T41" s="51" t="n"/>
      <c r="U41" s="51" t="n"/>
      <c r="V41" s="51" t="n"/>
    </row>
    <row r="42">
      <c r="A42" s="42" t="n">
        <v>9</v>
      </c>
      <c r="B42" s="42" t="inlineStr">
        <is>
          <t>2026-10-29</t>
        </is>
      </c>
      <c r="C42" s="42" t="inlineStr">
        <is>
          <t>Conference USA</t>
        </is>
      </c>
      <c r="D42" s="42" t="inlineStr">
        <is>
          <t>Conference USA</t>
        </is>
      </c>
      <c r="E42" s="42" t="inlineStr">
        <is>
          <t>Jacksonville State</t>
        </is>
      </c>
      <c r="F42" s="42" t="inlineStr">
        <is>
          <t>New Mexico State</t>
        </is>
      </c>
      <c r="G42" s="42" t="n">
        <v>3.8</v>
      </c>
      <c r="H42" s="42" t="n">
        <v>3</v>
      </c>
      <c r="I42" s="42" t="n">
        <v>-0.8</v>
      </c>
      <c r="J42" s="42" t="n">
        <v>10.5</v>
      </c>
      <c r="K42" s="42" t="n">
        <v>2.3</v>
      </c>
      <c r="L42" s="42" t="n">
        <v>52.7</v>
      </c>
      <c r="M42" s="42" t="n">
        <v>49.5</v>
      </c>
      <c r="N42" s="47" t="n">
        <v>3.2</v>
      </c>
      <c r="O42" s="42" t="n"/>
      <c r="P42" s="42" t="n"/>
      <c r="Q42" s="42" t="n"/>
      <c r="R42" s="42" t="n">
        <v>10.8</v>
      </c>
      <c r="S42" s="51" t="n"/>
      <c r="T42" s="51" t="n"/>
      <c r="U42" s="51" t="n"/>
      <c r="V42" s="51" t="n"/>
    </row>
    <row r="43">
      <c r="A43" s="42" t="n">
        <v>9</v>
      </c>
      <c r="B43" s="42" t="inlineStr">
        <is>
          <t>2026-10-31</t>
        </is>
      </c>
      <c r="C43" s="42" t="inlineStr">
        <is>
          <t>Conference USA</t>
        </is>
      </c>
      <c r="D43" s="42" t="inlineStr">
        <is>
          <t>Conference USA</t>
        </is>
      </c>
      <c r="E43" s="42" t="inlineStr">
        <is>
          <t>Florida International</t>
        </is>
      </c>
      <c r="F43" s="42" t="inlineStr">
        <is>
          <t>Liberty</t>
        </is>
      </c>
      <c r="G43" s="42" t="n">
        <v>-10.3</v>
      </c>
      <c r="H43" s="42" t="n">
        <v>-13.5</v>
      </c>
      <c r="I43" s="47" t="n">
        <v>-3.2</v>
      </c>
      <c r="J43" s="42" t="n">
        <v>-14</v>
      </c>
      <c r="K43" s="42" t="n">
        <v>-15.4</v>
      </c>
      <c r="L43" s="42" t="n">
        <v>49.5</v>
      </c>
      <c r="M43" s="42" t="n">
        <v>45.5</v>
      </c>
      <c r="N43" s="47" t="n">
        <v>4</v>
      </c>
      <c r="O43" s="42" t="n"/>
      <c r="P43" s="42" t="n"/>
      <c r="Q43" s="42" t="n"/>
      <c r="R43" s="42" t="n">
        <v>-11.2</v>
      </c>
      <c r="S43" s="51" t="n"/>
      <c r="T43" s="51" t="n"/>
      <c r="U43" s="51" t="n"/>
      <c r="V43" s="51" t="n"/>
    </row>
    <row r="44">
      <c r="A44" s="42" t="n">
        <v>9</v>
      </c>
      <c r="B44" s="42" t="inlineStr">
        <is>
          <t>2026-10-31</t>
        </is>
      </c>
      <c r="C44" s="42" t="inlineStr">
        <is>
          <t>Mid-American</t>
        </is>
      </c>
      <c r="D44" s="42" t="inlineStr">
        <is>
          <t>Mid-American</t>
        </is>
      </c>
      <c r="E44" s="42" t="inlineStr">
        <is>
          <t>Kent State</t>
        </is>
      </c>
      <c r="F44" s="42" t="inlineStr">
        <is>
          <t>Sacramento State</t>
        </is>
      </c>
      <c r="G44" s="42" t="n">
        <v>8.199999999999999</v>
      </c>
      <c r="H44" s="42" t="n">
        <v>11.5</v>
      </c>
      <c r="I44" s="47" t="n">
        <v>3.3</v>
      </c>
      <c r="J44" s="42" t="n">
        <v>2.7</v>
      </c>
      <c r="K44" s="42" t="n">
        <v>3.8</v>
      </c>
      <c r="L44" s="42" t="n">
        <v>45.7</v>
      </c>
      <c r="M44" s="42" t="n">
        <v>46.5</v>
      </c>
      <c r="N44" s="42" t="n">
        <v>-0.8</v>
      </c>
      <c r="O44" s="42" t="n"/>
      <c r="P44" s="42" t="n"/>
      <c r="Q44" s="42" t="n"/>
      <c r="R44" s="42" t="n">
        <v>2</v>
      </c>
      <c r="S44" s="51" t="n"/>
      <c r="T44" s="51" t="n"/>
      <c r="U44" s="51" t="n"/>
      <c r="V44" s="51" t="n"/>
    </row>
    <row r="45">
      <c r="A45" s="42" t="n">
        <v>9</v>
      </c>
      <c r="B45" s="42" t="inlineStr">
        <is>
          <t>2026-10-31</t>
        </is>
      </c>
      <c r="C45" s="42" t="inlineStr">
        <is>
          <t>Mid-American</t>
        </is>
      </c>
      <c r="D45" s="42" t="inlineStr">
        <is>
          <t>Mid-American</t>
        </is>
      </c>
      <c r="E45" s="42" t="inlineStr">
        <is>
          <t>Bowling Green</t>
        </is>
      </c>
      <c r="F45" s="42" t="inlineStr">
        <is>
          <t>Western Michigan</t>
        </is>
      </c>
      <c r="G45" s="42" t="n">
        <v>-16.5</v>
      </c>
      <c r="H45" s="42" t="n">
        <v>-14</v>
      </c>
      <c r="I45" s="47" t="n">
        <v>2.5</v>
      </c>
      <c r="J45" s="42" t="n">
        <v>-19.7</v>
      </c>
      <c r="K45" s="42" t="n">
        <v>-16.2</v>
      </c>
      <c r="L45" s="42" t="n">
        <v>46.2</v>
      </c>
      <c r="M45" s="42" t="n">
        <v>43.5</v>
      </c>
      <c r="N45" s="47" t="n">
        <v>2.7</v>
      </c>
      <c r="O45" s="42" t="n"/>
      <c r="P45" s="42" t="n"/>
      <c r="Q45" s="42" t="n"/>
      <c r="R45" s="42" t="n">
        <v>-16.1</v>
      </c>
      <c r="S45" s="51" t="n"/>
      <c r="T45" s="51" t="n"/>
      <c r="U45" s="51" t="n"/>
      <c r="V45" s="51" t="n"/>
    </row>
    <row r="46">
      <c r="A46" s="42" t="n">
        <v>9</v>
      </c>
      <c r="B46" s="42" t="inlineStr">
        <is>
          <t>2026-10-31</t>
        </is>
      </c>
      <c r="C46" s="42" t="inlineStr">
        <is>
          <t>Mountain West</t>
        </is>
      </c>
      <c r="D46" s="42" t="inlineStr">
        <is>
          <t>FBS Independents</t>
        </is>
      </c>
      <c r="E46" s="42" t="inlineStr">
        <is>
          <t>UConn</t>
        </is>
      </c>
      <c r="F46" s="42" t="inlineStr">
        <is>
          <t>Air Force</t>
        </is>
      </c>
      <c r="G46" s="42" t="n">
        <v>-5.2</v>
      </c>
      <c r="H46" s="42" t="n">
        <v>-3</v>
      </c>
      <c r="I46" s="47" t="n">
        <v>2.2</v>
      </c>
      <c r="J46" s="42" t="n">
        <v>-9.800000000000001</v>
      </c>
      <c r="K46" s="42" t="n">
        <v>1.5</v>
      </c>
      <c r="L46" s="42" t="n">
        <v>53.2</v>
      </c>
      <c r="M46" s="42" t="n">
        <v>53.5</v>
      </c>
      <c r="N46" s="42" t="n">
        <v>-0.3</v>
      </c>
      <c r="O46" s="42" t="n"/>
      <c r="P46" s="42" t="n"/>
      <c r="Q46" s="42" t="n"/>
      <c r="R46" s="42" t="n">
        <v>-2.8</v>
      </c>
      <c r="S46" s="51" t="n"/>
      <c r="T46" s="51" t="n"/>
      <c r="U46" s="51" t="n"/>
      <c r="V46" s="51" t="n"/>
    </row>
    <row r="47">
      <c r="A47" s="42" t="n">
        <v>9</v>
      </c>
      <c r="B47" s="42" t="inlineStr">
        <is>
          <t>2026-10-31</t>
        </is>
      </c>
      <c r="C47" s="42" t="inlineStr">
        <is>
          <t>Mountain West</t>
        </is>
      </c>
      <c r="D47" s="42" t="inlineStr">
        <is>
          <t>Mountain West</t>
        </is>
      </c>
      <c r="E47" s="42" t="inlineStr">
        <is>
          <t>UTEP</t>
        </is>
      </c>
      <c r="F47" s="42" t="inlineStr">
        <is>
          <t>North Dakota State</t>
        </is>
      </c>
      <c r="G47" s="42" t="n">
        <v>-36</v>
      </c>
      <c r="H47" s="42" t="n">
        <v>-26.5</v>
      </c>
      <c r="I47" s="56" t="n">
        <v>9.5</v>
      </c>
      <c r="J47" s="42" t="n">
        <v>-31.6</v>
      </c>
      <c r="K47" s="42" t="n">
        <v>-29.3</v>
      </c>
      <c r="L47" s="42" t="n">
        <v>43.3</v>
      </c>
      <c r="M47" s="42" t="n">
        <v>44.5</v>
      </c>
      <c r="N47" s="42" t="n">
        <v>-1.2</v>
      </c>
      <c r="O47" s="42" t="n"/>
      <c r="P47" s="42" t="n"/>
      <c r="Q47" s="42" t="n"/>
      <c r="R47" s="42" t="n">
        <v>-18.6</v>
      </c>
      <c r="S47" s="51" t="n"/>
      <c r="T47" s="51" t="n"/>
      <c r="U47" s="51" t="n"/>
      <c r="V47" s="51" t="n"/>
    </row>
    <row r="48">
      <c r="A48" s="42" t="n">
        <v>9</v>
      </c>
      <c r="B48" s="42" t="inlineStr">
        <is>
          <t>2026-10-31</t>
        </is>
      </c>
      <c r="C48" s="42" t="inlineStr">
        <is>
          <t>Mountain West</t>
        </is>
      </c>
      <c r="D48" s="42" t="inlineStr">
        <is>
          <t>Mountain West</t>
        </is>
      </c>
      <c r="E48" s="42" t="inlineStr">
        <is>
          <t>New Mexico</t>
        </is>
      </c>
      <c r="F48" s="42" t="inlineStr">
        <is>
          <t>San José State</t>
        </is>
      </c>
      <c r="G48" s="42" t="n">
        <v>14.9</v>
      </c>
      <c r="H48" s="42" t="n">
        <v>14.5</v>
      </c>
      <c r="I48" s="42" t="n">
        <v>-0.4</v>
      </c>
      <c r="J48" s="42" t="n">
        <v>20.2</v>
      </c>
      <c r="K48" s="42" t="n">
        <v>16.3</v>
      </c>
      <c r="L48" s="42" t="n">
        <v>45.6</v>
      </c>
      <c r="M48" s="42" t="n">
        <v>41.5</v>
      </c>
      <c r="N48" s="47" t="n">
        <v>4.1</v>
      </c>
      <c r="O48" s="42" t="n"/>
      <c r="P48" s="42" t="n"/>
      <c r="Q48" s="42" t="n"/>
      <c r="R48" s="42" t="n">
        <v>16</v>
      </c>
      <c r="S48" s="51" t="n"/>
      <c r="T48" s="51" t="n"/>
      <c r="U48" s="51" t="n"/>
      <c r="V48" s="51" t="n"/>
    </row>
    <row r="49">
      <c r="A49" s="42" t="n">
        <v>9</v>
      </c>
      <c r="B49" s="42" t="inlineStr">
        <is>
          <t>2026-11-01</t>
        </is>
      </c>
      <c r="C49" s="42" t="inlineStr">
        <is>
          <t>Mountain West</t>
        </is>
      </c>
      <c r="D49" s="42" t="inlineStr">
        <is>
          <t>Mountain West</t>
        </is>
      </c>
      <c r="E49" s="42" t="inlineStr">
        <is>
          <t>Northern Illinois</t>
        </is>
      </c>
      <c r="F49" s="42" t="inlineStr">
        <is>
          <t>UNLV</t>
        </is>
      </c>
      <c r="G49" s="42" t="n">
        <v>-27.9</v>
      </c>
      <c r="H49" s="42" t="n">
        <v>-24.5</v>
      </c>
      <c r="I49" s="47" t="n">
        <v>3.4</v>
      </c>
      <c r="J49" s="42" t="n">
        <v>-21.3</v>
      </c>
      <c r="K49" s="42" t="n">
        <v>-19.7</v>
      </c>
      <c r="L49" s="42" t="n">
        <v>44.4</v>
      </c>
      <c r="M49" s="42" t="n">
        <v>52.5</v>
      </c>
      <c r="N49" s="47" t="n">
        <v>-8.1</v>
      </c>
      <c r="O49" s="42" t="n"/>
      <c r="P49" s="42" t="n"/>
      <c r="Q49" s="42" t="n"/>
      <c r="R49" s="42" t="n">
        <v>-19.3</v>
      </c>
      <c r="S49" s="51" t="n"/>
      <c r="T49" s="51" t="n"/>
      <c r="U49" s="51" t="n"/>
      <c r="V49" s="51" t="n"/>
    </row>
    <row r="50">
      <c r="A50" s="42" t="n">
        <v>9</v>
      </c>
      <c r="B50" s="42" t="inlineStr">
        <is>
          <t>2026-10-31</t>
        </is>
      </c>
      <c r="C50" s="42" t="inlineStr">
        <is>
          <t>Pac-12</t>
        </is>
      </c>
      <c r="D50" s="42" t="inlineStr">
        <is>
          <t>Pac-12</t>
        </is>
      </c>
      <c r="E50" s="42" t="inlineStr">
        <is>
          <t>Washington State</t>
        </is>
      </c>
      <c r="F50" s="42" t="inlineStr">
        <is>
          <t>San Diego State</t>
        </is>
      </c>
      <c r="G50" s="42" t="n">
        <v>-1.6</v>
      </c>
      <c r="H50" s="42" t="n">
        <v>-3</v>
      </c>
      <c r="I50" s="42" t="n">
        <v>-1.4</v>
      </c>
      <c r="J50" s="42" t="n">
        <v>-3.7</v>
      </c>
      <c r="K50" s="42" t="n">
        <v>-1.3</v>
      </c>
      <c r="L50" s="42" t="n">
        <v>40.3</v>
      </c>
      <c r="M50" s="42" t="n">
        <v>48.5</v>
      </c>
      <c r="N50" s="47" t="n">
        <v>-8.199999999999999</v>
      </c>
      <c r="O50" s="42" t="n"/>
      <c r="P50" s="42" t="n"/>
      <c r="Q50" s="42" t="n"/>
      <c r="R50" s="42" t="n">
        <v>-6.2</v>
      </c>
      <c r="S50" s="51" t="n"/>
      <c r="T50" s="51" t="n"/>
      <c r="U50" s="51" t="n"/>
      <c r="V50" s="51" t="n"/>
    </row>
    <row r="51">
      <c r="A51" s="42" t="n">
        <v>9</v>
      </c>
      <c r="B51" s="42" t="inlineStr">
        <is>
          <t>2026-10-31</t>
        </is>
      </c>
      <c r="C51" s="42" t="inlineStr">
        <is>
          <t>Pac-12</t>
        </is>
      </c>
      <c r="D51" s="42" t="inlineStr">
        <is>
          <t>Pac-12</t>
        </is>
      </c>
      <c r="E51" s="42" t="inlineStr">
        <is>
          <t>Colorado State</t>
        </is>
      </c>
      <c r="F51" s="42" t="inlineStr">
        <is>
          <t>Utah State</t>
        </is>
      </c>
      <c r="G51" s="42" t="n">
        <v>-11.7</v>
      </c>
      <c r="H51" s="42" t="n">
        <v>-5.5</v>
      </c>
      <c r="I51" s="56" t="n">
        <v>6.2</v>
      </c>
      <c r="J51" s="42" t="n">
        <v>-5.9</v>
      </c>
      <c r="K51" s="42" t="n">
        <v>-3.4</v>
      </c>
      <c r="L51" s="42" t="n">
        <v>52</v>
      </c>
      <c r="M51" s="42" t="n">
        <v>63.5</v>
      </c>
      <c r="N51" s="47" t="n">
        <v>-11.5</v>
      </c>
      <c r="O51" s="42" t="n"/>
      <c r="P51" s="42" t="n"/>
      <c r="Q51" s="42" t="n"/>
      <c r="R51" s="42" t="n">
        <v>-5.3</v>
      </c>
      <c r="S51" s="51" t="n"/>
      <c r="T51" s="51" t="n"/>
      <c r="U51" s="51" t="n"/>
      <c r="V51" s="51" t="n"/>
    </row>
    <row r="52">
      <c r="A52" s="42" t="n">
        <v>9</v>
      </c>
      <c r="B52" s="42" t="inlineStr">
        <is>
          <t>2026-11-01</t>
        </is>
      </c>
      <c r="C52" s="42" t="inlineStr">
        <is>
          <t>Pac-12</t>
        </is>
      </c>
      <c r="D52" s="42" t="inlineStr">
        <is>
          <t>Pac-12</t>
        </is>
      </c>
      <c r="E52" s="42" t="inlineStr">
        <is>
          <t>Texas State</t>
        </is>
      </c>
      <c r="F52" s="42" t="inlineStr">
        <is>
          <t>Boise State</t>
        </is>
      </c>
      <c r="G52" s="42" t="n">
        <v>-12</v>
      </c>
      <c r="H52" s="42" t="n">
        <v>-11.5</v>
      </c>
      <c r="I52" s="42" t="n">
        <v>0.5</v>
      </c>
      <c r="J52" s="42" t="n">
        <v>-14</v>
      </c>
      <c r="K52" s="42" t="n">
        <v>-11</v>
      </c>
      <c r="L52" s="42" t="n">
        <v>61.9</v>
      </c>
      <c r="M52" s="42" t="n">
        <v>63.5</v>
      </c>
      <c r="N52" s="42" t="n">
        <v>-1.6</v>
      </c>
      <c r="O52" s="42" t="n"/>
      <c r="P52" s="42" t="n"/>
      <c r="Q52" s="42" t="n"/>
      <c r="R52" s="42" t="n">
        <v>-13</v>
      </c>
      <c r="S52" s="51" t="n"/>
      <c r="T52" s="51" t="n"/>
      <c r="U52" s="51" t="n"/>
      <c r="V52" s="51" t="n"/>
    </row>
    <row r="53">
      <c r="A53" s="42" t="n">
        <v>9</v>
      </c>
      <c r="B53" s="42" t="inlineStr">
        <is>
          <t>2026-11-01</t>
        </is>
      </c>
      <c r="C53" s="42" t="inlineStr">
        <is>
          <t>Pac-12</t>
        </is>
      </c>
      <c r="D53" s="42" t="inlineStr">
        <is>
          <t>Pac-12</t>
        </is>
      </c>
      <c r="E53" s="42" t="inlineStr">
        <is>
          <t>Oregon State</t>
        </is>
      </c>
      <c r="F53" s="42" t="inlineStr">
        <is>
          <t>Fresno State</t>
        </is>
      </c>
      <c r="G53" s="42" t="n">
        <v>1.1</v>
      </c>
      <c r="H53" s="42" t="n">
        <v>7</v>
      </c>
      <c r="I53" s="56" t="n">
        <v>5.9</v>
      </c>
      <c r="J53" s="42" t="n">
        <v>-4.9</v>
      </c>
      <c r="K53" s="42" t="n">
        <v>8</v>
      </c>
      <c r="L53" s="42" t="n">
        <v>51.1</v>
      </c>
      <c r="M53" s="42" t="n">
        <v>57.5</v>
      </c>
      <c r="N53" s="47" t="n">
        <v>-6.4</v>
      </c>
      <c r="O53" s="42" t="n"/>
      <c r="P53" s="42" t="n"/>
      <c r="Q53" s="42" t="n"/>
      <c r="R53" s="42" t="n">
        <v>-6.7</v>
      </c>
      <c r="S53" s="51" t="n"/>
      <c r="T53" s="51" t="n"/>
      <c r="U53" s="51" t="n"/>
      <c r="V53" s="51" t="n"/>
    </row>
    <row r="54">
      <c r="A54" s="42" t="n">
        <v>9</v>
      </c>
      <c r="B54" s="42" t="inlineStr">
        <is>
          <t>2026-10-31</t>
        </is>
      </c>
      <c r="C54" s="42" t="inlineStr">
        <is>
          <t>SEC</t>
        </is>
      </c>
      <c r="D54" s="42" t="inlineStr">
        <is>
          <t>SEC</t>
        </is>
      </c>
      <c r="E54" s="42" t="inlineStr">
        <is>
          <t>Missouri</t>
        </is>
      </c>
      <c r="F54" s="42" t="inlineStr">
        <is>
          <t>Arkansas</t>
        </is>
      </c>
      <c r="G54" s="42" t="n">
        <v>6</v>
      </c>
      <c r="H54" s="42" t="n">
        <v>10</v>
      </c>
      <c r="I54" s="56" t="n">
        <v>4</v>
      </c>
      <c r="J54" s="42" t="n">
        <v>9.6</v>
      </c>
      <c r="K54" s="42" t="n">
        <v>8.300000000000001</v>
      </c>
      <c r="L54" s="42" t="n">
        <v>50.5</v>
      </c>
      <c r="M54" s="42" t="n">
        <v>48.5</v>
      </c>
      <c r="N54" s="47" t="n">
        <v>2</v>
      </c>
      <c r="O54" s="42" t="n"/>
      <c r="P54" s="42" t="n"/>
      <c r="Q54" s="42" t="n"/>
      <c r="R54" s="42" t="n">
        <v>9.6</v>
      </c>
      <c r="S54" s="51" t="n"/>
      <c r="T54" s="51" t="n"/>
      <c r="U54" s="51" t="n"/>
      <c r="V54" s="51" t="n"/>
    </row>
    <row r="55">
      <c r="A55" s="42" t="n">
        <v>9</v>
      </c>
      <c r="B55" s="42" t="inlineStr">
        <is>
          <t>2026-10-31</t>
        </is>
      </c>
      <c r="C55" s="42" t="inlineStr">
        <is>
          <t>SEC</t>
        </is>
      </c>
      <c r="D55" s="42" t="inlineStr">
        <is>
          <t>SEC</t>
        </is>
      </c>
      <c r="E55" s="42" t="inlineStr">
        <is>
          <t>Florida</t>
        </is>
      </c>
      <c r="F55" s="42" t="inlineStr">
        <is>
          <t>Georgia</t>
        </is>
      </c>
      <c r="G55" s="42" t="n">
        <v>-11.7</v>
      </c>
      <c r="H55" s="42" t="n">
        <v>-10.5</v>
      </c>
      <c r="I55" s="42" t="n">
        <v>1.2</v>
      </c>
      <c r="J55" s="42" t="n">
        <v>-13.4</v>
      </c>
      <c r="K55" s="42" t="n">
        <v>-8.1</v>
      </c>
      <c r="L55" s="42" t="n">
        <v>51.2</v>
      </c>
      <c r="M55" s="42" t="n">
        <v>56.5</v>
      </c>
      <c r="N55" s="47" t="n">
        <v>-5.3</v>
      </c>
      <c r="O55" s="42" t="n"/>
      <c r="P55" s="42" t="n"/>
      <c r="Q55" s="42" t="n"/>
      <c r="R55" s="42" t="n">
        <v>-16.9</v>
      </c>
      <c r="S55" s="51" t="n"/>
      <c r="T55" s="51" t="n"/>
      <c r="U55" s="51" t="n"/>
      <c r="V55" s="51" t="n"/>
    </row>
    <row r="56">
      <c r="A56" s="42" t="n">
        <v>9</v>
      </c>
      <c r="B56" s="42" t="inlineStr">
        <is>
          <t>2026-10-31</t>
        </is>
      </c>
      <c r="C56" s="42" t="inlineStr">
        <is>
          <t>SEC</t>
        </is>
      </c>
      <c r="D56" s="42" t="inlineStr">
        <is>
          <t>SEC</t>
        </is>
      </c>
      <c r="E56" s="42" t="inlineStr">
        <is>
          <t>South Carolina</t>
        </is>
      </c>
      <c r="F56" s="42" t="inlineStr">
        <is>
          <t>Oklahoma</t>
        </is>
      </c>
      <c r="G56" s="42" t="n">
        <v>-0.6</v>
      </c>
      <c r="H56" s="42" t="n">
        <v>-3.5</v>
      </c>
      <c r="I56" s="47" t="n">
        <v>-2.9</v>
      </c>
      <c r="J56" s="42" t="n">
        <v>-6.2</v>
      </c>
      <c r="K56" s="42" t="n">
        <v>0.1</v>
      </c>
      <c r="L56" s="42" t="n">
        <v>42.9</v>
      </c>
      <c r="M56" s="42" t="n">
        <v>44.5</v>
      </c>
      <c r="N56" s="42" t="n">
        <v>-1.6</v>
      </c>
      <c r="O56" s="42" t="n"/>
      <c r="P56" s="42" t="n"/>
      <c r="Q56" s="42" t="n"/>
      <c r="R56" s="42" t="n">
        <v>-6.6</v>
      </c>
      <c r="S56" s="51" t="n"/>
      <c r="T56" s="51" t="n"/>
      <c r="U56" s="51" t="n"/>
      <c r="V56" s="51" t="n"/>
    </row>
    <row r="57">
      <c r="A57" s="42" t="n">
        <v>9</v>
      </c>
      <c r="B57" s="42" t="inlineStr">
        <is>
          <t>2026-10-31</t>
        </is>
      </c>
      <c r="C57" s="42" t="inlineStr">
        <is>
          <t>SEC</t>
        </is>
      </c>
      <c r="D57" s="42" t="inlineStr">
        <is>
          <t>SEC</t>
        </is>
      </c>
      <c r="E57" s="42" t="inlineStr">
        <is>
          <t>Auburn</t>
        </is>
      </c>
      <c r="F57" s="42" t="inlineStr">
        <is>
          <t>Ole Miss</t>
        </is>
      </c>
      <c r="G57" s="42" t="n">
        <v>-14.7</v>
      </c>
      <c r="H57" s="42" t="n">
        <v>-13.5</v>
      </c>
      <c r="I57" s="42" t="n">
        <v>1.2</v>
      </c>
      <c r="J57" s="42" t="n">
        <v>-19.5</v>
      </c>
      <c r="K57" s="42" t="n">
        <v>-9.1</v>
      </c>
      <c r="L57" s="42" t="n">
        <v>50.8</v>
      </c>
      <c r="M57" s="42" t="n">
        <v>57.5</v>
      </c>
      <c r="N57" s="47" t="n">
        <v>-6.7</v>
      </c>
      <c r="O57" s="42" t="n"/>
      <c r="P57" s="42" t="n"/>
      <c r="Q57" s="42" t="n"/>
      <c r="R57" s="42" t="n">
        <v>-16.8</v>
      </c>
      <c r="S57" s="51" t="n"/>
      <c r="T57" s="51" t="n"/>
      <c r="U57" s="51" t="n"/>
      <c r="V57" s="51" t="n"/>
    </row>
    <row r="58">
      <c r="A58" s="42" t="n">
        <v>9</v>
      </c>
      <c r="B58" s="42" t="inlineStr">
        <is>
          <t>2026-10-31</t>
        </is>
      </c>
      <c r="C58" s="42" t="inlineStr">
        <is>
          <t>SEC</t>
        </is>
      </c>
      <c r="D58" s="42" t="inlineStr">
        <is>
          <t>SEC</t>
        </is>
      </c>
      <c r="E58" s="42" t="inlineStr">
        <is>
          <t>Mississippi State</t>
        </is>
      </c>
      <c r="F58" s="42" t="inlineStr">
        <is>
          <t>Texas</t>
        </is>
      </c>
      <c r="G58" s="42" t="n">
        <v>-16.9</v>
      </c>
      <c r="H58" s="42" t="n">
        <v>-21</v>
      </c>
      <c r="I58" s="56" t="n">
        <v>-4.1</v>
      </c>
      <c r="J58" s="42" t="n">
        <v>-24</v>
      </c>
      <c r="K58" s="42" t="n">
        <v>-10.9</v>
      </c>
      <c r="L58" s="42" t="n">
        <v>49.7</v>
      </c>
      <c r="M58" s="42" t="n">
        <v>50.5</v>
      </c>
      <c r="N58" s="42" t="n">
        <v>-0.8</v>
      </c>
      <c r="O58" s="42" t="n"/>
      <c r="P58" s="42" t="n"/>
      <c r="Q58" s="42" t="n"/>
      <c r="R58" s="42" t="n">
        <v>-19.1</v>
      </c>
      <c r="S58" s="51" t="n"/>
      <c r="T58" s="51" t="n"/>
      <c r="U58" s="51" t="n"/>
      <c r="V58" s="51" t="n"/>
    </row>
    <row r="59">
      <c r="A59" s="42" t="n">
        <v>9</v>
      </c>
      <c r="B59" s="42" t="inlineStr">
        <is>
          <t>2026-10-29</t>
        </is>
      </c>
      <c r="C59" s="42" t="inlineStr">
        <is>
          <t>Sun Belt</t>
        </is>
      </c>
      <c r="D59" s="42" t="inlineStr">
        <is>
          <t>Sun Belt</t>
        </is>
      </c>
      <c r="E59" s="42" t="inlineStr">
        <is>
          <t>Troy</t>
        </is>
      </c>
      <c r="F59" s="42" t="inlineStr">
        <is>
          <t>James Madison</t>
        </is>
      </c>
      <c r="G59" s="42" t="n">
        <v>-21.2</v>
      </c>
      <c r="H59" s="42" t="n">
        <v>-19.5</v>
      </c>
      <c r="I59" s="42" t="n">
        <v>1.7</v>
      </c>
      <c r="J59" s="42" t="n">
        <v>-20.2</v>
      </c>
      <c r="K59" s="42" t="n">
        <v>-22.9</v>
      </c>
      <c r="L59" s="42" t="n">
        <v>52.4</v>
      </c>
      <c r="M59" s="42" t="n">
        <v>52.5</v>
      </c>
      <c r="N59" s="42" t="n">
        <v>-0.1</v>
      </c>
      <c r="O59" s="42" t="n"/>
      <c r="P59" s="42" t="n"/>
      <c r="Q59" s="42" t="n"/>
      <c r="R59" s="42" t="n">
        <v>-22.4</v>
      </c>
      <c r="S59" s="51" t="n"/>
      <c r="T59" s="51" t="n"/>
      <c r="U59" s="51" t="n"/>
      <c r="V59" s="51" t="n"/>
    </row>
    <row r="60">
      <c r="A60" s="42" t="n">
        <v>9</v>
      </c>
      <c r="B60" s="42" t="inlineStr">
        <is>
          <t>2026-10-31</t>
        </is>
      </c>
      <c r="C60" s="42" t="inlineStr">
        <is>
          <t>Sun Belt</t>
        </is>
      </c>
      <c r="D60" s="42" t="inlineStr">
        <is>
          <t>Sun Belt</t>
        </is>
      </c>
      <c r="E60" s="42" t="inlineStr">
        <is>
          <t>App State</t>
        </is>
      </c>
      <c r="F60" s="42" t="inlineStr">
        <is>
          <t>Georgia Southern</t>
        </is>
      </c>
      <c r="G60" s="42" t="n">
        <v>-7.7</v>
      </c>
      <c r="H60" s="42" t="n">
        <v>-4.5</v>
      </c>
      <c r="I60" s="47" t="n">
        <v>3.2</v>
      </c>
      <c r="J60" s="42" t="n">
        <v>1.3</v>
      </c>
      <c r="K60" s="42" t="n">
        <v>-2.8</v>
      </c>
      <c r="L60" s="42" t="n">
        <v>54.5</v>
      </c>
      <c r="M60" s="42" t="n">
        <v>54.5</v>
      </c>
      <c r="N60" s="42" t="n">
        <v>0</v>
      </c>
      <c r="O60" s="42" t="n"/>
      <c r="P60" s="42" t="n"/>
      <c r="Q60" s="42" t="n"/>
      <c r="R60" s="42" t="n">
        <v>0.4</v>
      </c>
      <c r="S60" s="51" t="n"/>
      <c r="T60" s="51" t="n"/>
      <c r="U60" s="51" t="n"/>
      <c r="V60" s="51" t="n"/>
    </row>
    <row r="61">
      <c r="A61" s="42" t="n">
        <v>9</v>
      </c>
      <c r="B61" s="42" t="inlineStr">
        <is>
          <t>2026-10-31</t>
        </is>
      </c>
      <c r="C61" s="42" t="inlineStr">
        <is>
          <t>Sun Belt</t>
        </is>
      </c>
      <c r="D61" s="42" t="inlineStr">
        <is>
          <t>Sun Belt</t>
        </is>
      </c>
      <c r="E61" s="42" t="inlineStr">
        <is>
          <t>Coastal Carolina</t>
        </is>
      </c>
      <c r="F61" s="42" t="inlineStr">
        <is>
          <t>Georgia State</t>
        </is>
      </c>
      <c r="G61" s="42" t="n">
        <v>-5.6</v>
      </c>
      <c r="H61" s="42" t="n">
        <v>-6.5</v>
      </c>
      <c r="I61" s="42" t="n">
        <v>-0.9</v>
      </c>
      <c r="J61" s="42" t="n">
        <v>-8.5</v>
      </c>
      <c r="K61" s="42" t="n">
        <v>-9.300000000000001</v>
      </c>
      <c r="L61" s="42" t="n">
        <v>56.5</v>
      </c>
      <c r="M61" s="42" t="n">
        <v>59.5</v>
      </c>
      <c r="N61" s="47" t="n">
        <v>-3</v>
      </c>
      <c r="O61" s="42" t="n"/>
      <c r="P61" s="42" t="n"/>
      <c r="Q61" s="42" t="n"/>
      <c r="R61" s="42" t="n">
        <v>-8.4</v>
      </c>
      <c r="S61" s="51" t="n"/>
      <c r="T61" s="51" t="n"/>
      <c r="U61" s="51" t="n"/>
      <c r="V61" s="51" t="n"/>
    </row>
    <row r="62">
      <c r="A62" s="42" t="n">
        <v>9</v>
      </c>
      <c r="B62" s="42" t="inlineStr">
        <is>
          <t>2026-10-31</t>
        </is>
      </c>
      <c r="C62" s="42" t="inlineStr">
        <is>
          <t>Sun Belt</t>
        </is>
      </c>
      <c r="D62" s="42" t="inlineStr">
        <is>
          <t>Sun Belt</t>
        </is>
      </c>
      <c r="E62" s="42" t="inlineStr">
        <is>
          <t>Marshall</t>
        </is>
      </c>
      <c r="F62" s="42" t="inlineStr">
        <is>
          <t>Old Dominion</t>
        </is>
      </c>
      <c r="G62" s="42" t="n">
        <v>-8.800000000000001</v>
      </c>
      <c r="H62" s="42" t="n">
        <v>3</v>
      </c>
      <c r="I62" s="56" t="n">
        <v>11.8</v>
      </c>
      <c r="J62" s="42" t="n">
        <v>6.8</v>
      </c>
      <c r="K62" s="42" t="n">
        <v>-2.4</v>
      </c>
      <c r="L62" s="42" t="n">
        <v>50.1</v>
      </c>
      <c r="M62" s="42" t="n">
        <v>44.5</v>
      </c>
      <c r="N62" s="47" t="n">
        <v>5.6</v>
      </c>
      <c r="O62" s="42" t="n"/>
      <c r="P62" s="42" t="n"/>
      <c r="Q62" s="42" t="n"/>
      <c r="R62" s="42" t="n">
        <v>1.5</v>
      </c>
      <c r="S62" s="51" t="n"/>
      <c r="T62" s="51" t="n"/>
      <c r="U62" s="51" t="n"/>
      <c r="V62" s="51" t="n"/>
    </row>
    <row r="63">
      <c r="A63" s="42" t="n">
        <v>9</v>
      </c>
      <c r="B63" s="42" t="inlineStr">
        <is>
          <t>2026-10-31</t>
        </is>
      </c>
      <c r="C63" s="42" t="inlineStr">
        <is>
          <t>Sun Belt</t>
        </is>
      </c>
      <c r="D63" s="42" t="inlineStr">
        <is>
          <t>Sun Belt</t>
        </is>
      </c>
      <c r="E63" s="42" t="inlineStr">
        <is>
          <t>Louisiana Tech</t>
        </is>
      </c>
      <c r="F63" s="42" t="inlineStr">
        <is>
          <t>South Alabama</t>
        </is>
      </c>
      <c r="G63" s="42" t="n">
        <v>6.9</v>
      </c>
      <c r="H63" s="42" t="n">
        <v>5.5</v>
      </c>
      <c r="I63" s="42" t="n">
        <v>-1.4</v>
      </c>
      <c r="J63" s="42" t="n">
        <v>-3.1</v>
      </c>
      <c r="K63" s="42" t="n">
        <v>5.8</v>
      </c>
      <c r="L63" s="42" t="n">
        <v>56.3</v>
      </c>
      <c r="M63" s="42" t="n">
        <v>56.5</v>
      </c>
      <c r="N63" s="42" t="n">
        <v>-0.2</v>
      </c>
      <c r="O63" s="42" t="n"/>
      <c r="P63" s="42" t="n"/>
      <c r="Q63" s="42" t="n"/>
      <c r="R63" s="42" t="n">
        <v>-3.2</v>
      </c>
      <c r="S63" s="51" t="n"/>
      <c r="T63" s="51" t="n"/>
      <c r="U63" s="51" t="n"/>
      <c r="V63" s="51" t="n"/>
    </row>
    <row r="64">
      <c r="A64" s="42" t="n">
        <v>9</v>
      </c>
      <c r="B64" s="42" t="inlineStr">
        <is>
          <t>2026-10-31</t>
        </is>
      </c>
      <c r="C64" s="42" t="inlineStr">
        <is>
          <t>Sun Belt</t>
        </is>
      </c>
      <c r="D64" s="42" t="inlineStr">
        <is>
          <t>Sun Belt</t>
        </is>
      </c>
      <c r="E64" s="42" t="inlineStr">
        <is>
          <t>Southern Miss</t>
        </is>
      </c>
      <c r="F64" s="42" t="inlineStr">
        <is>
          <t>UL Monroe</t>
        </is>
      </c>
      <c r="G64" s="42" t="n">
        <v>6.3</v>
      </c>
      <c r="H64" s="42" t="n">
        <v>3</v>
      </c>
      <c r="I64" s="47" t="n">
        <v>-3.3</v>
      </c>
      <c r="J64" s="42" t="n">
        <v>5.3</v>
      </c>
      <c r="K64" s="42" t="n">
        <v>4.3</v>
      </c>
      <c r="L64" s="42" t="n">
        <v>52.6</v>
      </c>
      <c r="M64" s="42" t="n">
        <v>53.5</v>
      </c>
      <c r="N64" s="42" t="n">
        <v>-0.9</v>
      </c>
      <c r="O64" s="42" t="n"/>
      <c r="P64" s="42" t="n"/>
      <c r="Q64" s="42" t="n"/>
      <c r="R64" s="42" t="n">
        <v>8</v>
      </c>
      <c r="S64" s="51" t="n"/>
      <c r="T64" s="51" t="n"/>
      <c r="U64" s="51" t="n"/>
      <c r="V64" s="51" t="n"/>
    </row>
    <row r="66" ht="15.75" customHeight="1">
      <c r="A66" s="41" t="inlineStr">
        <is>
          <t>Week 8</t>
        </is>
      </c>
    </row>
    <row r="67" ht="15.75" customHeight="1">
      <c r="A67" s="46" t="inlineStr">
        <is>
          <t>Week</t>
        </is>
      </c>
      <c r="B67" s="46" t="inlineStr">
        <is>
          <t>Date</t>
        </is>
      </c>
      <c r="C67" s="46" t="inlineStr">
        <is>
          <t>Home Conf</t>
        </is>
      </c>
      <c r="D67" s="46" t="inlineStr">
        <is>
          <t>Away Conf</t>
        </is>
      </c>
      <c r="E67" s="46" t="inlineStr">
        <is>
          <t>Away Team</t>
        </is>
      </c>
      <c r="F67" s="46" t="inlineStr">
        <is>
          <t>Home Team</t>
        </is>
      </c>
      <c r="G67" s="46" t="inlineStr">
        <is>
          <t>Model Line (Home)</t>
        </is>
      </c>
      <c r="H67" s="46" t="inlineStr">
        <is>
          <t>Market Line (Home)</t>
        </is>
      </c>
      <c r="I67" s="46" t="inlineStr">
        <is>
          <t>Spread Edge (pts)</t>
        </is>
      </c>
      <c r="J67" s="46" t="inlineStr">
        <is>
          <t>Ridge Line (Home)</t>
        </is>
      </c>
      <c r="K67" s="46" t="inlineStr">
        <is>
          <t>Massey Line (Home)</t>
        </is>
      </c>
      <c r="L67" s="46" t="inlineStr">
        <is>
          <t>Model Total</t>
        </is>
      </c>
      <c r="M67" s="46" t="inlineStr">
        <is>
          <t>Market Total</t>
        </is>
      </c>
      <c r="N67" s="46" t="inlineStr">
        <is>
          <t>Total Edge (pts)</t>
        </is>
      </c>
      <c r="O67" s="46" t="inlineStr">
        <is>
          <t>Away Pts</t>
        </is>
      </c>
      <c r="P67" s="46" t="inlineStr">
        <is>
          <t>Home Pts</t>
        </is>
      </c>
      <c r="Q67" s="46" t="inlineStr">
        <is>
          <t>Model Result (SU)</t>
        </is>
      </c>
      <c r="R67" s="46" t="inlineStr">
        <is>
          <t>XGBoost Line (Home)</t>
        </is>
      </c>
      <c r="S67" s="46" t="inlineStr">
        <is>
          <t>Gamma ATS</t>
        </is>
      </c>
      <c r="T67" s="46" t="inlineStr">
        <is>
          <t>Ridge ATS</t>
        </is>
      </c>
      <c r="U67" s="46" t="inlineStr">
        <is>
          <t>XGBoost ATS</t>
        </is>
      </c>
      <c r="V67" s="46" t="inlineStr">
        <is>
          <t>Massey ATS</t>
        </is>
      </c>
    </row>
    <row r="68" ht="26.25" customHeight="1">
      <c r="A68" s="42" t="n">
        <v>8</v>
      </c>
      <c r="B68" s="42" t="inlineStr">
        <is>
          <t>2026-10-23</t>
        </is>
      </c>
      <c r="C68" s="42" t="inlineStr">
        <is>
          <t>ACC</t>
        </is>
      </c>
      <c r="D68" s="42" t="inlineStr">
        <is>
          <t>ACC</t>
        </is>
      </c>
      <c r="E68" s="42" t="inlineStr">
        <is>
          <t>Duke</t>
        </is>
      </c>
      <c r="F68" s="42" t="inlineStr">
        <is>
          <t>Virginia</t>
        </is>
      </c>
      <c r="G68" s="42" t="n">
        <v>1.1</v>
      </c>
      <c r="H68" s="42" t="n">
        <v>-2.5</v>
      </c>
      <c r="I68" s="47" t="n">
        <v>-3.6</v>
      </c>
      <c r="J68" s="42" t="n">
        <v>4</v>
      </c>
      <c r="K68" s="42" t="n">
        <v>-1</v>
      </c>
      <c r="L68" s="42" t="n">
        <v>52</v>
      </c>
      <c r="M68" s="42" t="n">
        <v>46.8</v>
      </c>
      <c r="N68" s="47" t="n">
        <v>5.3</v>
      </c>
      <c r="O68" s="42" t="n">
        <v>19</v>
      </c>
      <c r="P68" s="42" t="n">
        <v>16</v>
      </c>
      <c r="Q68" s="47" t="inlineStr">
        <is>
          <t>Win</t>
        </is>
      </c>
      <c r="R68" s="42" t="n">
        <v>5</v>
      </c>
      <c r="S68" s="52" t="inlineStr">
        <is>
          <t>Win</t>
        </is>
      </c>
      <c r="T68" s="52" t="inlineStr">
        <is>
          <t>Win</t>
        </is>
      </c>
      <c r="U68" s="52" t="inlineStr">
        <is>
          <t>Win</t>
        </is>
      </c>
      <c r="V68" s="52" t="inlineStr">
        <is>
          <t>Win</t>
        </is>
      </c>
    </row>
    <row r="69" ht="26.5" customHeight="1">
      <c r="A69" s="42" t="n">
        <v>8</v>
      </c>
      <c r="B69" s="42" t="inlineStr">
        <is>
          <t>2026-10-24</t>
        </is>
      </c>
      <c r="C69" s="42" t="inlineStr">
        <is>
          <t>ACC</t>
        </is>
      </c>
      <c r="D69" s="42" t="inlineStr">
        <is>
          <t>ACC</t>
        </is>
      </c>
      <c r="E69" s="42" t="inlineStr">
        <is>
          <t>Virginia Tech</t>
        </is>
      </c>
      <c r="F69" s="42" t="inlineStr">
        <is>
          <t>Clemson</t>
        </is>
      </c>
      <c r="G69" s="42" t="n">
        <v>-3.1</v>
      </c>
      <c r="H69" s="42" t="n">
        <v>-2.5</v>
      </c>
      <c r="I69" s="42" t="n">
        <v>0.6</v>
      </c>
      <c r="J69" s="42" t="n">
        <v>-6</v>
      </c>
      <c r="K69" s="42" t="n">
        <v>2.4</v>
      </c>
      <c r="L69" s="42" t="n">
        <v>45.1</v>
      </c>
      <c r="M69" s="42" t="n">
        <v>49.2</v>
      </c>
      <c r="N69" s="47" t="n">
        <v>-4.1</v>
      </c>
      <c r="O69" s="42" t="n">
        <v>20</v>
      </c>
      <c r="P69" s="42" t="n">
        <v>16</v>
      </c>
      <c r="Q69" s="48" t="inlineStr">
        <is>
          <t>Loss</t>
        </is>
      </c>
      <c r="R69" s="42" t="n">
        <v>-9.1</v>
      </c>
      <c r="S69" s="53" t="inlineStr">
        <is>
          <t>Loss</t>
        </is>
      </c>
      <c r="T69" s="53" t="inlineStr">
        <is>
          <t>Loss</t>
        </is>
      </c>
      <c r="U69" s="53" t="inlineStr">
        <is>
          <t>Loss</t>
        </is>
      </c>
      <c r="V69" s="52" t="inlineStr">
        <is>
          <t>Win</t>
        </is>
      </c>
    </row>
    <row r="70">
      <c r="A70" s="42" t="n">
        <v>8</v>
      </c>
      <c r="B70" s="42" t="inlineStr">
        <is>
          <t>2026-10-24</t>
        </is>
      </c>
      <c r="C70" s="42" t="inlineStr">
        <is>
          <t>ACC</t>
        </is>
      </c>
      <c r="D70" s="42" t="inlineStr">
        <is>
          <t>ACC</t>
        </is>
      </c>
      <c r="E70" s="42" t="inlineStr">
        <is>
          <t>Boston College</t>
        </is>
      </c>
      <c r="F70" s="42" t="inlineStr">
        <is>
          <t>Georgia Tech</t>
        </is>
      </c>
      <c r="G70" s="42" t="n">
        <v>-9.4</v>
      </c>
      <c r="H70" s="42" t="n">
        <v>-6</v>
      </c>
      <c r="I70" s="47" t="n">
        <v>3.4</v>
      </c>
      <c r="J70" s="42" t="n">
        <v>-5.6</v>
      </c>
      <c r="K70" s="42" t="n">
        <v>-3.6</v>
      </c>
      <c r="L70" s="42" t="n">
        <v>50.9</v>
      </c>
      <c r="M70" s="42" t="n">
        <v>50.2</v>
      </c>
      <c r="N70" s="42" t="n">
        <v>0.6</v>
      </c>
      <c r="O70" s="42" t="n">
        <v>49</v>
      </c>
      <c r="P70" s="42" t="n">
        <v>27</v>
      </c>
      <c r="Q70" s="48" t="inlineStr">
        <is>
          <t>Loss</t>
        </is>
      </c>
      <c r="R70" s="42" t="n">
        <v>-7.1</v>
      </c>
      <c r="S70" s="53" t="inlineStr">
        <is>
          <t>Loss</t>
        </is>
      </c>
      <c r="T70" s="53" t="inlineStr">
        <is>
          <t>Loss</t>
        </is>
      </c>
      <c r="U70" s="53" t="inlineStr">
        <is>
          <t>Loss</t>
        </is>
      </c>
      <c r="V70" s="52" t="inlineStr">
        <is>
          <t>Win</t>
        </is>
      </c>
    </row>
    <row r="71">
      <c r="A71" s="42" t="n">
        <v>8</v>
      </c>
      <c r="B71" s="42" t="inlineStr">
        <is>
          <t>2026-10-24</t>
        </is>
      </c>
      <c r="C71" s="42" t="inlineStr">
        <is>
          <t>ACC</t>
        </is>
      </c>
      <c r="D71" s="42" t="inlineStr">
        <is>
          <t>ACC</t>
        </is>
      </c>
      <c r="E71" s="42" t="inlineStr">
        <is>
          <t>Pittsburgh</t>
        </is>
      </c>
      <c r="F71" s="42" t="inlineStr">
        <is>
          <t>Miami</t>
        </is>
      </c>
      <c r="G71" s="42" t="n">
        <v>-23</v>
      </c>
      <c r="H71" s="42" t="n">
        <v>-19.8</v>
      </c>
      <c r="I71" s="47" t="n">
        <v>3.2</v>
      </c>
      <c r="J71" s="42" t="n">
        <v>-20.6</v>
      </c>
      <c r="K71" s="42" t="n">
        <v>-14.3</v>
      </c>
      <c r="L71" s="42" t="n">
        <v>51.7</v>
      </c>
      <c r="M71" s="42" t="n">
        <v>48.8</v>
      </c>
      <c r="N71" s="47" t="n">
        <v>3</v>
      </c>
      <c r="O71" s="42" t="n">
        <v>23</v>
      </c>
      <c r="P71" s="42" t="n">
        <v>52</v>
      </c>
      <c r="Q71" s="47" t="inlineStr">
        <is>
          <t>Win</t>
        </is>
      </c>
      <c r="R71" s="42" t="n">
        <v>-15.3</v>
      </c>
      <c r="S71" s="52" t="inlineStr">
        <is>
          <t>Win</t>
        </is>
      </c>
      <c r="T71" s="52" t="inlineStr">
        <is>
          <t>Win</t>
        </is>
      </c>
      <c r="U71" s="53" t="inlineStr">
        <is>
          <t>Loss</t>
        </is>
      </c>
      <c r="V71" s="53" t="inlineStr">
        <is>
          <t>Loss</t>
        </is>
      </c>
    </row>
    <row r="72" ht="15.75" customHeight="1">
      <c r="A72" s="42" t="n">
        <v>8</v>
      </c>
      <c r="B72" s="42" t="inlineStr">
        <is>
          <t>2026-10-24</t>
        </is>
      </c>
      <c r="C72" s="42" t="inlineStr">
        <is>
          <t>ACC</t>
        </is>
      </c>
      <c r="D72" s="42" t="inlineStr">
        <is>
          <t>ACC</t>
        </is>
      </c>
      <c r="E72" s="42" t="inlineStr">
        <is>
          <t>Syracuse</t>
        </is>
      </c>
      <c r="F72" s="42" t="inlineStr">
        <is>
          <t>North Carolina</t>
        </is>
      </c>
      <c r="G72" s="42" t="n">
        <v>-11.2</v>
      </c>
      <c r="H72" s="42" t="n">
        <v>-9.199999999999999</v>
      </c>
      <c r="I72" s="47" t="n">
        <v>2</v>
      </c>
      <c r="J72" s="42" t="n">
        <v>-8.699999999999999</v>
      </c>
      <c r="K72" s="42" t="n">
        <v>-6.7</v>
      </c>
      <c r="L72" s="42" t="n">
        <v>44.4</v>
      </c>
      <c r="M72" s="42" t="n">
        <v>47.2</v>
      </c>
      <c r="N72" s="47" t="n">
        <v>-2.8</v>
      </c>
      <c r="O72" s="42" t="n">
        <v>31</v>
      </c>
      <c r="P72" s="42" t="n">
        <v>30</v>
      </c>
      <c r="Q72" s="48" t="inlineStr">
        <is>
          <t>Loss</t>
        </is>
      </c>
      <c r="R72" s="42" t="n">
        <v>-7.6</v>
      </c>
      <c r="S72" s="53" t="inlineStr">
        <is>
          <t>Loss</t>
        </is>
      </c>
      <c r="T72" s="53" t="inlineStr">
        <is>
          <t>Loss</t>
        </is>
      </c>
      <c r="U72" s="52" t="inlineStr">
        <is>
          <t>Win</t>
        </is>
      </c>
      <c r="V72" s="52" t="inlineStr">
        <is>
          <t>Win</t>
        </is>
      </c>
    </row>
    <row r="73" ht="26.25" customHeight="1">
      <c r="A73" s="42" t="n">
        <v>8</v>
      </c>
      <c r="B73" s="42" t="inlineStr">
        <is>
          <t>2026-10-24</t>
        </is>
      </c>
      <c r="C73" s="42" t="inlineStr">
        <is>
          <t>ACC</t>
        </is>
      </c>
      <c r="D73" s="42" t="inlineStr">
        <is>
          <t>ACC</t>
        </is>
      </c>
      <c r="E73" s="42" t="inlineStr">
        <is>
          <t>California</t>
        </is>
      </c>
      <c r="F73" s="42" t="inlineStr">
        <is>
          <t>SMU</t>
        </is>
      </c>
      <c r="G73" s="42" t="n">
        <v>-20.8</v>
      </c>
      <c r="H73" s="42" t="n">
        <v>-19.2</v>
      </c>
      <c r="I73" s="42" t="n">
        <v>1.6</v>
      </c>
      <c r="J73" s="42" t="n">
        <v>-19.2</v>
      </c>
      <c r="K73" s="42" t="n">
        <v>-12</v>
      </c>
      <c r="L73" s="42" t="n">
        <v>49.5</v>
      </c>
      <c r="M73" s="42" t="n">
        <v>55.2</v>
      </c>
      <c r="N73" s="47" t="n">
        <v>-5.8</v>
      </c>
      <c r="O73" s="42" t="n">
        <v>20</v>
      </c>
      <c r="P73" s="42" t="n">
        <v>59</v>
      </c>
      <c r="Q73" s="47" t="inlineStr">
        <is>
          <t>Win</t>
        </is>
      </c>
      <c r="R73" s="42" t="n">
        <v>-15.8</v>
      </c>
      <c r="S73" s="52" t="inlineStr">
        <is>
          <t>Win</t>
        </is>
      </c>
      <c r="T73" s="52" t="inlineStr">
        <is>
          <t>Win</t>
        </is>
      </c>
      <c r="U73" s="53" t="inlineStr">
        <is>
          <t>Loss</t>
        </is>
      </c>
      <c r="V73" s="53" t="inlineStr">
        <is>
          <t>Loss</t>
        </is>
      </c>
    </row>
    <row r="74">
      <c r="A74" s="42" t="n">
        <v>8</v>
      </c>
      <c r="B74" s="42" t="inlineStr">
        <is>
          <t>2026-10-24</t>
        </is>
      </c>
      <c r="C74" s="42" t="inlineStr">
        <is>
          <t>ACC</t>
        </is>
      </c>
      <c r="D74" s="42" t="inlineStr">
        <is>
          <t>ACC</t>
        </is>
      </c>
      <c r="E74" s="42" t="inlineStr">
        <is>
          <t>NC State</t>
        </is>
      </c>
      <c r="F74" s="42" t="inlineStr">
        <is>
          <t>Stanford</t>
        </is>
      </c>
      <c r="G74" s="42" t="n">
        <v>0.6</v>
      </c>
      <c r="H74" s="42" t="n">
        <v>7.5</v>
      </c>
      <c r="I74" s="56" t="n">
        <v>6.9</v>
      </c>
      <c r="J74" s="42" t="n">
        <v>4.5</v>
      </c>
      <c r="K74" s="42" t="n">
        <v>10.6</v>
      </c>
      <c r="L74" s="42" t="n">
        <v>55.2</v>
      </c>
      <c r="M74" s="42" t="n">
        <v>55.2</v>
      </c>
      <c r="N74" s="42" t="n">
        <v>0</v>
      </c>
      <c r="O74" s="42" t="n">
        <v>28</v>
      </c>
      <c r="P74" s="42" t="n">
        <v>31</v>
      </c>
      <c r="Q74" s="48" t="inlineStr">
        <is>
          <t>Loss</t>
        </is>
      </c>
      <c r="R74" s="42" t="n">
        <v>3.1</v>
      </c>
      <c r="S74" s="52" t="inlineStr">
        <is>
          <t>Win</t>
        </is>
      </c>
      <c r="T74" s="52" t="inlineStr">
        <is>
          <t>Win</t>
        </is>
      </c>
      <c r="U74" s="52" t="inlineStr">
        <is>
          <t>Win</t>
        </is>
      </c>
      <c r="V74" s="53" t="inlineStr">
        <is>
          <t>Loss</t>
        </is>
      </c>
    </row>
    <row r="75">
      <c r="A75" s="42" t="n">
        <v>8</v>
      </c>
      <c r="B75" s="42" t="inlineStr">
        <is>
          <t>2026-10-22</t>
        </is>
      </c>
      <c r="C75" s="42" t="inlineStr">
        <is>
          <t>American Athletic</t>
        </is>
      </c>
      <c r="D75" s="42" t="inlineStr">
        <is>
          <t>American Athletic</t>
        </is>
      </c>
      <c r="E75" s="42" t="inlineStr">
        <is>
          <t>East Carolina</t>
        </is>
      </c>
      <c r="F75" s="42" t="inlineStr">
        <is>
          <t>Memphis</t>
        </is>
      </c>
      <c r="G75" s="42" t="n">
        <v>-5.8</v>
      </c>
      <c r="H75" s="42" t="n">
        <v>-10.5</v>
      </c>
      <c r="I75" s="56" t="n">
        <v>-4.7</v>
      </c>
      <c r="J75" s="42" t="n">
        <v>-7.2</v>
      </c>
      <c r="K75" s="42" t="n">
        <v>-12.7</v>
      </c>
      <c r="L75" s="42" t="n">
        <v>49.1</v>
      </c>
      <c r="M75" s="42" t="n">
        <v>55.5</v>
      </c>
      <c r="N75" s="47" t="n">
        <v>-6.4</v>
      </c>
      <c r="O75" s="42" t="n">
        <v>34</v>
      </c>
      <c r="P75" s="42" t="n">
        <v>41</v>
      </c>
      <c r="Q75" s="47" t="inlineStr">
        <is>
          <t>Win</t>
        </is>
      </c>
      <c r="R75" s="42" t="n">
        <v>-5.3</v>
      </c>
      <c r="S75" s="52" t="inlineStr">
        <is>
          <t>Win</t>
        </is>
      </c>
      <c r="T75" s="52" t="inlineStr">
        <is>
          <t>Win</t>
        </is>
      </c>
      <c r="U75" s="52" t="inlineStr">
        <is>
          <t>Win</t>
        </is>
      </c>
      <c r="V75" s="53" t="inlineStr">
        <is>
          <t>Loss</t>
        </is>
      </c>
    </row>
    <row r="76">
      <c r="A76" s="42" t="n">
        <v>8</v>
      </c>
      <c r="B76" s="42" t="inlineStr">
        <is>
          <t>2026-10-24</t>
        </is>
      </c>
      <c r="C76" s="42" t="inlineStr">
        <is>
          <t>American Athletic</t>
        </is>
      </c>
      <c r="D76" s="42" t="inlineStr">
        <is>
          <t>American Athletic</t>
        </is>
      </c>
      <c r="E76" s="42" t="inlineStr">
        <is>
          <t>Rice</t>
        </is>
      </c>
      <c r="F76" s="42" t="inlineStr">
        <is>
          <t>Florida Atlantic</t>
        </is>
      </c>
      <c r="G76" s="42" t="n">
        <v>-9</v>
      </c>
      <c r="H76" s="42" t="n">
        <v>-8.5</v>
      </c>
      <c r="I76" s="42" t="n">
        <v>0.5</v>
      </c>
      <c r="J76" s="42" t="n">
        <v>-10.1</v>
      </c>
      <c r="K76" s="42" t="n">
        <v>-10.5</v>
      </c>
      <c r="L76" s="42" t="n">
        <v>55.2</v>
      </c>
      <c r="M76" s="42" t="n">
        <v>53.8</v>
      </c>
      <c r="N76" s="42" t="n">
        <v>1.5</v>
      </c>
      <c r="O76" s="42" t="n">
        <v>49</v>
      </c>
      <c r="P76" s="42" t="n">
        <v>51</v>
      </c>
      <c r="Q76" s="47" t="inlineStr">
        <is>
          <t>Win</t>
        </is>
      </c>
      <c r="R76" s="42" t="n">
        <v>-8.9</v>
      </c>
      <c r="S76" s="53" t="inlineStr">
        <is>
          <t>Loss</t>
        </is>
      </c>
      <c r="T76" s="53" t="inlineStr">
        <is>
          <t>Loss</t>
        </is>
      </c>
      <c r="U76" s="53" t="inlineStr">
        <is>
          <t>Loss</t>
        </is>
      </c>
      <c r="V76" s="53" t="inlineStr">
        <is>
          <t>Loss</t>
        </is>
      </c>
    </row>
    <row r="77">
      <c r="A77" s="42" t="n">
        <v>8</v>
      </c>
      <c r="B77" s="42" t="inlineStr">
        <is>
          <t>2026-10-24</t>
        </is>
      </c>
      <c r="C77" s="42" t="inlineStr">
        <is>
          <t>American Athletic</t>
        </is>
      </c>
      <c r="D77" s="42" t="inlineStr">
        <is>
          <t>American Athletic</t>
        </is>
      </c>
      <c r="E77" s="42" t="inlineStr">
        <is>
          <t>North Texas</t>
        </is>
      </c>
      <c r="F77" s="42" t="inlineStr">
        <is>
          <t>Navy</t>
        </is>
      </c>
      <c r="G77" s="42" t="n">
        <v>-5.8</v>
      </c>
      <c r="H77" s="42" t="n">
        <v>3</v>
      </c>
      <c r="I77" s="56" t="n">
        <v>8.800000000000001</v>
      </c>
      <c r="J77" s="42" t="n">
        <v>2.2</v>
      </c>
      <c r="K77" s="42" t="n">
        <v>4.7</v>
      </c>
      <c r="L77" s="42" t="n">
        <v>60.7</v>
      </c>
      <c r="M77" s="42" t="n">
        <v>62.2</v>
      </c>
      <c r="N77" s="42" t="n">
        <v>-1.6</v>
      </c>
      <c r="O77" s="42" t="n">
        <v>49</v>
      </c>
      <c r="P77" s="42" t="n">
        <v>39</v>
      </c>
      <c r="Q77" s="48" t="inlineStr">
        <is>
          <t>Loss</t>
        </is>
      </c>
      <c r="R77" s="42" t="n">
        <v>-0.6</v>
      </c>
      <c r="S77" s="53" t="inlineStr">
        <is>
          <t>Loss</t>
        </is>
      </c>
      <c r="T77" s="52" t="inlineStr">
        <is>
          <t>Win</t>
        </is>
      </c>
      <c r="U77" s="53" t="inlineStr">
        <is>
          <t>Loss</t>
        </is>
      </c>
      <c r="V77" s="52" t="inlineStr">
        <is>
          <t>Win</t>
        </is>
      </c>
    </row>
    <row r="78">
      <c r="A78" s="42" t="n">
        <v>8</v>
      </c>
      <c r="B78" s="42" t="inlineStr">
        <is>
          <t>2026-10-24</t>
        </is>
      </c>
      <c r="C78" s="42" t="inlineStr">
        <is>
          <t>American Athletic</t>
        </is>
      </c>
      <c r="D78" s="42" t="inlineStr">
        <is>
          <t>American Athletic</t>
        </is>
      </c>
      <c r="E78" s="42" t="inlineStr">
        <is>
          <t>Army</t>
        </is>
      </c>
      <c r="F78" s="42" t="inlineStr">
        <is>
          <t>Tulsa</t>
        </is>
      </c>
      <c r="G78" s="42" t="n">
        <v>3.2</v>
      </c>
      <c r="H78" s="42" t="n">
        <v>-1.2</v>
      </c>
      <c r="I78" s="56" t="n">
        <v>-4.4</v>
      </c>
      <c r="J78" s="42" t="n">
        <v>2.4</v>
      </c>
      <c r="K78" s="42" t="n">
        <v>1.8</v>
      </c>
      <c r="L78" s="42" t="n">
        <v>56.2</v>
      </c>
      <c r="M78" s="42" t="n">
        <v>52.8</v>
      </c>
      <c r="N78" s="47" t="n">
        <v>3.4</v>
      </c>
      <c r="O78" s="42" t="n">
        <v>38</v>
      </c>
      <c r="P78" s="42" t="n">
        <v>35</v>
      </c>
      <c r="Q78" s="47" t="inlineStr">
        <is>
          <t>Win</t>
        </is>
      </c>
      <c r="R78" s="42" t="n">
        <v>7.9</v>
      </c>
      <c r="S78" s="52" t="inlineStr">
        <is>
          <t>Win</t>
        </is>
      </c>
      <c r="T78" s="52" t="inlineStr">
        <is>
          <t>Win</t>
        </is>
      </c>
      <c r="U78" s="52" t="inlineStr">
        <is>
          <t>Win</t>
        </is>
      </c>
      <c r="V78" s="52" t="inlineStr">
        <is>
          <t>Win</t>
        </is>
      </c>
    </row>
    <row r="79">
      <c r="A79" s="42" t="n">
        <v>8</v>
      </c>
      <c r="B79" s="42" t="inlineStr">
        <is>
          <t>2026-10-25</t>
        </is>
      </c>
      <c r="C79" s="42" t="inlineStr">
        <is>
          <t>American Athletic</t>
        </is>
      </c>
      <c r="D79" s="42" t="inlineStr">
        <is>
          <t>American Athletic</t>
        </is>
      </c>
      <c r="E79" s="42" t="inlineStr">
        <is>
          <t>UTSA</t>
        </is>
      </c>
      <c r="F79" s="42" t="inlineStr">
        <is>
          <t>Tulane</t>
        </is>
      </c>
      <c r="G79" s="42" t="n">
        <v>-1.4</v>
      </c>
      <c r="H79" s="42" t="n">
        <v>3</v>
      </c>
      <c r="I79" s="56" t="n">
        <v>4.4</v>
      </c>
      <c r="J79" s="42" t="n">
        <v>0.8</v>
      </c>
      <c r="K79" s="42" t="n">
        <v>-1.1</v>
      </c>
      <c r="L79" s="42" t="n">
        <v>55.2</v>
      </c>
      <c r="M79" s="42" t="n">
        <v>51.5</v>
      </c>
      <c r="N79" s="47" t="n">
        <v>3.7</v>
      </c>
      <c r="O79" s="42" t="n">
        <v>42</v>
      </c>
      <c r="P79" s="42" t="n">
        <v>19</v>
      </c>
      <c r="Q79" s="48" t="inlineStr">
        <is>
          <t>Loss</t>
        </is>
      </c>
      <c r="R79" s="42" t="n">
        <v>0</v>
      </c>
      <c r="S79" s="53" t="inlineStr">
        <is>
          <t>Loss</t>
        </is>
      </c>
      <c r="T79" s="53" t="inlineStr">
        <is>
          <t>Loss</t>
        </is>
      </c>
      <c r="U79" s="53" t="inlineStr">
        <is>
          <t>Loss</t>
        </is>
      </c>
      <c r="V79" s="53" t="inlineStr">
        <is>
          <t>Loss</t>
        </is>
      </c>
    </row>
    <row r="80">
      <c r="A80" s="42" t="n">
        <v>8</v>
      </c>
      <c r="B80" s="42" t="inlineStr">
        <is>
          <t>2026-10-24</t>
        </is>
      </c>
      <c r="C80" s="42" t="inlineStr">
        <is>
          <t>Big 12</t>
        </is>
      </c>
      <c r="D80" s="42" t="inlineStr">
        <is>
          <t>Big 12</t>
        </is>
      </c>
      <c r="E80" s="42" t="inlineStr">
        <is>
          <t>Iowa State</t>
        </is>
      </c>
      <c r="F80" s="42" t="inlineStr">
        <is>
          <t>Arizona</t>
        </is>
      </c>
      <c r="G80" s="42" t="n">
        <v>-7.5</v>
      </c>
      <c r="H80" s="42" t="n">
        <v>-9.800000000000001</v>
      </c>
      <c r="I80" s="47" t="n">
        <v>-2.3</v>
      </c>
      <c r="J80" s="42" t="n">
        <v>-13.3</v>
      </c>
      <c r="K80" s="42" t="n">
        <v>-6.2</v>
      </c>
      <c r="L80" s="42" t="n">
        <v>48.9</v>
      </c>
      <c r="M80" s="42" t="n">
        <v>51.5</v>
      </c>
      <c r="N80" s="47" t="n">
        <v>-2.6</v>
      </c>
      <c r="O80" s="42" t="n">
        <v>3</v>
      </c>
      <c r="P80" s="42" t="n">
        <v>39</v>
      </c>
      <c r="Q80" s="47" t="inlineStr">
        <is>
          <t>Win</t>
        </is>
      </c>
      <c r="R80" s="42" t="n">
        <v>-13.2</v>
      </c>
      <c r="S80" s="53" t="inlineStr">
        <is>
          <t>Loss</t>
        </is>
      </c>
      <c r="T80" s="52" t="inlineStr">
        <is>
          <t>Win</t>
        </is>
      </c>
      <c r="U80" s="52" t="inlineStr">
        <is>
          <t>Win</t>
        </is>
      </c>
      <c r="V80" s="53" t="inlineStr">
        <is>
          <t>Loss</t>
        </is>
      </c>
    </row>
    <row r="81">
      <c r="A81" s="42" t="n">
        <v>8</v>
      </c>
      <c r="B81" s="42" t="inlineStr">
        <is>
          <t>2026-10-24</t>
        </is>
      </c>
      <c r="C81" s="42" t="inlineStr">
        <is>
          <t>Big 12</t>
        </is>
      </c>
      <c r="D81" s="42" t="inlineStr">
        <is>
          <t>Big 12</t>
        </is>
      </c>
      <c r="E81" s="42" t="inlineStr">
        <is>
          <t>Kansas State</t>
        </is>
      </c>
      <c r="F81" s="42" t="inlineStr">
        <is>
          <t>Arizona State</t>
        </is>
      </c>
      <c r="G81" s="42" t="n">
        <v>0.4</v>
      </c>
      <c r="H81" s="42" t="n">
        <v>2.5</v>
      </c>
      <c r="I81" s="47" t="n">
        <v>2.1</v>
      </c>
      <c r="J81" s="42" t="n">
        <v>2.1</v>
      </c>
      <c r="K81" s="42" t="n">
        <v>6.3</v>
      </c>
      <c r="L81" s="42" t="n">
        <v>52</v>
      </c>
      <c r="M81" s="42" t="n">
        <v>55.2</v>
      </c>
      <c r="N81" s="47" t="n">
        <v>-3.2</v>
      </c>
      <c r="O81" s="42" t="n">
        <v>17</v>
      </c>
      <c r="P81" s="42" t="n">
        <v>28</v>
      </c>
      <c r="Q81" s="48" t="inlineStr">
        <is>
          <t>Loss</t>
        </is>
      </c>
      <c r="R81" s="42" t="n">
        <v>1.5</v>
      </c>
      <c r="S81" s="52" t="inlineStr">
        <is>
          <t>Win</t>
        </is>
      </c>
      <c r="T81" s="53" t="inlineStr">
        <is>
          <t>Loss</t>
        </is>
      </c>
      <c r="U81" s="52" t="inlineStr">
        <is>
          <t>Win</t>
        </is>
      </c>
      <c r="V81" s="53" t="inlineStr">
        <is>
          <t>Loss</t>
        </is>
      </c>
    </row>
    <row r="82">
      <c r="A82" s="42" t="n">
        <v>8</v>
      </c>
      <c r="B82" s="42" t="inlineStr">
        <is>
          <t>2026-10-24</t>
        </is>
      </c>
      <c r="C82" s="42" t="inlineStr">
        <is>
          <t>Big 12</t>
        </is>
      </c>
      <c r="D82" s="42" t="inlineStr">
        <is>
          <t>Big 12</t>
        </is>
      </c>
      <c r="E82" s="42" t="inlineStr">
        <is>
          <t>Texas Tech</t>
        </is>
      </c>
      <c r="F82" s="42" t="inlineStr">
        <is>
          <t>Cincinnati</t>
        </is>
      </c>
      <c r="G82" s="42" t="n">
        <v>13.7</v>
      </c>
      <c r="H82" s="42" t="n">
        <v>11.5</v>
      </c>
      <c r="I82" s="47" t="n">
        <v>-2.2</v>
      </c>
      <c r="J82" s="42" t="n">
        <v>16.9</v>
      </c>
      <c r="K82" s="42" t="n">
        <v>8.4</v>
      </c>
      <c r="L82" s="42" t="n">
        <v>55</v>
      </c>
      <c r="M82" s="42" t="n">
        <v>56.8</v>
      </c>
      <c r="N82" s="42" t="n">
        <v>-1.7</v>
      </c>
      <c r="O82" s="42" t="n">
        <v>24</v>
      </c>
      <c r="P82" s="42" t="n">
        <v>37</v>
      </c>
      <c r="Q82" s="48" t="inlineStr">
        <is>
          <t>Loss</t>
        </is>
      </c>
      <c r="R82" s="42" t="n">
        <v>14.8</v>
      </c>
      <c r="S82" s="53" t="inlineStr">
        <is>
          <t>Loss</t>
        </is>
      </c>
      <c r="T82" s="53" t="inlineStr">
        <is>
          <t>Loss</t>
        </is>
      </c>
      <c r="U82" s="53" t="inlineStr">
        <is>
          <t>Loss</t>
        </is>
      </c>
      <c r="V82" s="52" t="inlineStr">
        <is>
          <t>Win</t>
        </is>
      </c>
    </row>
    <row r="83">
      <c r="A83" s="42" t="n">
        <v>8</v>
      </c>
      <c r="B83" s="42" t="inlineStr">
        <is>
          <t>2026-10-24</t>
        </is>
      </c>
      <c r="C83" s="42" t="inlineStr">
        <is>
          <t>Big 12</t>
        </is>
      </c>
      <c r="D83" s="42" t="inlineStr">
        <is>
          <t>Big 12</t>
        </is>
      </c>
      <c r="E83" s="42" t="inlineStr">
        <is>
          <t>Baylor</t>
        </is>
      </c>
      <c r="F83" s="42" t="inlineStr">
        <is>
          <t>Kansas</t>
        </is>
      </c>
      <c r="G83" s="42" t="n">
        <v>3.1</v>
      </c>
      <c r="H83" s="42" t="n">
        <v>1.2</v>
      </c>
      <c r="I83" s="42" t="n">
        <v>-1.9</v>
      </c>
      <c r="J83" s="42" t="n">
        <v>4.7</v>
      </c>
      <c r="K83" s="42" t="n">
        <v>2.2</v>
      </c>
      <c r="L83" s="42" t="n">
        <v>51.5</v>
      </c>
      <c r="M83" s="42" t="n">
        <v>53.5</v>
      </c>
      <c r="N83" s="47" t="n">
        <v>-2</v>
      </c>
      <c r="O83" s="42" t="n">
        <v>24</v>
      </c>
      <c r="P83" s="42" t="n">
        <v>25</v>
      </c>
      <c r="Q83" s="48" t="inlineStr">
        <is>
          <t>Loss</t>
        </is>
      </c>
      <c r="R83" s="42" t="n">
        <v>6.2</v>
      </c>
      <c r="S83" s="53" t="inlineStr">
        <is>
          <t>Loss</t>
        </is>
      </c>
      <c r="T83" s="53" t="inlineStr">
        <is>
          <t>Loss</t>
        </is>
      </c>
      <c r="U83" s="53" t="inlineStr">
        <is>
          <t>Loss</t>
        </is>
      </c>
      <c r="V83" s="53" t="inlineStr">
        <is>
          <t>Loss</t>
        </is>
      </c>
    </row>
    <row r="84">
      <c r="A84" s="42" t="n">
        <v>8</v>
      </c>
      <c r="B84" s="42" t="inlineStr">
        <is>
          <t>2026-10-24</t>
        </is>
      </c>
      <c r="C84" s="42" t="inlineStr">
        <is>
          <t>Big 12</t>
        </is>
      </c>
      <c r="D84" s="42" t="inlineStr">
        <is>
          <t>Big 12</t>
        </is>
      </c>
      <c r="E84" s="42" t="inlineStr">
        <is>
          <t>Colorado</t>
        </is>
      </c>
      <c r="F84" s="42" t="inlineStr">
        <is>
          <t>Oklahoma State</t>
        </is>
      </c>
      <c r="G84" s="42" t="n">
        <v>-1.5</v>
      </c>
      <c r="H84" s="42" t="n">
        <v>-13.5</v>
      </c>
      <c r="I84" s="56" t="n">
        <v>-12</v>
      </c>
      <c r="J84" s="42" t="n">
        <v>-5.1</v>
      </c>
      <c r="K84" s="42" t="n">
        <v>-16</v>
      </c>
      <c r="L84" s="42" t="n">
        <v>46.4</v>
      </c>
      <c r="M84" s="42" t="n">
        <v>56.2</v>
      </c>
      <c r="N84" s="47" t="n">
        <v>-9.9</v>
      </c>
      <c r="O84" s="42" t="n">
        <v>24</v>
      </c>
      <c r="P84" s="42" t="n">
        <v>57</v>
      </c>
      <c r="Q84" s="47" t="inlineStr">
        <is>
          <t>Win</t>
        </is>
      </c>
      <c r="R84" s="42" t="n">
        <v>-3.4</v>
      </c>
      <c r="S84" s="53" t="inlineStr">
        <is>
          <t>Loss</t>
        </is>
      </c>
      <c r="T84" s="53" t="inlineStr">
        <is>
          <t>Loss</t>
        </is>
      </c>
      <c r="U84" s="53" t="inlineStr">
        <is>
          <t>Loss</t>
        </is>
      </c>
      <c r="V84" s="52" t="inlineStr">
        <is>
          <t>Win</t>
        </is>
      </c>
    </row>
    <row r="85">
      <c r="A85" s="42" t="n">
        <v>8</v>
      </c>
      <c r="B85" s="42" t="inlineStr">
        <is>
          <t>2026-10-24</t>
        </is>
      </c>
      <c r="C85" s="42" t="inlineStr">
        <is>
          <t>Big 12</t>
        </is>
      </c>
      <c r="D85" s="42" t="inlineStr">
        <is>
          <t>Big 12</t>
        </is>
      </c>
      <c r="E85" s="42" t="inlineStr">
        <is>
          <t>West Virginia</t>
        </is>
      </c>
      <c r="F85" s="42" t="inlineStr">
        <is>
          <t>TCU</t>
        </is>
      </c>
      <c r="G85" s="42" t="n">
        <v>-15</v>
      </c>
      <c r="H85" s="42" t="n">
        <v>-10.2</v>
      </c>
      <c r="I85" s="56" t="n">
        <v>4.8</v>
      </c>
      <c r="J85" s="42" t="n">
        <v>-10.6</v>
      </c>
      <c r="K85" s="42" t="n">
        <v>-10.5</v>
      </c>
      <c r="L85" s="42" t="n">
        <v>51.4</v>
      </c>
      <c r="M85" s="42" t="n">
        <v>57.5</v>
      </c>
      <c r="N85" s="47" t="n">
        <v>-6.1</v>
      </c>
      <c r="O85" s="42" t="n">
        <v>24</v>
      </c>
      <c r="P85" s="42" t="n">
        <v>20</v>
      </c>
      <c r="Q85" s="48" t="inlineStr">
        <is>
          <t>Loss</t>
        </is>
      </c>
      <c r="R85" s="42" t="n">
        <v>-8.9</v>
      </c>
      <c r="S85" s="53" t="inlineStr">
        <is>
          <t>Loss</t>
        </is>
      </c>
      <c r="T85" s="53" t="inlineStr">
        <is>
          <t>Loss</t>
        </is>
      </c>
      <c r="U85" s="52" t="inlineStr">
        <is>
          <t>Win</t>
        </is>
      </c>
      <c r="V85" s="53" t="inlineStr">
        <is>
          <t>Loss</t>
        </is>
      </c>
    </row>
    <row r="86">
      <c r="A86" s="42" t="n">
        <v>8</v>
      </c>
      <c r="B86" s="42" t="inlineStr">
        <is>
          <t>2026-10-24</t>
        </is>
      </c>
      <c r="C86" s="42" t="inlineStr">
        <is>
          <t>Big 12</t>
        </is>
      </c>
      <c r="D86" s="42" t="inlineStr">
        <is>
          <t>Big 12</t>
        </is>
      </c>
      <c r="E86" s="42" t="inlineStr">
        <is>
          <t>BYU</t>
        </is>
      </c>
      <c r="F86" s="42" t="inlineStr">
        <is>
          <t>UCF</t>
        </is>
      </c>
      <c r="G86" s="42" t="n">
        <v>10.6</v>
      </c>
      <c r="H86" s="42" t="n">
        <v>7.5</v>
      </c>
      <c r="I86" s="47" t="n">
        <v>-3.1</v>
      </c>
      <c r="J86" s="42" t="n">
        <v>22.3</v>
      </c>
      <c r="K86" s="42" t="n">
        <v>1.8</v>
      </c>
      <c r="L86" s="42" t="n">
        <v>48.9</v>
      </c>
      <c r="M86" s="42" t="n">
        <v>43.5</v>
      </c>
      <c r="N86" s="47" t="n">
        <v>5.4</v>
      </c>
      <c r="O86" s="42" t="n">
        <v>31</v>
      </c>
      <c r="P86" s="42" t="n">
        <v>39</v>
      </c>
      <c r="Q86" s="48" t="inlineStr">
        <is>
          <t>Loss</t>
        </is>
      </c>
      <c r="R86" s="42" t="n">
        <v>18</v>
      </c>
      <c r="S86" s="53" t="inlineStr">
        <is>
          <t>Loss</t>
        </is>
      </c>
      <c r="T86" s="53" t="inlineStr">
        <is>
          <t>Loss</t>
        </is>
      </c>
      <c r="U86" s="53" t="inlineStr">
        <is>
          <t>Loss</t>
        </is>
      </c>
      <c r="V86" s="52" t="inlineStr">
        <is>
          <t>Win</t>
        </is>
      </c>
    </row>
    <row r="87">
      <c r="A87" s="42" t="n">
        <v>8</v>
      </c>
      <c r="B87" s="42" t="inlineStr">
        <is>
          <t>2026-10-25</t>
        </is>
      </c>
      <c r="C87" s="42" t="inlineStr">
        <is>
          <t>Big 12</t>
        </is>
      </c>
      <c r="D87" s="42" t="inlineStr">
        <is>
          <t>Big 12</t>
        </is>
      </c>
      <c r="E87" s="42" t="inlineStr">
        <is>
          <t>Houston</t>
        </is>
      </c>
      <c r="F87" s="42" t="inlineStr">
        <is>
          <t>Utah</t>
        </is>
      </c>
      <c r="G87" s="42" t="n">
        <v>-14.1</v>
      </c>
      <c r="H87" s="42" t="n">
        <v>-6.5</v>
      </c>
      <c r="I87" s="56" t="n">
        <v>7.6</v>
      </c>
      <c r="J87" s="42" t="n">
        <v>-7.6</v>
      </c>
      <c r="K87" s="42" t="n">
        <v>-1.6</v>
      </c>
      <c r="L87" s="42" t="n">
        <v>57</v>
      </c>
      <c r="M87" s="42" t="n">
        <v>56.8</v>
      </c>
      <c r="N87" s="42" t="n">
        <v>0.2</v>
      </c>
      <c r="O87" s="42" t="n">
        <v>13</v>
      </c>
      <c r="P87" s="42" t="n">
        <v>21</v>
      </c>
      <c r="Q87" s="47" t="inlineStr">
        <is>
          <t>Win</t>
        </is>
      </c>
      <c r="R87" s="42" t="n">
        <v>-7.4</v>
      </c>
      <c r="S87" s="52" t="inlineStr">
        <is>
          <t>Win</t>
        </is>
      </c>
      <c r="T87" s="52" t="inlineStr">
        <is>
          <t>Win</t>
        </is>
      </c>
      <c r="U87" s="52" t="inlineStr">
        <is>
          <t>Win</t>
        </is>
      </c>
      <c r="V87" s="53" t="inlineStr">
        <is>
          <t>Loss</t>
        </is>
      </c>
    </row>
    <row r="88">
      <c r="A88" s="42" t="n">
        <v>8</v>
      </c>
      <c r="B88" s="42" t="inlineStr">
        <is>
          <t>2026-10-24</t>
        </is>
      </c>
      <c r="C88" s="42" t="inlineStr">
        <is>
          <t>Big Ten</t>
        </is>
      </c>
      <c r="D88" s="42" t="inlineStr">
        <is>
          <t>Big Ten</t>
        </is>
      </c>
      <c r="E88" s="42" t="inlineStr">
        <is>
          <t>Oregon</t>
        </is>
      </c>
      <c r="F88" s="42" t="inlineStr">
        <is>
          <t>Illinois</t>
        </is>
      </c>
      <c r="G88" s="42" t="n">
        <v>6.5</v>
      </c>
      <c r="H88" s="42" t="n">
        <v>9.800000000000001</v>
      </c>
      <c r="I88" s="47" t="n">
        <v>3.3</v>
      </c>
      <c r="J88" s="42" t="n">
        <v>16.3</v>
      </c>
      <c r="K88" s="42" t="n">
        <v>9.199999999999999</v>
      </c>
      <c r="L88" s="42" t="n">
        <v>51.6</v>
      </c>
      <c r="M88" s="42" t="n">
        <v>49.8</v>
      </c>
      <c r="N88" s="42" t="n">
        <v>1.9</v>
      </c>
      <c r="O88" s="42" t="n">
        <v>10</v>
      </c>
      <c r="P88" s="42" t="n">
        <v>21</v>
      </c>
      <c r="Q88" s="48" t="inlineStr">
        <is>
          <t>Loss</t>
        </is>
      </c>
      <c r="R88" s="42" t="n">
        <v>11.5</v>
      </c>
      <c r="S88" s="52" t="inlineStr">
        <is>
          <t>Win</t>
        </is>
      </c>
      <c r="T88" s="53" t="inlineStr">
        <is>
          <t>Loss</t>
        </is>
      </c>
      <c r="U88" s="53" t="inlineStr">
        <is>
          <t>Loss</t>
        </is>
      </c>
      <c r="V88" s="53" t="inlineStr">
        <is>
          <t>Loss</t>
        </is>
      </c>
    </row>
    <row r="89">
      <c r="A89" s="42" t="n">
        <v>8</v>
      </c>
      <c r="B89" s="42" t="inlineStr">
        <is>
          <t>2026-10-24</t>
        </is>
      </c>
      <c r="C89" s="42" t="inlineStr">
        <is>
          <t>Big Ten</t>
        </is>
      </c>
      <c r="D89" s="42" t="inlineStr">
        <is>
          <t>Big Ten</t>
        </is>
      </c>
      <c r="E89" s="42" t="inlineStr">
        <is>
          <t>Indiana</t>
        </is>
      </c>
      <c r="F89" s="42" t="inlineStr">
        <is>
          <t>Michigan</t>
        </is>
      </c>
      <c r="G89" s="42" t="n">
        <v>13.4</v>
      </c>
      <c r="H89" s="42" t="n">
        <v>7.5</v>
      </c>
      <c r="I89" s="56" t="n">
        <v>-5.9</v>
      </c>
      <c r="J89" s="42" t="n">
        <v>2.5</v>
      </c>
      <c r="K89" s="42" t="n">
        <v>12.6</v>
      </c>
      <c r="L89" s="42" t="n">
        <v>45.6</v>
      </c>
      <c r="M89" s="42" t="n">
        <v>42.8</v>
      </c>
      <c r="N89" s="47" t="n">
        <v>2.8</v>
      </c>
      <c r="O89" s="42" t="n">
        <v>13</v>
      </c>
      <c r="P89" s="42" t="n">
        <v>6</v>
      </c>
      <c r="Q89" s="47" t="inlineStr">
        <is>
          <t>Win</t>
        </is>
      </c>
      <c r="R89" s="42" t="n">
        <v>4.6</v>
      </c>
      <c r="S89" s="53" t="inlineStr">
        <is>
          <t>Loss</t>
        </is>
      </c>
      <c r="T89" s="52" t="inlineStr">
        <is>
          <t>Win</t>
        </is>
      </c>
      <c r="U89" s="52" t="inlineStr">
        <is>
          <t>Win</t>
        </is>
      </c>
      <c r="V89" s="53" t="inlineStr">
        <is>
          <t>Loss</t>
        </is>
      </c>
    </row>
    <row r="90">
      <c r="A90" s="42" t="n">
        <v>8</v>
      </c>
      <c r="B90" s="42" t="inlineStr">
        <is>
          <t>2026-10-24</t>
        </is>
      </c>
      <c r="C90" s="42" t="inlineStr">
        <is>
          <t>Big Ten</t>
        </is>
      </c>
      <c r="D90" s="42" t="inlineStr">
        <is>
          <t>Big Ten</t>
        </is>
      </c>
      <c r="E90" s="42" t="inlineStr">
        <is>
          <t>Iowa</t>
        </is>
      </c>
      <c r="F90" s="42" t="inlineStr">
        <is>
          <t>Minnesota</t>
        </is>
      </c>
      <c r="G90" s="42" t="n">
        <v>8.9</v>
      </c>
      <c r="H90" s="42" t="n">
        <v>7.5</v>
      </c>
      <c r="I90" s="42" t="n">
        <v>-1.4</v>
      </c>
      <c r="J90" s="42" t="n">
        <v>6.2</v>
      </c>
      <c r="K90" s="42" t="n">
        <v>6.7</v>
      </c>
      <c r="L90" s="42" t="n">
        <v>43.6</v>
      </c>
      <c r="M90" s="42" t="n">
        <v>40.8</v>
      </c>
      <c r="N90" s="47" t="n">
        <v>2.9</v>
      </c>
      <c r="O90" s="42" t="n">
        <v>10</v>
      </c>
      <c r="P90" s="42" t="n">
        <v>13</v>
      </c>
      <c r="Q90" s="48" t="inlineStr">
        <is>
          <t>Loss</t>
        </is>
      </c>
      <c r="R90" s="42" t="n">
        <v>3.9</v>
      </c>
      <c r="S90" s="53" t="inlineStr">
        <is>
          <t>Loss</t>
        </is>
      </c>
      <c r="T90" s="52" t="inlineStr">
        <is>
          <t>Win</t>
        </is>
      </c>
      <c r="U90" s="52" t="inlineStr">
        <is>
          <t>Win</t>
        </is>
      </c>
      <c r="V90" s="53" t="inlineStr">
        <is>
          <t>Loss</t>
        </is>
      </c>
    </row>
    <row r="91">
      <c r="A91" s="42" t="n">
        <v>8</v>
      </c>
      <c r="B91" s="42" t="inlineStr">
        <is>
          <t>2026-10-24</t>
        </is>
      </c>
      <c r="C91" s="42" t="inlineStr">
        <is>
          <t>Big Ten</t>
        </is>
      </c>
      <c r="D91" s="42" t="inlineStr">
        <is>
          <t>Big Ten</t>
        </is>
      </c>
      <c r="E91" s="42" t="inlineStr">
        <is>
          <t>Rutgers</t>
        </is>
      </c>
      <c r="F91" s="42" t="inlineStr">
        <is>
          <t>Northwestern</t>
        </is>
      </c>
      <c r="G91" s="42" t="n">
        <v>-18.5</v>
      </c>
      <c r="H91" s="42" t="n">
        <v>-15.2</v>
      </c>
      <c r="I91" s="47" t="n">
        <v>3.3</v>
      </c>
      <c r="J91" s="42" t="n">
        <v>-13.8</v>
      </c>
      <c r="K91" s="42" t="n">
        <v>-16.8</v>
      </c>
      <c r="L91" s="42" t="n">
        <v>54.8</v>
      </c>
      <c r="M91" s="42" t="n">
        <v>58.8</v>
      </c>
      <c r="N91" s="47" t="n">
        <v>-4</v>
      </c>
      <c r="O91" s="42" t="n">
        <v>14</v>
      </c>
      <c r="P91" s="42" t="n">
        <v>42</v>
      </c>
      <c r="Q91" s="47" t="inlineStr">
        <is>
          <t>Win</t>
        </is>
      </c>
      <c r="R91" s="42" t="n">
        <v>-11.7</v>
      </c>
      <c r="S91" s="52" t="inlineStr">
        <is>
          <t>Win</t>
        </is>
      </c>
      <c r="T91" s="53" t="inlineStr">
        <is>
          <t>Loss</t>
        </is>
      </c>
      <c r="U91" s="53" t="inlineStr">
        <is>
          <t>Loss</t>
        </is>
      </c>
      <c r="V91" s="52" t="inlineStr">
        <is>
          <t>Win</t>
        </is>
      </c>
    </row>
    <row r="92">
      <c r="A92" s="42" t="n">
        <v>8</v>
      </c>
      <c r="B92" s="42" t="inlineStr">
        <is>
          <t>2026-10-24</t>
        </is>
      </c>
      <c r="C92" s="42" t="inlineStr">
        <is>
          <t>Big Ten</t>
        </is>
      </c>
      <c r="D92" s="42" t="inlineStr">
        <is>
          <t>Big Ten</t>
        </is>
      </c>
      <c r="E92" s="42" t="inlineStr">
        <is>
          <t>Michigan State</t>
        </is>
      </c>
      <c r="F92" s="42" t="inlineStr">
        <is>
          <t>UCLA</t>
        </is>
      </c>
      <c r="G92" s="42" t="n">
        <v>-9.5</v>
      </c>
      <c r="H92" s="42" t="n">
        <v>-14.5</v>
      </c>
      <c r="I92" s="56" t="n">
        <v>-5</v>
      </c>
      <c r="J92" s="42" t="n">
        <v>-17.2</v>
      </c>
      <c r="K92" s="42" t="n">
        <v>-17.1</v>
      </c>
      <c r="L92" s="42" t="n">
        <v>47.1</v>
      </c>
      <c r="M92" s="42" t="n">
        <v>43.8</v>
      </c>
      <c r="N92" s="47" t="n">
        <v>3.3</v>
      </c>
      <c r="O92" s="42" t="n">
        <v>10</v>
      </c>
      <c r="P92" s="42" t="n">
        <v>28</v>
      </c>
      <c r="Q92" s="47" t="inlineStr">
        <is>
          <t>Win</t>
        </is>
      </c>
      <c r="R92" s="42" t="n">
        <v>-14.9</v>
      </c>
      <c r="S92" s="53" t="inlineStr">
        <is>
          <t>Loss</t>
        </is>
      </c>
      <c r="T92" s="52" t="inlineStr">
        <is>
          <t>Win</t>
        </is>
      </c>
      <c r="U92" s="52" t="inlineStr">
        <is>
          <t>Win</t>
        </is>
      </c>
      <c r="V92" s="52" t="inlineStr">
        <is>
          <t>Win</t>
        </is>
      </c>
    </row>
    <row r="93">
      <c r="A93" s="42" t="n">
        <v>8</v>
      </c>
      <c r="B93" s="42" t="inlineStr">
        <is>
          <t>2026-10-24</t>
        </is>
      </c>
      <c r="C93" s="42" t="inlineStr">
        <is>
          <t>Big Ten</t>
        </is>
      </c>
      <c r="D93" s="42" t="inlineStr">
        <is>
          <t>Big Ten</t>
        </is>
      </c>
      <c r="E93" s="42" t="inlineStr">
        <is>
          <t>USC</t>
        </is>
      </c>
      <c r="F93" s="42" t="inlineStr">
        <is>
          <t>Wisconsin</t>
        </is>
      </c>
      <c r="G93" s="42" t="n">
        <v>2.1</v>
      </c>
      <c r="H93" s="42" t="n">
        <v>2.8</v>
      </c>
      <c r="I93" s="42" t="n">
        <v>0.7</v>
      </c>
      <c r="J93" s="42" t="n">
        <v>11.8</v>
      </c>
      <c r="K93" s="42" t="n">
        <v>-3.7</v>
      </c>
      <c r="L93" s="42" t="n">
        <v>50</v>
      </c>
      <c r="M93" s="42" t="n">
        <v>49.8</v>
      </c>
      <c r="N93" s="42" t="n">
        <v>0.3</v>
      </c>
      <c r="O93" s="42" t="n">
        <v>7</v>
      </c>
      <c r="P93" s="42" t="n">
        <v>24</v>
      </c>
      <c r="Q93" s="48" t="inlineStr">
        <is>
          <t>Loss</t>
        </is>
      </c>
      <c r="R93" s="42" t="n">
        <v>9.199999999999999</v>
      </c>
      <c r="S93" s="53" t="inlineStr">
        <is>
          <t>Loss</t>
        </is>
      </c>
      <c r="T93" s="53" t="inlineStr">
        <is>
          <t>Loss</t>
        </is>
      </c>
      <c r="U93" s="53" t="inlineStr">
        <is>
          <t>Loss</t>
        </is>
      </c>
      <c r="V93" s="52" t="inlineStr">
        <is>
          <t>Win</t>
        </is>
      </c>
    </row>
    <row r="94">
      <c r="A94" s="42" t="n">
        <v>8</v>
      </c>
      <c r="B94" s="42" t="inlineStr">
        <is>
          <t>2026-10-20</t>
        </is>
      </c>
      <c r="C94" s="42" t="inlineStr">
        <is>
          <t>Conference USA</t>
        </is>
      </c>
      <c r="D94" s="42" t="inlineStr">
        <is>
          <t>Conference USA</t>
        </is>
      </c>
      <c r="E94" s="42" t="inlineStr">
        <is>
          <t>Missouri State</t>
        </is>
      </c>
      <c r="F94" s="42" t="inlineStr">
        <is>
          <t>Delaware</t>
        </is>
      </c>
      <c r="G94" s="42" t="n">
        <v>-8.199999999999999</v>
      </c>
      <c r="H94" s="42" t="n">
        <v>-3</v>
      </c>
      <c r="I94" s="56" t="n">
        <v>5.2</v>
      </c>
      <c r="J94" s="42" t="n">
        <v>-5.3</v>
      </c>
      <c r="K94" s="42" t="n">
        <v>-7.2</v>
      </c>
      <c r="L94" s="42" t="n">
        <v>53.8</v>
      </c>
      <c r="M94" s="42" t="n">
        <v>54.2</v>
      </c>
      <c r="N94" s="42" t="n">
        <v>-0.5</v>
      </c>
      <c r="O94" s="42" t="n">
        <v>38</v>
      </c>
      <c r="P94" s="42" t="n">
        <v>61</v>
      </c>
      <c r="Q94" s="47" t="inlineStr">
        <is>
          <t>Win</t>
        </is>
      </c>
      <c r="R94" s="42" t="n">
        <v>-6.5</v>
      </c>
      <c r="S94" s="52" t="inlineStr">
        <is>
          <t>Win</t>
        </is>
      </c>
      <c r="T94" s="52" t="inlineStr">
        <is>
          <t>Win</t>
        </is>
      </c>
      <c r="U94" s="52" t="inlineStr">
        <is>
          <t>Win</t>
        </is>
      </c>
      <c r="V94" s="52" t="inlineStr">
        <is>
          <t>Win</t>
        </is>
      </c>
    </row>
    <row r="95">
      <c r="A95" s="42" t="n">
        <v>8</v>
      </c>
      <c r="B95" s="42" t="inlineStr">
        <is>
          <t>2026-10-20</t>
        </is>
      </c>
      <c r="C95" s="42" t="inlineStr">
        <is>
          <t>Conference USA</t>
        </is>
      </c>
      <c r="D95" s="42" t="inlineStr">
        <is>
          <t>Conference USA</t>
        </is>
      </c>
      <c r="E95" s="42" t="inlineStr">
        <is>
          <t>Middle Tennessee</t>
        </is>
      </c>
      <c r="F95" s="42" t="inlineStr">
        <is>
          <t>Florida International</t>
        </is>
      </c>
      <c r="G95" s="42" t="n">
        <v>-12.6</v>
      </c>
      <c r="H95" s="42" t="n">
        <v>-10.2</v>
      </c>
      <c r="I95" s="47" t="n">
        <v>2.4</v>
      </c>
      <c r="J95" s="42" t="n">
        <v>-9.6</v>
      </c>
      <c r="K95" s="42" t="n">
        <v>-11.6</v>
      </c>
      <c r="L95" s="42" t="n">
        <v>52.8</v>
      </c>
      <c r="M95" s="42" t="n">
        <v>46.5</v>
      </c>
      <c r="N95" s="47" t="n">
        <v>6.3</v>
      </c>
      <c r="O95" s="42" t="n">
        <v>26</v>
      </c>
      <c r="P95" s="42" t="n">
        <v>23</v>
      </c>
      <c r="Q95" s="48" t="inlineStr">
        <is>
          <t>Loss</t>
        </is>
      </c>
      <c r="R95" s="42" t="n">
        <v>-9.300000000000001</v>
      </c>
      <c r="S95" s="53" t="inlineStr">
        <is>
          <t>Loss</t>
        </is>
      </c>
      <c r="T95" s="53" t="inlineStr">
        <is>
          <t>Loss</t>
        </is>
      </c>
      <c r="U95" s="53" t="inlineStr">
        <is>
          <t>Loss</t>
        </is>
      </c>
      <c r="V95" s="53" t="inlineStr">
        <is>
          <t>Loss</t>
        </is>
      </c>
    </row>
    <row r="96">
      <c r="A96" s="42" t="n">
        <v>8</v>
      </c>
      <c r="B96" s="42" t="inlineStr">
        <is>
          <t>2026-10-22</t>
        </is>
      </c>
      <c r="C96" s="42" t="inlineStr">
        <is>
          <t>Conference USA</t>
        </is>
      </c>
      <c r="D96" s="42" t="inlineStr">
        <is>
          <t>Conference USA</t>
        </is>
      </c>
      <c r="E96" s="42" t="inlineStr">
        <is>
          <t>Liberty</t>
        </is>
      </c>
      <c r="F96" s="42" t="inlineStr">
        <is>
          <t>Kennesaw State</t>
        </is>
      </c>
      <c r="G96" s="42" t="n">
        <v>4.8</v>
      </c>
      <c r="H96" s="42" t="n">
        <v>8.5</v>
      </c>
      <c r="I96" s="47" t="n">
        <v>3.7</v>
      </c>
      <c r="J96" s="42" t="n">
        <v>9.300000000000001</v>
      </c>
      <c r="K96" s="42" t="n">
        <v>10</v>
      </c>
      <c r="L96" s="42" t="n">
        <v>51.4</v>
      </c>
      <c r="M96" s="42" t="n">
        <v>50.5</v>
      </c>
      <c r="N96" s="42" t="n">
        <v>0.9</v>
      </c>
      <c r="O96" s="42" t="n">
        <v>34</v>
      </c>
      <c r="P96" s="42" t="n">
        <v>6</v>
      </c>
      <c r="Q96" s="47" t="inlineStr">
        <is>
          <t>Win</t>
        </is>
      </c>
      <c r="R96" s="42" t="n">
        <v>6.7</v>
      </c>
      <c r="S96" s="53" t="inlineStr">
        <is>
          <t>Loss</t>
        </is>
      </c>
      <c r="T96" s="52" t="inlineStr">
        <is>
          <t>Win</t>
        </is>
      </c>
      <c r="U96" s="53" t="inlineStr">
        <is>
          <t>Loss</t>
        </is>
      </c>
      <c r="V96" s="52" t="inlineStr">
        <is>
          <t>Win</t>
        </is>
      </c>
    </row>
    <row r="97">
      <c r="A97" s="42" t="n">
        <v>8</v>
      </c>
      <c r="B97" s="42" t="inlineStr">
        <is>
          <t>2026-10-22</t>
        </is>
      </c>
      <c r="C97" s="42" t="inlineStr">
        <is>
          <t>Conference USA</t>
        </is>
      </c>
      <c r="D97" s="42" t="inlineStr">
        <is>
          <t>Conference USA</t>
        </is>
      </c>
      <c r="E97" s="42" t="inlineStr">
        <is>
          <t>New Mexico State</t>
        </is>
      </c>
      <c r="F97" s="42" t="inlineStr">
        <is>
          <t>Sam Houston</t>
        </is>
      </c>
      <c r="G97" s="42" t="n">
        <v>4.1</v>
      </c>
      <c r="H97" s="42" t="n">
        <v>3</v>
      </c>
      <c r="I97" s="42" t="n">
        <v>-1.1</v>
      </c>
      <c r="J97" s="42" t="n">
        <v>-1.2</v>
      </c>
      <c r="K97" s="42" t="n">
        <v>-2</v>
      </c>
      <c r="L97" s="42" t="n">
        <v>49.4</v>
      </c>
      <c r="M97" s="42" t="n">
        <v>46.5</v>
      </c>
      <c r="N97" s="47" t="n">
        <v>2.9</v>
      </c>
      <c r="O97" s="42" t="n">
        <v>30</v>
      </c>
      <c r="P97" s="42" t="n">
        <v>24</v>
      </c>
      <c r="Q97" s="47" t="inlineStr">
        <is>
          <t>Win</t>
        </is>
      </c>
      <c r="R97" s="42" t="n">
        <v>-3.1</v>
      </c>
      <c r="S97" s="52" t="inlineStr">
        <is>
          <t>Win</t>
        </is>
      </c>
      <c r="T97" s="53" t="inlineStr">
        <is>
          <t>Loss</t>
        </is>
      </c>
      <c r="U97" s="53" t="inlineStr">
        <is>
          <t>Loss</t>
        </is>
      </c>
      <c r="V97" s="53" t="inlineStr">
        <is>
          <t>Loss</t>
        </is>
      </c>
    </row>
    <row r="98">
      <c r="A98" s="42" t="n">
        <v>8</v>
      </c>
      <c r="B98" s="42" t="inlineStr">
        <is>
          <t>2026-10-23</t>
        </is>
      </c>
      <c r="C98" s="42" t="inlineStr">
        <is>
          <t>FBS Independents</t>
        </is>
      </c>
      <c r="D98" s="42" t="inlineStr">
        <is>
          <t>Mid-American</t>
        </is>
      </c>
      <c r="E98" s="42" t="inlineStr">
        <is>
          <t>Massachusetts</t>
        </is>
      </c>
      <c r="F98" s="42" t="inlineStr">
        <is>
          <t>UConn</t>
        </is>
      </c>
      <c r="G98" s="42" t="n">
        <v>-15.3</v>
      </c>
      <c r="H98" s="42" t="n">
        <v>-12.8</v>
      </c>
      <c r="I98" s="47" t="n">
        <v>2.5</v>
      </c>
      <c r="J98" s="42" t="n">
        <v>-24.2</v>
      </c>
      <c r="K98" s="42" t="n">
        <v>-7.2</v>
      </c>
      <c r="L98" s="42" t="n">
        <v>53.5</v>
      </c>
      <c r="M98" s="42" t="n">
        <v>53.5</v>
      </c>
      <c r="N98" s="42" t="n">
        <v>0</v>
      </c>
      <c r="O98" s="42" t="n">
        <v>16</v>
      </c>
      <c r="P98" s="42" t="n">
        <v>35</v>
      </c>
      <c r="Q98" s="47" t="inlineStr">
        <is>
          <t>Win</t>
        </is>
      </c>
      <c r="R98" s="42" t="n">
        <v>-21.2</v>
      </c>
      <c r="S98" s="52" t="inlineStr">
        <is>
          <t>Win</t>
        </is>
      </c>
      <c r="T98" s="52" t="inlineStr">
        <is>
          <t>Win</t>
        </is>
      </c>
      <c r="U98" s="52" t="inlineStr">
        <is>
          <t>Win</t>
        </is>
      </c>
      <c r="V98" s="53" t="inlineStr">
        <is>
          <t>Loss</t>
        </is>
      </c>
    </row>
    <row r="99">
      <c r="A99" s="42" t="n">
        <v>8</v>
      </c>
      <c r="B99" s="42" t="inlineStr">
        <is>
          <t>2026-10-24</t>
        </is>
      </c>
      <c r="C99" s="42" t="inlineStr">
        <is>
          <t>Mid-American</t>
        </is>
      </c>
      <c r="D99" s="42" t="inlineStr">
        <is>
          <t>Mid-American</t>
        </is>
      </c>
      <c r="E99" s="42" t="inlineStr">
        <is>
          <t>Sacramento State</t>
        </is>
      </c>
      <c r="F99" s="42" t="inlineStr">
        <is>
          <t>Ball State</t>
        </is>
      </c>
      <c r="G99" s="42" t="n">
        <v>-9.300000000000001</v>
      </c>
      <c r="H99" s="42" t="n">
        <v>-14.2</v>
      </c>
      <c r="I99" s="56" t="n">
        <v>-4.9</v>
      </c>
      <c r="J99" s="42" t="n">
        <v>-2.3</v>
      </c>
      <c r="K99" s="42" t="n">
        <v>-8.4</v>
      </c>
      <c r="L99" s="42" t="n">
        <v>51.1</v>
      </c>
      <c r="M99" s="42" t="n">
        <v>51.5</v>
      </c>
      <c r="N99" s="42" t="n">
        <v>-0.4</v>
      </c>
      <c r="O99" s="42" t="n">
        <v>17</v>
      </c>
      <c r="P99" s="42" t="n">
        <v>34</v>
      </c>
      <c r="Q99" s="47" t="inlineStr">
        <is>
          <t>Win</t>
        </is>
      </c>
      <c r="R99" s="42" t="n">
        <v>-7.7</v>
      </c>
      <c r="S99" s="53" t="inlineStr">
        <is>
          <t>Loss</t>
        </is>
      </c>
      <c r="T99" s="53" t="inlineStr">
        <is>
          <t>Loss</t>
        </is>
      </c>
      <c r="U99" s="53" t="inlineStr">
        <is>
          <t>Loss</t>
        </is>
      </c>
      <c r="V99" s="53" t="inlineStr">
        <is>
          <t>Loss</t>
        </is>
      </c>
    </row>
    <row r="100">
      <c r="A100" s="42" t="n">
        <v>8</v>
      </c>
      <c r="B100" s="42" t="inlineStr">
        <is>
          <t>2026-10-24</t>
        </is>
      </c>
      <c r="C100" s="42" t="inlineStr">
        <is>
          <t>Mid-American</t>
        </is>
      </c>
      <c r="D100" s="42" t="inlineStr">
        <is>
          <t>Mid-American</t>
        </is>
      </c>
      <c r="E100" s="42" t="inlineStr">
        <is>
          <t>Bowling Green</t>
        </is>
      </c>
      <c r="F100" s="42" t="inlineStr">
        <is>
          <t>Buffalo</t>
        </is>
      </c>
      <c r="G100" s="42" t="n">
        <v>-6.1</v>
      </c>
      <c r="H100" s="42" t="n">
        <v>-3</v>
      </c>
      <c r="I100" s="47" t="n">
        <v>3.1</v>
      </c>
      <c r="J100" s="42" t="n">
        <v>-7.2</v>
      </c>
      <c r="K100" s="42" t="n">
        <v>-8.699999999999999</v>
      </c>
      <c r="L100" s="42" t="n">
        <v>44.6</v>
      </c>
      <c r="M100" s="42" t="n">
        <v>44.8</v>
      </c>
      <c r="N100" s="42" t="n">
        <v>-0.2</v>
      </c>
      <c r="O100" s="42" t="n">
        <v>24</v>
      </c>
      <c r="P100" s="42" t="n">
        <v>31</v>
      </c>
      <c r="Q100" s="47" t="inlineStr">
        <is>
          <t>Win</t>
        </is>
      </c>
      <c r="R100" s="42" t="n">
        <v>-5.7</v>
      </c>
      <c r="S100" s="52" t="inlineStr">
        <is>
          <t>Win</t>
        </is>
      </c>
      <c r="T100" s="52" t="inlineStr">
        <is>
          <t>Win</t>
        </is>
      </c>
      <c r="U100" s="52" t="inlineStr">
        <is>
          <t>Win</t>
        </is>
      </c>
      <c r="V100" s="52" t="inlineStr">
        <is>
          <t>Win</t>
        </is>
      </c>
    </row>
    <row r="101">
      <c r="A101" s="42" t="n">
        <v>8</v>
      </c>
      <c r="B101" s="42" t="inlineStr">
        <is>
          <t>2026-10-24</t>
        </is>
      </c>
      <c r="C101" s="42" t="inlineStr">
        <is>
          <t>Mid-American</t>
        </is>
      </c>
      <c r="D101" s="42" t="inlineStr">
        <is>
          <t>Mid-American</t>
        </is>
      </c>
      <c r="E101" s="42" t="inlineStr">
        <is>
          <t>Miami (OH)</t>
        </is>
      </c>
      <c r="F101" s="42" t="inlineStr">
        <is>
          <t>Central Michigan</t>
        </is>
      </c>
      <c r="G101" s="42" t="n">
        <v>-5.4</v>
      </c>
      <c r="H101" s="42" t="n">
        <v>3.2</v>
      </c>
      <c r="I101" s="56" t="n">
        <v>8.6</v>
      </c>
      <c r="J101" s="42" t="n">
        <v>2.2</v>
      </c>
      <c r="K101" s="42" t="n">
        <v>1.3</v>
      </c>
      <c r="L101" s="42" t="n">
        <v>48.4</v>
      </c>
      <c r="M101" s="42" t="n">
        <v>40.5</v>
      </c>
      <c r="N101" s="47" t="n">
        <v>7.9</v>
      </c>
      <c r="O101" s="42" t="n">
        <v>28</v>
      </c>
      <c r="P101" s="42" t="n">
        <v>27</v>
      </c>
      <c r="Q101" s="48" t="inlineStr">
        <is>
          <t>Loss</t>
        </is>
      </c>
      <c r="R101" s="42" t="n">
        <v>1.7</v>
      </c>
      <c r="S101" s="52" t="inlineStr">
        <is>
          <t>Win</t>
        </is>
      </c>
      <c r="T101" s="52" t="inlineStr">
        <is>
          <t>Win</t>
        </is>
      </c>
      <c r="U101" s="52" t="inlineStr">
        <is>
          <t>Win</t>
        </is>
      </c>
      <c r="V101" s="52" t="inlineStr">
        <is>
          <t>Win</t>
        </is>
      </c>
    </row>
    <row r="102">
      <c r="A102" s="42" t="n">
        <v>8</v>
      </c>
      <c r="B102" s="42" t="inlineStr">
        <is>
          <t>2026-10-24</t>
        </is>
      </c>
      <c r="C102" s="42" t="inlineStr">
        <is>
          <t>Mid-American</t>
        </is>
      </c>
      <c r="D102" s="42" t="inlineStr">
        <is>
          <t>Mid-American</t>
        </is>
      </c>
      <c r="E102" s="42" t="inlineStr">
        <is>
          <t>Akron</t>
        </is>
      </c>
      <c r="F102" s="42" t="inlineStr">
        <is>
          <t>Kent State</t>
        </is>
      </c>
      <c r="G102" s="42" t="n">
        <v>-6.9</v>
      </c>
      <c r="H102" s="42" t="n">
        <v>-3</v>
      </c>
      <c r="I102" s="47" t="n">
        <v>3.9</v>
      </c>
      <c r="J102" s="42" t="n">
        <v>-3.8</v>
      </c>
      <c r="K102" s="42" t="n">
        <v>-0.8</v>
      </c>
      <c r="L102" s="42" t="n">
        <v>48</v>
      </c>
      <c r="M102" s="42" t="n">
        <v>47.5</v>
      </c>
      <c r="N102" s="42" t="n">
        <v>0.5</v>
      </c>
      <c r="O102" s="42" t="n">
        <v>20</v>
      </c>
      <c r="P102" s="42" t="n">
        <v>35</v>
      </c>
      <c r="Q102" s="47" t="inlineStr">
        <is>
          <t>Win</t>
        </is>
      </c>
      <c r="R102" s="42" t="n">
        <v>-2.4</v>
      </c>
      <c r="S102" s="52" t="inlineStr">
        <is>
          <t>Win</t>
        </is>
      </c>
      <c r="T102" s="52" t="inlineStr">
        <is>
          <t>Win</t>
        </is>
      </c>
      <c r="U102" s="52" t="inlineStr">
        <is>
          <t>Win</t>
        </is>
      </c>
      <c r="V102" s="53" t="inlineStr">
        <is>
          <t>Loss</t>
        </is>
      </c>
    </row>
    <row r="103">
      <c r="A103" s="42" t="n">
        <v>8</v>
      </c>
      <c r="B103" s="42" t="inlineStr">
        <is>
          <t>2026-10-24</t>
        </is>
      </c>
      <c r="C103" s="42" t="inlineStr">
        <is>
          <t>Mid-American</t>
        </is>
      </c>
      <c r="D103" s="42" t="inlineStr">
        <is>
          <t>Mid-American</t>
        </is>
      </c>
      <c r="E103" s="42" t="inlineStr">
        <is>
          <t>Eastern Michigan</t>
        </is>
      </c>
      <c r="F103" s="42" t="inlineStr">
        <is>
          <t>Ohio</t>
        </is>
      </c>
      <c r="G103" s="42" t="n">
        <v>-15.8</v>
      </c>
      <c r="H103" s="42" t="n">
        <v>-10</v>
      </c>
      <c r="I103" s="56" t="n">
        <v>5.8</v>
      </c>
      <c r="J103" s="42" t="n">
        <v>-15.7</v>
      </c>
      <c r="K103" s="42" t="n">
        <v>-13.2</v>
      </c>
      <c r="L103" s="42" t="n">
        <v>50.3</v>
      </c>
      <c r="M103" s="42" t="n">
        <v>48.5</v>
      </c>
      <c r="N103" s="42" t="n">
        <v>1.8</v>
      </c>
      <c r="O103" s="42" t="n">
        <v>20</v>
      </c>
      <c r="P103" s="42" t="n">
        <v>24</v>
      </c>
      <c r="Q103" s="47" t="inlineStr">
        <is>
          <t>Win</t>
        </is>
      </c>
      <c r="R103" s="42" t="n">
        <v>-11.6</v>
      </c>
      <c r="S103" s="53" t="inlineStr">
        <is>
          <t>Loss</t>
        </is>
      </c>
      <c r="T103" s="53" t="inlineStr">
        <is>
          <t>Loss</t>
        </is>
      </c>
      <c r="U103" s="53" t="inlineStr">
        <is>
          <t>Loss</t>
        </is>
      </c>
      <c r="V103" s="53" t="inlineStr">
        <is>
          <t>Loss</t>
        </is>
      </c>
    </row>
    <row r="104">
      <c r="A104" s="42" t="n">
        <v>8</v>
      </c>
      <c r="B104" s="42" t="inlineStr">
        <is>
          <t>2026-10-24</t>
        </is>
      </c>
      <c r="C104" s="42" t="inlineStr">
        <is>
          <t>Mid-American</t>
        </is>
      </c>
      <c r="D104" s="42" t="inlineStr">
        <is>
          <t>Mid-American</t>
        </is>
      </c>
      <c r="E104" s="42" t="inlineStr">
        <is>
          <t>Western Michigan</t>
        </is>
      </c>
      <c r="F104" s="42" t="inlineStr">
        <is>
          <t>Toledo</t>
        </is>
      </c>
      <c r="G104" s="42" t="n">
        <v>1.1</v>
      </c>
      <c r="H104" s="42" t="n">
        <v>-3</v>
      </c>
      <c r="I104" s="56" t="n">
        <v>-4.1</v>
      </c>
      <c r="J104" s="42" t="n">
        <v>3.6</v>
      </c>
      <c r="K104" s="42" t="n">
        <v>-3.5</v>
      </c>
      <c r="L104" s="42" t="n">
        <v>47.8</v>
      </c>
      <c r="M104" s="42" t="n">
        <v>47.2</v>
      </c>
      <c r="N104" s="42" t="n">
        <v>0.6</v>
      </c>
      <c r="O104" s="42" t="n">
        <v>38</v>
      </c>
      <c r="P104" s="42" t="n">
        <v>45</v>
      </c>
      <c r="Q104" s="48" t="inlineStr">
        <is>
          <t>Loss</t>
        </is>
      </c>
      <c r="R104" s="42" t="n">
        <v>3.6</v>
      </c>
      <c r="S104" s="53" t="inlineStr">
        <is>
          <t>Loss</t>
        </is>
      </c>
      <c r="T104" s="53" t="inlineStr">
        <is>
          <t>Loss</t>
        </is>
      </c>
      <c r="U104" s="53" t="inlineStr">
        <is>
          <t>Loss</t>
        </is>
      </c>
      <c r="V104" s="52" t="inlineStr">
        <is>
          <t>Win</t>
        </is>
      </c>
    </row>
    <row r="105">
      <c r="A105" s="42" t="n">
        <v>8</v>
      </c>
      <c r="B105" s="42" t="inlineStr">
        <is>
          <t>2026-10-24</t>
        </is>
      </c>
      <c r="C105" s="42" t="inlineStr">
        <is>
          <t>Mountain West</t>
        </is>
      </c>
      <c r="D105" s="42" t="inlineStr">
        <is>
          <t>Mountain West</t>
        </is>
      </c>
      <c r="E105" s="42" t="inlineStr">
        <is>
          <t>San José State</t>
        </is>
      </c>
      <c r="F105" s="42" t="inlineStr">
        <is>
          <t>Nevada</t>
        </is>
      </c>
      <c r="G105" s="42" t="n">
        <v>-10.3</v>
      </c>
      <c r="H105" s="42" t="n">
        <v>-6.8</v>
      </c>
      <c r="I105" s="47" t="n">
        <v>3.5</v>
      </c>
      <c r="J105" s="42" t="n">
        <v>-3.3</v>
      </c>
      <c r="K105" s="42" t="n">
        <v>-5.9</v>
      </c>
      <c r="L105" s="42" t="n">
        <v>46.8</v>
      </c>
      <c r="M105" s="42" t="n">
        <v>46.5</v>
      </c>
      <c r="N105" s="42" t="n">
        <v>0.3</v>
      </c>
      <c r="O105" s="42" t="n">
        <v>13</v>
      </c>
      <c r="P105" s="42" t="n">
        <v>28</v>
      </c>
      <c r="Q105" s="47" t="inlineStr">
        <is>
          <t>Win</t>
        </is>
      </c>
      <c r="R105" s="42" t="n">
        <v>-4.6</v>
      </c>
      <c r="S105" s="52" t="inlineStr">
        <is>
          <t>Win</t>
        </is>
      </c>
      <c r="T105" s="53" t="inlineStr">
        <is>
          <t>Loss</t>
        </is>
      </c>
      <c r="U105" s="53" t="inlineStr">
        <is>
          <t>Loss</t>
        </is>
      </c>
      <c r="V105" s="52" t="inlineStr">
        <is>
          <t>Win</t>
        </is>
      </c>
    </row>
    <row r="106">
      <c r="A106" s="42" t="n">
        <v>8</v>
      </c>
      <c r="B106" s="42" t="inlineStr">
        <is>
          <t>2026-10-24</t>
        </is>
      </c>
      <c r="C106" s="42" t="inlineStr">
        <is>
          <t>Mountain West</t>
        </is>
      </c>
      <c r="D106" s="42" t="inlineStr">
        <is>
          <t>Mountain West</t>
        </is>
      </c>
      <c r="E106" s="42" t="inlineStr">
        <is>
          <t>Hawai'i</t>
        </is>
      </c>
      <c r="F106" s="42" t="inlineStr">
        <is>
          <t>Northern Illinois</t>
        </is>
      </c>
      <c r="G106" s="42" t="n">
        <v>5.2</v>
      </c>
      <c r="H106" s="42" t="n">
        <v>4</v>
      </c>
      <c r="I106" s="42" t="n">
        <v>-1.2</v>
      </c>
      <c r="J106" s="42" t="n">
        <v>5.2</v>
      </c>
      <c r="K106" s="42" t="n">
        <v>0.9</v>
      </c>
      <c r="L106" s="42" t="n">
        <v>43.7</v>
      </c>
      <c r="M106" s="42" t="n">
        <v>47.5</v>
      </c>
      <c r="N106" s="47" t="n">
        <v>-3.8</v>
      </c>
      <c r="O106" s="42" t="n">
        <v>56</v>
      </c>
      <c r="P106" s="42" t="n">
        <v>21</v>
      </c>
      <c r="Q106" s="47" t="inlineStr">
        <is>
          <t>Win</t>
        </is>
      </c>
      <c r="R106" s="42" t="n">
        <v>0.4</v>
      </c>
      <c r="S106" s="52" t="inlineStr">
        <is>
          <t>Win</t>
        </is>
      </c>
      <c r="T106" s="52" t="inlineStr">
        <is>
          <t>Win</t>
        </is>
      </c>
      <c r="U106" s="53" t="inlineStr">
        <is>
          <t>Loss</t>
        </is>
      </c>
      <c r="V106" s="53" t="inlineStr">
        <is>
          <t>Loss</t>
        </is>
      </c>
    </row>
    <row r="107">
      <c r="A107" s="42" t="n">
        <v>8</v>
      </c>
      <c r="B107" s="42" t="inlineStr">
        <is>
          <t>2026-10-24</t>
        </is>
      </c>
      <c r="C107" s="42" t="inlineStr">
        <is>
          <t>Mountain West</t>
        </is>
      </c>
      <c r="D107" s="42" t="inlineStr">
        <is>
          <t>Mountain West</t>
        </is>
      </c>
      <c r="E107" s="42" t="inlineStr">
        <is>
          <t>Air Force</t>
        </is>
      </c>
      <c r="F107" s="42" t="inlineStr">
        <is>
          <t>Wyoming</t>
        </is>
      </c>
      <c r="G107" s="42" t="n">
        <v>5.3</v>
      </c>
      <c r="H107" s="42" t="n">
        <v>5.5</v>
      </c>
      <c r="I107" s="42" t="n">
        <v>0.2</v>
      </c>
      <c r="J107" s="42" t="n">
        <v>6.3</v>
      </c>
      <c r="K107" s="42" t="n">
        <v>7.6</v>
      </c>
      <c r="L107" s="42" t="n">
        <v>47.7</v>
      </c>
      <c r="M107" s="42" t="n">
        <v>46.5</v>
      </c>
      <c r="N107" s="42" t="n">
        <v>1.2</v>
      </c>
      <c r="O107" s="42" t="n">
        <v>14</v>
      </c>
      <c r="P107" s="42" t="n">
        <v>28</v>
      </c>
      <c r="Q107" s="48" t="inlineStr">
        <is>
          <t>Loss</t>
        </is>
      </c>
      <c r="R107" s="42" t="n">
        <v>3.4</v>
      </c>
      <c r="S107" s="53" t="inlineStr">
        <is>
          <t>Loss</t>
        </is>
      </c>
      <c r="T107" s="53" t="inlineStr">
        <is>
          <t>Loss</t>
        </is>
      </c>
      <c r="U107" s="52" t="inlineStr">
        <is>
          <t>Win</t>
        </is>
      </c>
      <c r="V107" s="53" t="inlineStr">
        <is>
          <t>Loss</t>
        </is>
      </c>
    </row>
    <row r="108">
      <c r="A108" s="42" t="n">
        <v>8</v>
      </c>
      <c r="B108" s="42" t="inlineStr">
        <is>
          <t>2026-10-25</t>
        </is>
      </c>
      <c r="C108" s="42" t="inlineStr">
        <is>
          <t>Mountain West</t>
        </is>
      </c>
      <c r="D108" s="42" t="inlineStr">
        <is>
          <t>Mountain West</t>
        </is>
      </c>
      <c r="E108" s="42" t="inlineStr">
        <is>
          <t>North Dakota State</t>
        </is>
      </c>
      <c r="F108" s="42" t="inlineStr">
        <is>
          <t>New Mexico</t>
        </is>
      </c>
      <c r="G108" s="42" t="n">
        <v>2.9</v>
      </c>
      <c r="H108" s="42" t="n">
        <v>-4.5</v>
      </c>
      <c r="I108" s="56" t="n">
        <v>-7.4</v>
      </c>
      <c r="J108" s="42" t="n">
        <v>5.6</v>
      </c>
      <c r="K108" s="42" t="n">
        <v>-7.4</v>
      </c>
      <c r="L108" s="42" t="n">
        <v>42.5</v>
      </c>
      <c r="M108" s="42" t="n">
        <v>40.5</v>
      </c>
      <c r="N108" s="47" t="n">
        <v>2</v>
      </c>
      <c r="O108" s="42" t="n">
        <v>16</v>
      </c>
      <c r="P108" s="42" t="n">
        <v>21</v>
      </c>
      <c r="Q108" s="48" t="inlineStr">
        <is>
          <t>Loss</t>
        </is>
      </c>
      <c r="R108" s="42" t="n">
        <v>3.1</v>
      </c>
      <c r="S108" s="53" t="inlineStr">
        <is>
          <t>Loss</t>
        </is>
      </c>
      <c r="T108" s="53" t="inlineStr">
        <is>
          <t>Loss</t>
        </is>
      </c>
      <c r="U108" s="53" t="inlineStr">
        <is>
          <t>Loss</t>
        </is>
      </c>
      <c r="V108" s="52" t="inlineStr">
        <is>
          <t>Win</t>
        </is>
      </c>
    </row>
    <row r="109">
      <c r="A109" s="42" t="n">
        <v>8</v>
      </c>
      <c r="B109" s="42" t="inlineStr">
        <is>
          <t>2026-10-24</t>
        </is>
      </c>
      <c r="C109" s="42" t="inlineStr">
        <is>
          <t>Pac-12</t>
        </is>
      </c>
      <c r="D109" s="42" t="inlineStr">
        <is>
          <t>Pac-12</t>
        </is>
      </c>
      <c r="E109" s="42" t="inlineStr">
        <is>
          <t>San Diego State</t>
        </is>
      </c>
      <c r="F109" s="42" t="inlineStr">
        <is>
          <t>Colorado State</t>
        </is>
      </c>
      <c r="G109" s="42" t="n">
        <v>9</v>
      </c>
      <c r="H109" s="42" t="n">
        <v>1.2</v>
      </c>
      <c r="I109" s="56" t="n">
        <v>-7.8</v>
      </c>
      <c r="J109" s="42" t="n">
        <v>4.6</v>
      </c>
      <c r="K109" s="42" t="n">
        <v>-3.2</v>
      </c>
      <c r="L109" s="42" t="n">
        <v>50.4</v>
      </c>
      <c r="M109" s="42" t="n">
        <v>61.5</v>
      </c>
      <c r="N109" s="47" t="n">
        <v>-11.1</v>
      </c>
      <c r="O109" s="42" t="n">
        <v>49</v>
      </c>
      <c r="P109" s="42" t="n">
        <v>56</v>
      </c>
      <c r="Q109" s="48" t="inlineStr">
        <is>
          <t>Loss</t>
        </is>
      </c>
      <c r="R109" s="42" t="n">
        <v>3.8</v>
      </c>
      <c r="S109" s="53" t="inlineStr">
        <is>
          <t>Loss</t>
        </is>
      </c>
      <c r="T109" s="53" t="inlineStr">
        <is>
          <t>Loss</t>
        </is>
      </c>
      <c r="U109" s="53" t="inlineStr">
        <is>
          <t>Loss</t>
        </is>
      </c>
      <c r="V109" s="52" t="inlineStr">
        <is>
          <t>Win</t>
        </is>
      </c>
    </row>
    <row r="110">
      <c r="A110" s="42" t="n">
        <v>8</v>
      </c>
      <c r="B110" s="42" t="inlineStr">
        <is>
          <t>2026-10-24</t>
        </is>
      </c>
      <c r="C110" s="42" t="inlineStr">
        <is>
          <t>Pac-12</t>
        </is>
      </c>
      <c r="D110" s="42" t="inlineStr">
        <is>
          <t>Pac-12</t>
        </is>
      </c>
      <c r="E110" s="42" t="inlineStr">
        <is>
          <t>Utah State</t>
        </is>
      </c>
      <c r="F110" s="42" t="inlineStr">
        <is>
          <t>Texas State</t>
        </is>
      </c>
      <c r="G110" s="42" t="n">
        <v>-0.2</v>
      </c>
      <c r="H110" s="42" t="n">
        <v>-13.5</v>
      </c>
      <c r="I110" s="56" t="n">
        <v>-13.3</v>
      </c>
      <c r="J110" s="42" t="n">
        <v>-10.1</v>
      </c>
      <c r="K110" s="42" t="n">
        <v>-11.2</v>
      </c>
      <c r="L110" s="42" t="n">
        <v>54.6</v>
      </c>
      <c r="M110" s="42" t="n">
        <v>61.2</v>
      </c>
      <c r="N110" s="47" t="n">
        <v>-6.7</v>
      </c>
      <c r="O110" s="42" t="n">
        <v>17</v>
      </c>
      <c r="P110" s="42" t="n">
        <v>20</v>
      </c>
      <c r="Q110" s="47" t="inlineStr">
        <is>
          <t>Win</t>
        </is>
      </c>
      <c r="R110" s="42" t="n">
        <v>-10.9</v>
      </c>
      <c r="S110" s="52" t="inlineStr">
        <is>
          <t>Win</t>
        </is>
      </c>
      <c r="T110" s="52" t="inlineStr">
        <is>
          <t>Win</t>
        </is>
      </c>
      <c r="U110" s="52" t="inlineStr">
        <is>
          <t>Win</t>
        </is>
      </c>
      <c r="V110" s="52" t="inlineStr">
        <is>
          <t>Win</t>
        </is>
      </c>
    </row>
    <row r="111">
      <c r="A111" s="42" t="n">
        <v>8</v>
      </c>
      <c r="B111" s="42" t="inlineStr">
        <is>
          <t>2026-10-24</t>
        </is>
      </c>
      <c r="C111" s="42" t="inlineStr">
        <is>
          <t>Pac-12</t>
        </is>
      </c>
      <c r="D111" s="42" t="inlineStr">
        <is>
          <t>Pac-12</t>
        </is>
      </c>
      <c r="E111" s="42" t="inlineStr">
        <is>
          <t>Boise State</t>
        </is>
      </c>
      <c r="F111" s="42" t="inlineStr">
        <is>
          <t>Washington State</t>
        </is>
      </c>
      <c r="G111" s="42" t="n">
        <v>8.1</v>
      </c>
      <c r="H111" s="42" t="n">
        <v>13.5</v>
      </c>
      <c r="I111" s="56" t="n">
        <v>5.4</v>
      </c>
      <c r="J111" s="42" t="n">
        <v>15.5</v>
      </c>
      <c r="K111" s="42" t="n">
        <v>12.7</v>
      </c>
      <c r="L111" s="42" t="n">
        <v>48.7</v>
      </c>
      <c r="M111" s="42" t="n">
        <v>53.5</v>
      </c>
      <c r="N111" s="47" t="n">
        <v>-4.8</v>
      </c>
      <c r="O111" s="42" t="n">
        <v>31</v>
      </c>
      <c r="P111" s="42" t="n">
        <v>10</v>
      </c>
      <c r="Q111" s="47" t="inlineStr">
        <is>
          <t>Win</t>
        </is>
      </c>
      <c r="R111" s="42" t="n">
        <v>12.3</v>
      </c>
      <c r="S111" s="53" t="inlineStr">
        <is>
          <t>Loss</t>
        </is>
      </c>
      <c r="T111" s="52" t="inlineStr">
        <is>
          <t>Win</t>
        </is>
      </c>
      <c r="U111" s="53" t="inlineStr">
        <is>
          <t>Loss</t>
        </is>
      </c>
      <c r="V111" s="52" t="inlineStr">
        <is>
          <t>Win</t>
        </is>
      </c>
    </row>
    <row r="112">
      <c r="A112" s="42" t="n">
        <v>8</v>
      </c>
      <c r="B112" s="42" t="inlineStr">
        <is>
          <t>2026-10-24</t>
        </is>
      </c>
      <c r="C112" s="42" t="inlineStr">
        <is>
          <t>SEC</t>
        </is>
      </c>
      <c r="D112" s="42" t="inlineStr">
        <is>
          <t>SEC</t>
        </is>
      </c>
      <c r="E112" s="42" t="inlineStr">
        <is>
          <t>Texas A&amp;M</t>
        </is>
      </c>
      <c r="F112" s="42" t="inlineStr">
        <is>
          <t>Alabama</t>
        </is>
      </c>
      <c r="G112" s="42" t="n">
        <v>-8.800000000000001</v>
      </c>
      <c r="H112" s="42" t="n">
        <v>-13.5</v>
      </c>
      <c r="I112" s="56" t="n">
        <v>-4.7</v>
      </c>
      <c r="J112" s="42" t="n">
        <v>-8.1</v>
      </c>
      <c r="K112" s="42" t="n">
        <v>-12.9</v>
      </c>
      <c r="L112" s="42" t="n">
        <v>46.3</v>
      </c>
      <c r="M112" s="42" t="n">
        <v>50.5</v>
      </c>
      <c r="N112" s="47" t="n">
        <v>-4.2</v>
      </c>
      <c r="O112" s="42" t="n">
        <v>20</v>
      </c>
      <c r="P112" s="42" t="n">
        <v>31</v>
      </c>
      <c r="Q112" s="47" t="inlineStr">
        <is>
          <t>Win</t>
        </is>
      </c>
      <c r="R112" s="42" t="n">
        <v>-9</v>
      </c>
      <c r="S112" s="52" t="inlineStr">
        <is>
          <t>Win</t>
        </is>
      </c>
      <c r="T112" s="52" t="inlineStr">
        <is>
          <t>Win</t>
        </is>
      </c>
      <c r="U112" s="52" t="inlineStr">
        <is>
          <t>Win</t>
        </is>
      </c>
      <c r="V112" s="53" t="inlineStr">
        <is>
          <t>Loss</t>
        </is>
      </c>
    </row>
    <row r="113">
      <c r="A113" s="42" t="n">
        <v>8</v>
      </c>
      <c r="B113" s="42" t="inlineStr">
        <is>
          <t>2026-10-24</t>
        </is>
      </c>
      <c r="C113" s="42" t="inlineStr">
        <is>
          <t>SEC</t>
        </is>
      </c>
      <c r="D113" s="42" t="inlineStr">
        <is>
          <t>SEC</t>
        </is>
      </c>
      <c r="E113" s="42" t="inlineStr">
        <is>
          <t>LSU</t>
        </is>
      </c>
      <c r="F113" s="42" t="inlineStr">
        <is>
          <t>Auburn</t>
        </is>
      </c>
      <c r="G113" s="42" t="n">
        <v>2.5</v>
      </c>
      <c r="H113" s="42" t="n">
        <v>7</v>
      </c>
      <c r="I113" s="56" t="n">
        <v>4.5</v>
      </c>
      <c r="J113" s="42" t="n">
        <v>8.5</v>
      </c>
      <c r="K113" s="42" t="n">
        <v>11</v>
      </c>
      <c r="L113" s="42" t="n">
        <v>43.9</v>
      </c>
      <c r="M113" s="42" t="n">
        <v>51.2</v>
      </c>
      <c r="N113" s="47" t="n">
        <v>-7.3</v>
      </c>
      <c r="O113" s="42" t="n">
        <v>38</v>
      </c>
      <c r="P113" s="42" t="n">
        <v>17</v>
      </c>
      <c r="Q113" s="47" t="inlineStr">
        <is>
          <t>Win</t>
        </is>
      </c>
      <c r="R113" s="42" t="n">
        <v>9.699999999999999</v>
      </c>
      <c r="S113" s="53" t="inlineStr">
        <is>
          <t>Loss</t>
        </is>
      </c>
      <c r="T113" s="52" t="inlineStr">
        <is>
          <t>Win</t>
        </is>
      </c>
      <c r="U113" s="52" t="inlineStr">
        <is>
          <t>Win</t>
        </is>
      </c>
      <c r="V113" s="52" t="inlineStr">
        <is>
          <t>Win</t>
        </is>
      </c>
    </row>
    <row r="114">
      <c r="A114" s="42" t="n">
        <v>8</v>
      </c>
      <c r="B114" s="42" t="inlineStr">
        <is>
          <t>2026-10-24</t>
        </is>
      </c>
      <c r="C114" s="42" t="inlineStr">
        <is>
          <t>SEC</t>
        </is>
      </c>
      <c r="D114" s="42" t="inlineStr">
        <is>
          <t>SEC</t>
        </is>
      </c>
      <c r="E114" s="42" t="inlineStr">
        <is>
          <t>Vanderbilt</t>
        </is>
      </c>
      <c r="F114" s="42" t="inlineStr">
        <is>
          <t>Kentucky</t>
        </is>
      </c>
      <c r="G114" s="42" t="n">
        <v>-1.8</v>
      </c>
      <c r="H114" s="42" t="n">
        <v>-10.8</v>
      </c>
      <c r="I114" s="56" t="n">
        <v>-9</v>
      </c>
      <c r="J114" s="42" t="n">
        <v>-6.7</v>
      </c>
      <c r="K114" s="42" t="n">
        <v>-16.8</v>
      </c>
      <c r="L114" s="42" t="n">
        <v>49.6</v>
      </c>
      <c r="M114" s="42" t="n">
        <v>52.2</v>
      </c>
      <c r="N114" s="47" t="n">
        <v>-2.7</v>
      </c>
      <c r="O114" s="42" t="n">
        <v>17</v>
      </c>
      <c r="P114" s="42" t="n">
        <v>34</v>
      </c>
      <c r="Q114" s="47" t="inlineStr">
        <is>
          <t>Win</t>
        </is>
      </c>
      <c r="R114" s="42" t="n">
        <v>-1.7</v>
      </c>
      <c r="S114" s="53" t="inlineStr">
        <is>
          <t>Loss</t>
        </is>
      </c>
      <c r="T114" s="53" t="inlineStr">
        <is>
          <t>Loss</t>
        </is>
      </c>
      <c r="U114" s="53" t="inlineStr">
        <is>
          <t>Loss</t>
        </is>
      </c>
      <c r="V114" s="52" t="inlineStr">
        <is>
          <t>Win</t>
        </is>
      </c>
    </row>
    <row r="115">
      <c r="A115" s="42" t="n">
        <v>8</v>
      </c>
      <c r="B115" s="42" t="inlineStr">
        <is>
          <t>2026-10-24</t>
        </is>
      </c>
      <c r="C115" s="42" t="inlineStr">
        <is>
          <t>SEC</t>
        </is>
      </c>
      <c r="D115" s="42" t="inlineStr">
        <is>
          <t>SEC</t>
        </is>
      </c>
      <c r="E115" s="42" t="inlineStr">
        <is>
          <t>Oklahoma</t>
        </is>
      </c>
      <c r="F115" s="42" t="inlineStr">
        <is>
          <t>Mississippi State</t>
        </is>
      </c>
      <c r="G115" s="42" t="n">
        <v>10.3</v>
      </c>
      <c r="H115" s="42" t="n">
        <v>3.2</v>
      </c>
      <c r="I115" s="56" t="n">
        <v>-7.1</v>
      </c>
      <c r="J115" s="42" t="n">
        <v>5.3</v>
      </c>
      <c r="K115" s="42" t="n">
        <v>-4.3</v>
      </c>
      <c r="L115" s="42" t="n">
        <v>45.2</v>
      </c>
      <c r="M115" s="42" t="n">
        <v>46.5</v>
      </c>
      <c r="N115" s="42" t="n">
        <v>-1.3</v>
      </c>
      <c r="O115" s="42" t="n">
        <v>23</v>
      </c>
      <c r="P115" s="42" t="n">
        <v>15</v>
      </c>
      <c r="Q115" s="47" t="inlineStr">
        <is>
          <t>Win</t>
        </is>
      </c>
      <c r="R115" s="42" t="n">
        <v>5.7</v>
      </c>
      <c r="S115" s="52" t="inlineStr">
        <is>
          <t>Win</t>
        </is>
      </c>
      <c r="T115" s="52" t="inlineStr">
        <is>
          <t>Win</t>
        </is>
      </c>
      <c r="U115" s="52" t="inlineStr">
        <is>
          <t>Win</t>
        </is>
      </c>
      <c r="V115" s="53" t="inlineStr">
        <is>
          <t>Loss</t>
        </is>
      </c>
    </row>
    <row r="116">
      <c r="A116" s="42" t="n">
        <v>8</v>
      </c>
      <c r="B116" s="42" t="inlineStr">
        <is>
          <t>2026-10-24</t>
        </is>
      </c>
      <c r="C116" s="42" t="inlineStr">
        <is>
          <t>SEC</t>
        </is>
      </c>
      <c r="D116" s="42" t="inlineStr">
        <is>
          <t>SEC</t>
        </is>
      </c>
      <c r="E116" s="42" t="inlineStr">
        <is>
          <t>Tennessee</t>
        </is>
      </c>
      <c r="F116" s="42" t="inlineStr">
        <is>
          <t>South Carolina</t>
        </is>
      </c>
      <c r="G116" s="42" t="n">
        <v>7.7</v>
      </c>
      <c r="H116" s="42" t="n">
        <v>-2.5</v>
      </c>
      <c r="I116" s="56" t="n">
        <v>-10.2</v>
      </c>
      <c r="J116" s="42" t="n">
        <v>8</v>
      </c>
      <c r="K116" s="42" t="n">
        <v>2.8</v>
      </c>
      <c r="L116" s="42" t="n">
        <v>50.8</v>
      </c>
      <c r="M116" s="42" t="n">
        <v>50.5</v>
      </c>
      <c r="N116" s="42" t="n">
        <v>0.3</v>
      </c>
      <c r="O116" s="42" t="n">
        <v>24</v>
      </c>
      <c r="P116" s="42" t="n">
        <v>27</v>
      </c>
      <c r="Q116" s="48" t="inlineStr">
        <is>
          <t>Loss</t>
        </is>
      </c>
      <c r="R116" s="42" t="n">
        <v>2</v>
      </c>
      <c r="S116" s="53" t="inlineStr">
        <is>
          <t>Loss</t>
        </is>
      </c>
      <c r="T116" s="53" t="inlineStr">
        <is>
          <t>Loss</t>
        </is>
      </c>
      <c r="U116" s="53" t="inlineStr">
        <is>
          <t>Loss</t>
        </is>
      </c>
      <c r="V116" s="53" t="inlineStr">
        <is>
          <t>Loss</t>
        </is>
      </c>
    </row>
    <row r="117">
      <c r="A117" s="42" t="n">
        <v>8</v>
      </c>
      <c r="B117" s="42" t="inlineStr">
        <is>
          <t>2026-10-24</t>
        </is>
      </c>
      <c r="C117" s="42" t="inlineStr">
        <is>
          <t>SEC</t>
        </is>
      </c>
      <c r="D117" s="42" t="inlineStr">
        <is>
          <t>SEC</t>
        </is>
      </c>
      <c r="E117" s="42" t="inlineStr">
        <is>
          <t>Ole Miss</t>
        </is>
      </c>
      <c r="F117" s="42" t="inlineStr">
        <is>
          <t>Texas</t>
        </is>
      </c>
      <c r="G117" s="42" t="n">
        <v>-0.4</v>
      </c>
      <c r="H117" s="42" t="n">
        <v>-3</v>
      </c>
      <c r="I117" s="47" t="n">
        <v>-2.6</v>
      </c>
      <c r="J117" s="42" t="n">
        <v>-4.3</v>
      </c>
      <c r="K117" s="42" t="n">
        <v>-3.9</v>
      </c>
      <c r="L117" s="42" t="n">
        <v>50.1</v>
      </c>
      <c r="M117" s="42" t="n">
        <v>53.8</v>
      </c>
      <c r="N117" s="47" t="n">
        <v>-3.7</v>
      </c>
      <c r="O117" s="42" t="n">
        <v>27</v>
      </c>
      <c r="P117" s="42" t="n">
        <v>34</v>
      </c>
      <c r="Q117" s="47" t="inlineStr">
        <is>
          <t>Win</t>
        </is>
      </c>
      <c r="R117" s="42" t="n">
        <v>-4.6</v>
      </c>
      <c r="S117" s="53" t="inlineStr">
        <is>
          <t>Loss</t>
        </is>
      </c>
      <c r="T117" s="52" t="inlineStr">
        <is>
          <t>Win</t>
        </is>
      </c>
      <c r="U117" s="52" t="inlineStr">
        <is>
          <t>Win</t>
        </is>
      </c>
      <c r="V117" s="52" t="inlineStr">
        <is>
          <t>Win</t>
        </is>
      </c>
    </row>
    <row r="118">
      <c r="A118" s="42" t="n">
        <v>8</v>
      </c>
      <c r="B118" s="42" t="inlineStr">
        <is>
          <t>2026-10-20</t>
        </is>
      </c>
      <c r="C118" s="42" t="inlineStr">
        <is>
          <t>Sun Belt</t>
        </is>
      </c>
      <c r="D118" s="42" t="inlineStr">
        <is>
          <t>Sun Belt</t>
        </is>
      </c>
      <c r="E118" s="42" t="inlineStr">
        <is>
          <t>South Alabama</t>
        </is>
      </c>
      <c r="F118" s="42" t="inlineStr">
        <is>
          <t>Marshall</t>
        </is>
      </c>
      <c r="G118" s="42" t="n">
        <v>0.8</v>
      </c>
      <c r="H118" s="42" t="n">
        <v>1.5</v>
      </c>
      <c r="I118" s="42" t="n">
        <v>0.7</v>
      </c>
      <c r="J118" s="42" t="n">
        <v>-1.2</v>
      </c>
      <c r="K118" s="42" t="n">
        <v>7.4</v>
      </c>
      <c r="L118" s="42" t="n">
        <v>63.2</v>
      </c>
      <c r="M118" s="42" t="n">
        <v>66.2</v>
      </c>
      <c r="N118" s="47" t="n">
        <v>-3.1</v>
      </c>
      <c r="O118" s="42" t="n">
        <v>13</v>
      </c>
      <c r="P118" s="42" t="n">
        <v>20</v>
      </c>
      <c r="Q118" s="48" t="inlineStr">
        <is>
          <t>Loss</t>
        </is>
      </c>
      <c r="R118" s="42" t="n">
        <v>-2.7</v>
      </c>
      <c r="S118" s="53" t="inlineStr">
        <is>
          <t>Loss</t>
        </is>
      </c>
      <c r="T118" s="52" t="inlineStr">
        <is>
          <t>Win</t>
        </is>
      </c>
      <c r="U118" s="52" t="inlineStr">
        <is>
          <t>Win</t>
        </is>
      </c>
      <c r="V118" s="53" t="inlineStr">
        <is>
          <t>Loss</t>
        </is>
      </c>
    </row>
    <row r="119">
      <c r="A119" s="42" t="n">
        <v>8</v>
      </c>
      <c r="B119" s="42" t="inlineStr">
        <is>
          <t>2026-10-22</t>
        </is>
      </c>
      <c r="C119" s="42" t="inlineStr">
        <is>
          <t>Sun Belt</t>
        </is>
      </c>
      <c r="D119" s="42" t="inlineStr">
        <is>
          <t>Sun Belt</t>
        </is>
      </c>
      <c r="E119" s="42" t="inlineStr">
        <is>
          <t>James Madison</t>
        </is>
      </c>
      <c r="F119" s="42" t="inlineStr">
        <is>
          <t>App State</t>
        </is>
      </c>
      <c r="G119" s="42" t="n">
        <v>16.8</v>
      </c>
      <c r="H119" s="42" t="n">
        <v>12.8</v>
      </c>
      <c r="I119" s="56" t="n">
        <v>-4</v>
      </c>
      <c r="J119" s="42" t="n">
        <v>12.4</v>
      </c>
      <c r="K119" s="42" t="n">
        <v>13.6</v>
      </c>
      <c r="L119" s="42" t="n">
        <v>54.4</v>
      </c>
      <c r="M119" s="42" t="n">
        <v>56.5</v>
      </c>
      <c r="N119" s="47" t="n">
        <v>-2.1</v>
      </c>
      <c r="O119" s="42" t="n">
        <v>31</v>
      </c>
      <c r="P119" s="42" t="n">
        <v>34</v>
      </c>
      <c r="Q119" s="48" t="inlineStr">
        <is>
          <t>Loss</t>
        </is>
      </c>
      <c r="R119" s="42" t="n">
        <v>11</v>
      </c>
      <c r="S119" s="53" t="inlineStr">
        <is>
          <t>Loss</t>
        </is>
      </c>
      <c r="T119" s="53" t="inlineStr">
        <is>
          <t>Loss</t>
        </is>
      </c>
      <c r="U119" s="52" t="inlineStr">
        <is>
          <t>Win</t>
        </is>
      </c>
      <c r="V119" s="53" t="inlineStr">
        <is>
          <t>Loss</t>
        </is>
      </c>
    </row>
    <row r="120">
      <c r="A120" s="42" t="n">
        <v>8</v>
      </c>
      <c r="B120" s="42" t="inlineStr">
        <is>
          <t>2026-10-24</t>
        </is>
      </c>
      <c r="C120" s="42" t="inlineStr">
        <is>
          <t>Sun Belt</t>
        </is>
      </c>
      <c r="D120" s="42" t="inlineStr">
        <is>
          <t>Sun Belt</t>
        </is>
      </c>
      <c r="E120" s="42" t="inlineStr">
        <is>
          <t>Georgia State</t>
        </is>
      </c>
      <c r="F120" s="42" t="inlineStr">
        <is>
          <t>Arkansas State</t>
        </is>
      </c>
      <c r="G120" s="42" t="n">
        <v>-3.4</v>
      </c>
      <c r="H120" s="42" t="n">
        <v>2.5</v>
      </c>
      <c r="I120" s="56" t="n">
        <v>5.9</v>
      </c>
      <c r="J120" s="42" t="n">
        <v>-3.3</v>
      </c>
      <c r="K120" s="42" t="n">
        <v>5.5</v>
      </c>
      <c r="L120" s="42" t="n">
        <v>56</v>
      </c>
      <c r="M120" s="42" t="n">
        <v>57.8</v>
      </c>
      <c r="N120" s="42" t="n">
        <v>-1.8</v>
      </c>
      <c r="O120" s="42" t="n">
        <v>32</v>
      </c>
      <c r="P120" s="42" t="n">
        <v>38</v>
      </c>
      <c r="Q120" s="47" t="inlineStr">
        <is>
          <t>Win</t>
        </is>
      </c>
      <c r="R120" s="42" t="n">
        <v>-2.5</v>
      </c>
      <c r="S120" s="52" t="inlineStr">
        <is>
          <t>Win</t>
        </is>
      </c>
      <c r="T120" s="52" t="inlineStr">
        <is>
          <t>Win</t>
        </is>
      </c>
      <c r="U120" s="52" t="inlineStr">
        <is>
          <t>Win</t>
        </is>
      </c>
      <c r="V120" s="53" t="inlineStr">
        <is>
          <t>Loss</t>
        </is>
      </c>
    </row>
    <row r="121">
      <c r="A121" s="42" t="n">
        <v>8</v>
      </c>
      <c r="B121" s="42" t="inlineStr">
        <is>
          <t>2026-10-24</t>
        </is>
      </c>
      <c r="C121" s="42" t="inlineStr">
        <is>
          <t>Sun Belt</t>
        </is>
      </c>
      <c r="D121" s="42" t="inlineStr">
        <is>
          <t>Sun Belt</t>
        </is>
      </c>
      <c r="E121" s="42" t="inlineStr">
        <is>
          <t>Old Dominion</t>
        </is>
      </c>
      <c r="F121" s="42" t="inlineStr">
        <is>
          <t>Louisiana Tech</t>
        </is>
      </c>
      <c r="G121" s="42" t="n">
        <v>-2.3</v>
      </c>
      <c r="H121" s="42" t="n">
        <v>-13.5</v>
      </c>
      <c r="I121" s="56" t="n">
        <v>-11.2</v>
      </c>
      <c r="J121" s="42" t="n">
        <v>-7.1</v>
      </c>
      <c r="K121" s="42" t="n">
        <v>-16.2</v>
      </c>
      <c r="L121" s="42" t="n">
        <v>43.1</v>
      </c>
      <c r="M121" s="42" t="n">
        <v>45.2</v>
      </c>
      <c r="N121" s="47" t="n">
        <v>-2.2</v>
      </c>
      <c r="O121" s="42" t="n">
        <v>0</v>
      </c>
      <c r="P121" s="42" t="n">
        <v>26</v>
      </c>
      <c r="Q121" s="47" t="inlineStr">
        <is>
          <t>Win</t>
        </is>
      </c>
      <c r="R121" s="42" t="n">
        <v>-5.2</v>
      </c>
      <c r="S121" s="53" t="inlineStr">
        <is>
          <t>Loss</t>
        </is>
      </c>
      <c r="T121" s="53" t="inlineStr">
        <is>
          <t>Loss</t>
        </is>
      </c>
      <c r="U121" s="53" t="inlineStr">
        <is>
          <t>Loss</t>
        </is>
      </c>
      <c r="V121" s="52" t="inlineStr">
        <is>
          <t>Win</t>
        </is>
      </c>
    </row>
    <row r="122">
      <c r="A122" s="42" t="n">
        <v>8</v>
      </c>
      <c r="B122" s="42" t="inlineStr">
        <is>
          <t>2026-10-24</t>
        </is>
      </c>
      <c r="C122" s="42" t="inlineStr">
        <is>
          <t>Sun Belt</t>
        </is>
      </c>
      <c r="D122" s="42" t="inlineStr">
        <is>
          <t>Sun Belt</t>
        </is>
      </c>
      <c r="E122" s="42" t="inlineStr">
        <is>
          <t>Louisiana</t>
        </is>
      </c>
      <c r="F122" s="42" t="inlineStr">
        <is>
          <t>Southern Miss</t>
        </is>
      </c>
      <c r="G122" s="42" t="n">
        <v>7.5</v>
      </c>
      <c r="H122" s="42" t="n">
        <v>9.800000000000001</v>
      </c>
      <c r="I122" s="47" t="n">
        <v>2.3</v>
      </c>
      <c r="J122" s="42" t="n">
        <v>14.3</v>
      </c>
      <c r="K122" s="42" t="n">
        <v>11.3</v>
      </c>
      <c r="L122" s="42" t="n">
        <v>52</v>
      </c>
      <c r="M122" s="42" t="n">
        <v>52.5</v>
      </c>
      <c r="N122" s="42" t="n">
        <v>-0.5</v>
      </c>
      <c r="O122" s="42" t="n">
        <v>31</v>
      </c>
      <c r="P122" s="42" t="n">
        <v>35</v>
      </c>
      <c r="Q122" s="48" t="inlineStr">
        <is>
          <t>Loss</t>
        </is>
      </c>
      <c r="R122" s="42" t="n">
        <v>15.7</v>
      </c>
      <c r="S122" s="52" t="inlineStr">
        <is>
          <t>Win</t>
        </is>
      </c>
      <c r="T122" s="53" t="inlineStr">
        <is>
          <t>Loss</t>
        </is>
      </c>
      <c r="U122" s="53" t="inlineStr">
        <is>
          <t>Loss</t>
        </is>
      </c>
      <c r="V122" s="53" t="inlineStr">
        <is>
          <t>Loss</t>
        </is>
      </c>
    </row>
    <row r="123">
      <c r="A123" s="42" t="n">
        <v>8</v>
      </c>
      <c r="B123" s="42" t="inlineStr">
        <is>
          <t>2026-10-24</t>
        </is>
      </c>
      <c r="C123" s="42" t="inlineStr">
        <is>
          <t>Sun Belt</t>
        </is>
      </c>
      <c r="D123" s="42" t="inlineStr">
        <is>
          <t>Sun Belt</t>
        </is>
      </c>
      <c r="E123" s="42" t="inlineStr">
        <is>
          <t>UL Monroe</t>
        </is>
      </c>
      <c r="F123" s="42" t="inlineStr">
        <is>
          <t>Troy</t>
        </is>
      </c>
      <c r="G123" s="42" t="n">
        <v>-13.9</v>
      </c>
      <c r="H123" s="42" t="n">
        <v>-12.2</v>
      </c>
      <c r="I123" s="42" t="n">
        <v>1.7</v>
      </c>
      <c r="J123" s="42" t="n">
        <v>-21.4</v>
      </c>
      <c r="K123" s="42" t="n">
        <v>-16.3</v>
      </c>
      <c r="L123" s="42" t="n">
        <v>50.4</v>
      </c>
      <c r="M123" s="42" t="n">
        <v>50.2</v>
      </c>
      <c r="N123" s="42" t="n">
        <v>0.1</v>
      </c>
      <c r="O123" s="42" t="n">
        <v>21</v>
      </c>
      <c r="P123" s="42" t="n">
        <v>14</v>
      </c>
      <c r="Q123" s="48" t="inlineStr">
        <is>
          <t>Loss</t>
        </is>
      </c>
      <c r="R123" s="42" t="n">
        <v>-16.4</v>
      </c>
      <c r="S123" s="53" t="inlineStr">
        <is>
          <t>Loss</t>
        </is>
      </c>
      <c r="T123" s="53" t="inlineStr">
        <is>
          <t>Loss</t>
        </is>
      </c>
      <c r="U123" s="53" t="inlineStr">
        <is>
          <t>Loss</t>
        </is>
      </c>
      <c r="V123" s="53" t="inlineStr">
        <is>
          <t>Loss</t>
        </is>
      </c>
    </row>
    <row r="125">
      <c r="A125" s="41" t="inlineStr">
        <is>
          <t>Week 7</t>
        </is>
      </c>
    </row>
    <row r="126">
      <c r="A126" s="46" t="inlineStr">
        <is>
          <t>Week</t>
        </is>
      </c>
      <c r="B126" s="46" t="inlineStr">
        <is>
          <t>Date</t>
        </is>
      </c>
      <c r="C126" s="46" t="inlineStr">
        <is>
          <t>Home Conf</t>
        </is>
      </c>
      <c r="D126" s="46" t="inlineStr">
        <is>
          <t>Away Conf</t>
        </is>
      </c>
      <c r="E126" s="46" t="inlineStr">
        <is>
          <t>Away Team</t>
        </is>
      </c>
      <c r="F126" s="46" t="inlineStr">
        <is>
          <t>Home Team</t>
        </is>
      </c>
      <c r="G126" s="46" t="inlineStr">
        <is>
          <t>Model Line (Home)</t>
        </is>
      </c>
      <c r="H126" s="46" t="inlineStr">
        <is>
          <t>Market Line (Home)</t>
        </is>
      </c>
      <c r="I126" s="46" t="inlineStr">
        <is>
          <t>Spread Edge (pts)</t>
        </is>
      </c>
      <c r="J126" s="46" t="inlineStr">
        <is>
          <t>Ridge Line (Home)</t>
        </is>
      </c>
      <c r="K126" s="46" t="inlineStr">
        <is>
          <t>Massey Line (Home)</t>
        </is>
      </c>
      <c r="L126" s="46" t="inlineStr">
        <is>
          <t>Model Total</t>
        </is>
      </c>
      <c r="M126" s="46" t="inlineStr">
        <is>
          <t>Market Total</t>
        </is>
      </c>
      <c r="N126" s="46" t="inlineStr">
        <is>
          <t>Total Edge (pts)</t>
        </is>
      </c>
      <c r="O126" s="46" t="inlineStr">
        <is>
          <t>Away Pts</t>
        </is>
      </c>
      <c r="P126" s="46" t="inlineStr">
        <is>
          <t>Home Pts</t>
        </is>
      </c>
      <c r="Q126" s="46" t="inlineStr">
        <is>
          <t>Model Result (SU)</t>
        </is>
      </c>
      <c r="R126" s="46" t="inlineStr">
        <is>
          <t>XGBoost Line (Home)</t>
        </is>
      </c>
      <c r="S126" s="46" t="inlineStr">
        <is>
          <t>Gamma ATS</t>
        </is>
      </c>
      <c r="T126" s="46" t="inlineStr">
        <is>
          <t>Ridge ATS</t>
        </is>
      </c>
      <c r="U126" s="46" t="inlineStr">
        <is>
          <t>XGBoost ATS</t>
        </is>
      </c>
      <c r="V126" s="46" t="inlineStr">
        <is>
          <t>Massey ATS</t>
        </is>
      </c>
    </row>
    <row r="127">
      <c r="A127" s="42" t="n">
        <v>7</v>
      </c>
      <c r="B127" s="42" t="inlineStr">
        <is>
          <t>2026-10-17</t>
        </is>
      </c>
      <c r="C127" s="42" t="inlineStr">
        <is>
          <t>ACC</t>
        </is>
      </c>
      <c r="D127" s="42" t="inlineStr">
        <is>
          <t>ACC</t>
        </is>
      </c>
      <c r="E127" s="42" t="inlineStr">
        <is>
          <t>Pittsburgh</t>
        </is>
      </c>
      <c r="F127" s="42" t="inlineStr">
        <is>
          <t>Boston College</t>
        </is>
      </c>
      <c r="G127" s="42" t="n">
        <v>7.7</v>
      </c>
      <c r="H127" s="42" t="n">
        <v>6.2</v>
      </c>
      <c r="I127" s="42" t="n">
        <v>-1.5</v>
      </c>
      <c r="J127" s="42" t="n">
        <v>10</v>
      </c>
      <c r="K127" s="42" t="n">
        <v>17.1</v>
      </c>
      <c r="L127" s="42" t="n">
        <v>46.8</v>
      </c>
      <c r="M127" s="42" t="n">
        <v>42.5</v>
      </c>
      <c r="N127" s="47" t="n">
        <v>4.3</v>
      </c>
      <c r="O127" s="42" t="n">
        <v>21</v>
      </c>
      <c r="P127" s="42" t="n">
        <v>27</v>
      </c>
      <c r="Q127" s="48" t="inlineStr">
        <is>
          <t>Loss</t>
        </is>
      </c>
      <c r="R127" s="42" t="n">
        <v>10.8</v>
      </c>
      <c r="S127" s="53" t="inlineStr">
        <is>
          <t>Loss</t>
        </is>
      </c>
      <c r="T127" s="53" t="inlineStr">
        <is>
          <t>Loss</t>
        </is>
      </c>
      <c r="U127" s="53" t="inlineStr">
        <is>
          <t>Loss</t>
        </is>
      </c>
      <c r="V127" s="53" t="inlineStr">
        <is>
          <t>Loss</t>
        </is>
      </c>
    </row>
    <row r="128">
      <c r="A128" s="42" t="n">
        <v>7</v>
      </c>
      <c r="B128" s="42" t="inlineStr">
        <is>
          <t>2026-10-17</t>
        </is>
      </c>
      <c r="C128" s="42" t="inlineStr">
        <is>
          <t>ACC</t>
        </is>
      </c>
      <c r="D128" s="42" t="inlineStr">
        <is>
          <t>OVC</t>
        </is>
      </c>
      <c r="E128" s="42" t="inlineStr">
        <is>
          <t>Charleston Southern</t>
        </is>
      </c>
      <c r="F128" s="42" t="inlineStr">
        <is>
          <t>Clemson</t>
        </is>
      </c>
      <c r="G128" s="42" t="n">
        <v>-45.1</v>
      </c>
      <c r="H128" s="42" t="n"/>
      <c r="I128" s="42" t="n"/>
      <c r="J128" s="42" t="n">
        <v>-26.8</v>
      </c>
      <c r="K128" s="42" t="n">
        <v>-15.6</v>
      </c>
      <c r="L128" s="42" t="n">
        <v>56.5</v>
      </c>
      <c r="M128" s="42" t="n"/>
      <c r="N128" s="42" t="n"/>
      <c r="O128" s="42" t="n">
        <v>0</v>
      </c>
      <c r="P128" s="42" t="n">
        <v>37</v>
      </c>
      <c r="Q128" s="47" t="inlineStr">
        <is>
          <t>Win</t>
        </is>
      </c>
      <c r="R128" s="42" t="n">
        <v>-35.9</v>
      </c>
      <c r="S128" s="51" t="n"/>
      <c r="T128" s="51" t="n"/>
      <c r="U128" s="51" t="n"/>
      <c r="V128" s="51" t="n"/>
    </row>
    <row r="129">
      <c r="A129" s="42" t="n">
        <v>7</v>
      </c>
      <c r="B129" s="42" t="inlineStr">
        <is>
          <t>2026-10-17</t>
        </is>
      </c>
      <c r="C129" s="42" t="inlineStr">
        <is>
          <t>ACC</t>
        </is>
      </c>
      <c r="D129" s="42" t="inlineStr">
        <is>
          <t>ACC</t>
        </is>
      </c>
      <c r="E129" s="42" t="inlineStr">
        <is>
          <t>North Carolina</t>
        </is>
      </c>
      <c r="F129" s="42" t="inlineStr">
        <is>
          <t>Duke</t>
        </is>
      </c>
      <c r="G129" s="42" t="n">
        <v>-13.1</v>
      </c>
      <c r="H129" s="42" t="n">
        <v>-3</v>
      </c>
      <c r="I129" s="56" t="n">
        <v>10.1</v>
      </c>
      <c r="J129" s="42" t="n">
        <v>-9.199999999999999</v>
      </c>
      <c r="K129" s="42" t="n">
        <v>-3</v>
      </c>
      <c r="L129" s="42" t="n">
        <v>50.3</v>
      </c>
      <c r="M129" s="42" t="n">
        <v>47.5</v>
      </c>
      <c r="N129" s="47" t="n">
        <v>2.8</v>
      </c>
      <c r="O129" s="42" t="n">
        <v>24</v>
      </c>
      <c r="P129" s="42" t="n">
        <v>20</v>
      </c>
      <c r="Q129" s="48" t="inlineStr">
        <is>
          <t>Loss</t>
        </is>
      </c>
      <c r="R129" s="42" t="n">
        <v>-7.1</v>
      </c>
      <c r="S129" s="53" t="inlineStr">
        <is>
          <t>Loss</t>
        </is>
      </c>
      <c r="T129" s="53" t="inlineStr">
        <is>
          <t>Loss</t>
        </is>
      </c>
      <c r="U129" s="53" t="inlineStr">
        <is>
          <t>Loss</t>
        </is>
      </c>
      <c r="V129" s="53" t="inlineStr">
        <is>
          <t>Loss</t>
        </is>
      </c>
    </row>
    <row r="130">
      <c r="A130" s="42" t="n">
        <v>7</v>
      </c>
      <c r="B130" s="42" t="inlineStr">
        <is>
          <t>2026-10-17</t>
        </is>
      </c>
      <c r="C130" s="42" t="inlineStr">
        <is>
          <t>ACC</t>
        </is>
      </c>
      <c r="D130" s="42" t="inlineStr">
        <is>
          <t>ACC</t>
        </is>
      </c>
      <c r="E130" s="42" t="inlineStr">
        <is>
          <t>Florida State</t>
        </is>
      </c>
      <c r="F130" s="42" t="inlineStr">
        <is>
          <t>Miami</t>
        </is>
      </c>
      <c r="G130" s="42" t="n">
        <v>-21.8</v>
      </c>
      <c r="H130" s="42" t="n">
        <v>-21.5</v>
      </c>
      <c r="I130" s="42" t="n">
        <v>0.3</v>
      </c>
      <c r="J130" s="42" t="n">
        <v>-22.1</v>
      </c>
      <c r="K130" s="42" t="n">
        <v>-20.8</v>
      </c>
      <c r="L130" s="42" t="n">
        <v>54.1</v>
      </c>
      <c r="M130" s="42" t="n">
        <v>56.5</v>
      </c>
      <c r="N130" s="47" t="n">
        <v>-2.4</v>
      </c>
      <c r="O130" s="42" t="n">
        <v>35</v>
      </c>
      <c r="P130" s="42" t="n">
        <v>43</v>
      </c>
      <c r="Q130" s="47" t="inlineStr">
        <is>
          <t>Win</t>
        </is>
      </c>
      <c r="R130" s="42" t="n">
        <v>-18.6</v>
      </c>
      <c r="S130" s="53" t="inlineStr">
        <is>
          <t>Loss</t>
        </is>
      </c>
      <c r="T130" s="53" t="inlineStr">
        <is>
          <t>Loss</t>
        </is>
      </c>
      <c r="U130" s="52" t="inlineStr">
        <is>
          <t>Win</t>
        </is>
      </c>
      <c r="V130" s="53" t="inlineStr">
        <is>
          <t>Loss</t>
        </is>
      </c>
    </row>
    <row r="131" ht="15.75" customHeight="1">
      <c r="A131" s="42" t="n">
        <v>7</v>
      </c>
      <c r="B131" s="42" t="inlineStr">
        <is>
          <t>2026-10-17</t>
        </is>
      </c>
      <c r="C131" s="42" t="inlineStr">
        <is>
          <t>ACC</t>
        </is>
      </c>
      <c r="D131" s="42" t="inlineStr">
        <is>
          <t>ACC</t>
        </is>
      </c>
      <c r="E131" s="42" t="inlineStr">
        <is>
          <t>Virginia</t>
        </is>
      </c>
      <c r="F131" s="42" t="inlineStr">
        <is>
          <t>SMU</t>
        </is>
      </c>
      <c r="G131" s="42" t="n">
        <v>-4.7</v>
      </c>
      <c r="H131" s="42" t="n">
        <v>-9.5</v>
      </c>
      <c r="I131" s="56" t="n">
        <v>-4.8</v>
      </c>
      <c r="J131" s="42" t="n">
        <v>-13.3</v>
      </c>
      <c r="K131" s="42" t="n">
        <v>0.5</v>
      </c>
      <c r="L131" s="42" t="n">
        <v>49.6</v>
      </c>
      <c r="M131" s="42" t="n">
        <v>51.8</v>
      </c>
      <c r="N131" s="47" t="n">
        <v>-2.1</v>
      </c>
      <c r="O131" s="42" t="n">
        <v>13</v>
      </c>
      <c r="P131" s="42" t="n">
        <v>23</v>
      </c>
      <c r="Q131" s="47" t="inlineStr">
        <is>
          <t>Win</t>
        </is>
      </c>
      <c r="R131" s="42" t="n">
        <v>-13.7</v>
      </c>
      <c r="S131" s="53" t="inlineStr">
        <is>
          <t>Loss</t>
        </is>
      </c>
      <c r="T131" s="52" t="inlineStr">
        <is>
          <t>Win</t>
        </is>
      </c>
      <c r="U131" s="52" t="inlineStr">
        <is>
          <t>Win</t>
        </is>
      </c>
      <c r="V131" s="53" t="inlineStr">
        <is>
          <t>Loss</t>
        </is>
      </c>
    </row>
    <row r="132" ht="26.25" customHeight="1">
      <c r="A132" s="42" t="n">
        <v>7</v>
      </c>
      <c r="B132" s="42" t="inlineStr">
        <is>
          <t>2026-10-17</t>
        </is>
      </c>
      <c r="C132" s="42" t="inlineStr">
        <is>
          <t>ACC</t>
        </is>
      </c>
      <c r="D132" s="42" t="inlineStr">
        <is>
          <t>Coastal Athletic</t>
        </is>
      </c>
      <c r="E132" s="42" t="inlineStr">
        <is>
          <t>Elon</t>
        </is>
      </c>
      <c r="F132" s="42" t="inlineStr">
        <is>
          <t>Stanford</t>
        </is>
      </c>
      <c r="G132" s="42" t="n">
        <v>-37.1</v>
      </c>
      <c r="H132" s="42" t="n"/>
      <c r="I132" s="42" t="n"/>
      <c r="J132" s="42" t="n">
        <v>-22.2</v>
      </c>
      <c r="K132" s="42" t="n">
        <v>6.9</v>
      </c>
      <c r="L132" s="42" t="n">
        <v>57.8</v>
      </c>
      <c r="M132" s="42" t="n"/>
      <c r="N132" s="42" t="n"/>
      <c r="O132" s="42" t="n">
        <v>7</v>
      </c>
      <c r="P132" s="42" t="n">
        <v>34</v>
      </c>
      <c r="Q132" s="47" t="inlineStr">
        <is>
          <t>Win</t>
        </is>
      </c>
      <c r="R132" s="42" t="n">
        <v>-26.4</v>
      </c>
      <c r="S132" s="51" t="n"/>
      <c r="T132" s="51" t="n"/>
      <c r="U132" s="51" t="n"/>
      <c r="V132" s="51" t="n"/>
    </row>
    <row r="133" ht="15.75" customHeight="1">
      <c r="A133" s="42" t="n">
        <v>7</v>
      </c>
      <c r="B133" s="42" t="inlineStr">
        <is>
          <t>2026-10-17</t>
        </is>
      </c>
      <c r="C133" s="42" t="inlineStr">
        <is>
          <t>ACC</t>
        </is>
      </c>
      <c r="D133" s="42" t="inlineStr">
        <is>
          <t>ACC</t>
        </is>
      </c>
      <c r="E133" s="42" t="inlineStr">
        <is>
          <t>Louisville</t>
        </is>
      </c>
      <c r="F133" s="42" t="inlineStr">
        <is>
          <t>Syracuse</t>
        </is>
      </c>
      <c r="G133" s="42" t="n">
        <v>18.5</v>
      </c>
      <c r="H133" s="42" t="n">
        <v>15.2</v>
      </c>
      <c r="I133" s="47" t="n">
        <v>-3.3</v>
      </c>
      <c r="J133" s="42" t="n">
        <v>8.300000000000001</v>
      </c>
      <c r="K133" s="42" t="n">
        <v>0.4</v>
      </c>
      <c r="L133" s="42" t="n">
        <v>52.7</v>
      </c>
      <c r="M133" s="42" t="n">
        <v>55.8</v>
      </c>
      <c r="N133" s="47" t="n">
        <v>-3</v>
      </c>
      <c r="O133" s="42" t="n">
        <v>34</v>
      </c>
      <c r="P133" s="42" t="n">
        <v>26</v>
      </c>
      <c r="Q133" s="47" t="inlineStr">
        <is>
          <t>Win</t>
        </is>
      </c>
      <c r="R133" s="42" t="n">
        <v>7</v>
      </c>
      <c r="S133" s="53" t="inlineStr">
        <is>
          <t>Loss</t>
        </is>
      </c>
      <c r="T133" s="52" t="inlineStr">
        <is>
          <t>Win</t>
        </is>
      </c>
      <c r="U133" s="52" t="inlineStr">
        <is>
          <t>Win</t>
        </is>
      </c>
      <c r="V133" s="52" t="inlineStr">
        <is>
          <t>Win</t>
        </is>
      </c>
    </row>
    <row r="134" ht="26.25" customHeight="1">
      <c r="A134" s="42" t="n">
        <v>7</v>
      </c>
      <c r="B134" s="42" t="inlineStr">
        <is>
          <t>2026-10-17</t>
        </is>
      </c>
      <c r="C134" s="42" t="inlineStr">
        <is>
          <t>ACC</t>
        </is>
      </c>
      <c r="D134" s="42" t="inlineStr">
        <is>
          <t>ACC</t>
        </is>
      </c>
      <c r="E134" s="42" t="inlineStr">
        <is>
          <t>Georgia Tech</t>
        </is>
      </c>
      <c r="F134" s="42" t="inlineStr">
        <is>
          <t>Virginia Tech</t>
        </is>
      </c>
      <c r="G134" s="42" t="n">
        <v>-2.2</v>
      </c>
      <c r="H134" s="42" t="n">
        <v>-10</v>
      </c>
      <c r="I134" s="56" t="n">
        <v>-7.8</v>
      </c>
      <c r="J134" s="42" t="n">
        <v>-6.1</v>
      </c>
      <c r="K134" s="42" t="n">
        <v>-14.8</v>
      </c>
      <c r="L134" s="42" t="n">
        <v>52.8</v>
      </c>
      <c r="M134" s="42" t="n">
        <v>55.8</v>
      </c>
      <c r="N134" s="47" t="n">
        <v>-3</v>
      </c>
      <c r="O134" s="42" t="n">
        <v>24</v>
      </c>
      <c r="P134" s="42" t="n">
        <v>34</v>
      </c>
      <c r="Q134" s="47" t="inlineStr">
        <is>
          <t>Win</t>
        </is>
      </c>
      <c r="R134" s="42" t="n">
        <v>-8.199999999999999</v>
      </c>
      <c r="S134" s="54" t="inlineStr">
        <is>
          <t>Push</t>
        </is>
      </c>
      <c r="T134" s="54" t="inlineStr">
        <is>
          <t>Push</t>
        </is>
      </c>
      <c r="U134" s="54" t="inlineStr">
        <is>
          <t>Push</t>
        </is>
      </c>
      <c r="V134" s="54" t="inlineStr">
        <is>
          <t>Push</t>
        </is>
      </c>
    </row>
    <row r="135">
      <c r="A135" s="42" t="n">
        <v>7</v>
      </c>
      <c r="B135" s="42" t="inlineStr">
        <is>
          <t>2026-10-18</t>
        </is>
      </c>
      <c r="C135" s="42" t="inlineStr">
        <is>
          <t>ACC</t>
        </is>
      </c>
      <c r="D135" s="42" t="inlineStr">
        <is>
          <t>ACC</t>
        </is>
      </c>
      <c r="E135" s="42" t="inlineStr">
        <is>
          <t>Wake Forest</t>
        </is>
      </c>
      <c r="F135" s="42" t="inlineStr">
        <is>
          <t>California</t>
        </is>
      </c>
      <c r="G135" s="42" t="n">
        <v>12.6</v>
      </c>
      <c r="H135" s="42" t="n">
        <v>9.5</v>
      </c>
      <c r="I135" s="47" t="n">
        <v>-3.1</v>
      </c>
      <c r="J135" s="42" t="n">
        <v>5.7</v>
      </c>
      <c r="K135" s="42" t="n">
        <v>9.9</v>
      </c>
      <c r="L135" s="42" t="n">
        <v>50.9</v>
      </c>
      <c r="M135" s="42" t="n">
        <v>53.5</v>
      </c>
      <c r="N135" s="47" t="n">
        <v>-2.6</v>
      </c>
      <c r="O135" s="42" t="n">
        <v>41</v>
      </c>
      <c r="P135" s="42" t="n">
        <v>7</v>
      </c>
      <c r="Q135" s="47" t="inlineStr">
        <is>
          <t>Win</t>
        </is>
      </c>
      <c r="R135" s="42" t="n">
        <v>6.1</v>
      </c>
      <c r="S135" s="52" t="inlineStr">
        <is>
          <t>Win</t>
        </is>
      </c>
      <c r="T135" s="53" t="inlineStr">
        <is>
          <t>Loss</t>
        </is>
      </c>
      <c r="U135" s="53" t="inlineStr">
        <is>
          <t>Loss</t>
        </is>
      </c>
      <c r="V135" s="52" t="inlineStr">
        <is>
          <t>Win</t>
        </is>
      </c>
    </row>
    <row r="136">
      <c r="A136" s="42" t="n">
        <v>7</v>
      </c>
      <c r="B136" s="42" t="inlineStr">
        <is>
          <t>2026-10-15</t>
        </is>
      </c>
      <c r="C136" s="42" t="inlineStr">
        <is>
          <t>American Athletic</t>
        </is>
      </c>
      <c r="D136" s="42" t="inlineStr">
        <is>
          <t>American Athletic</t>
        </is>
      </c>
      <c r="E136" s="42" t="inlineStr">
        <is>
          <t>East Carolina</t>
        </is>
      </c>
      <c r="F136" s="42" t="inlineStr">
        <is>
          <t>UAB</t>
        </is>
      </c>
      <c r="G136" s="42" t="n">
        <v>9.1</v>
      </c>
      <c r="H136" s="42" t="n">
        <v>5.5</v>
      </c>
      <c r="I136" s="47" t="n">
        <v>-3.6</v>
      </c>
      <c r="J136" s="42" t="n">
        <v>5.1</v>
      </c>
      <c r="K136" s="42" t="n">
        <v>1.9</v>
      </c>
      <c r="L136" s="42" t="n">
        <v>47.2</v>
      </c>
      <c r="M136" s="42" t="n">
        <v>48.2</v>
      </c>
      <c r="N136" s="42" t="n">
        <v>-1.1</v>
      </c>
      <c r="O136" s="42" t="n">
        <v>17</v>
      </c>
      <c r="P136" s="42" t="n">
        <v>30</v>
      </c>
      <c r="Q136" s="48" t="inlineStr">
        <is>
          <t>Loss</t>
        </is>
      </c>
      <c r="R136" s="42" t="n">
        <v>6.3</v>
      </c>
      <c r="S136" s="53" t="inlineStr">
        <is>
          <t>Loss</t>
        </is>
      </c>
      <c r="T136" s="53" t="inlineStr">
        <is>
          <t>Loss</t>
        </is>
      </c>
      <c r="U136" s="53" t="inlineStr">
        <is>
          <t>Loss</t>
        </is>
      </c>
      <c r="V136" s="52" t="inlineStr">
        <is>
          <t>Win</t>
        </is>
      </c>
    </row>
    <row r="137">
      <c r="A137" s="42" t="n">
        <v>7</v>
      </c>
      <c r="B137" s="42" t="inlineStr">
        <is>
          <t>2026-10-16</t>
        </is>
      </c>
      <c r="C137" s="42" t="inlineStr">
        <is>
          <t>American Athletic</t>
        </is>
      </c>
      <c r="D137" s="42" t="inlineStr">
        <is>
          <t>American Athletic</t>
        </is>
      </c>
      <c r="E137" s="42" t="inlineStr">
        <is>
          <t>Memphis</t>
        </is>
      </c>
      <c r="F137" s="42" t="inlineStr">
        <is>
          <t>Tulane</t>
        </is>
      </c>
      <c r="G137" s="42" t="n">
        <v>2.3</v>
      </c>
      <c r="H137" s="42" t="n">
        <v>7</v>
      </c>
      <c r="I137" s="56" t="n">
        <v>4.7</v>
      </c>
      <c r="J137" s="42" t="n">
        <v>-0.2</v>
      </c>
      <c r="K137" s="42" t="n">
        <v>8.199999999999999</v>
      </c>
      <c r="L137" s="42" t="n">
        <v>56.4</v>
      </c>
      <c r="M137" s="42" t="n">
        <v>55.5</v>
      </c>
      <c r="N137" s="42" t="n">
        <v>0.9</v>
      </c>
      <c r="O137" s="42" t="n">
        <v>17</v>
      </c>
      <c r="P137" s="42" t="n">
        <v>31</v>
      </c>
      <c r="Q137" s="48" t="inlineStr">
        <is>
          <t>Loss</t>
        </is>
      </c>
      <c r="R137" s="42" t="n">
        <v>-2.8</v>
      </c>
      <c r="S137" s="52" t="inlineStr">
        <is>
          <t>Win</t>
        </is>
      </c>
      <c r="T137" s="52" t="inlineStr">
        <is>
          <t>Win</t>
        </is>
      </c>
      <c r="U137" s="52" t="inlineStr">
        <is>
          <t>Win</t>
        </is>
      </c>
      <c r="V137" s="53" t="inlineStr">
        <is>
          <t>Loss</t>
        </is>
      </c>
    </row>
    <row r="138">
      <c r="A138" s="42" t="n">
        <v>7</v>
      </c>
      <c r="B138" s="42" t="inlineStr">
        <is>
          <t>2026-10-17</t>
        </is>
      </c>
      <c r="C138" s="42" t="inlineStr">
        <is>
          <t>American Athletic</t>
        </is>
      </c>
      <c r="D138" s="42" t="inlineStr">
        <is>
          <t>American Athletic</t>
        </is>
      </c>
      <c r="E138" s="42" t="inlineStr">
        <is>
          <t>Florida Atlantic</t>
        </is>
      </c>
      <c r="F138" s="42" t="inlineStr">
        <is>
          <t>Army</t>
        </is>
      </c>
      <c r="G138" s="42" t="n">
        <v>-9.5</v>
      </c>
      <c r="H138" s="42" t="n">
        <v>-2.8</v>
      </c>
      <c r="I138" s="56" t="n">
        <v>6.7</v>
      </c>
      <c r="J138" s="42" t="n">
        <v>-2.9</v>
      </c>
      <c r="K138" s="42" t="n">
        <v>-6</v>
      </c>
      <c r="L138" s="42" t="n">
        <v>59.7</v>
      </c>
      <c r="M138" s="42" t="n">
        <v>54.8</v>
      </c>
      <c r="N138" s="47" t="n">
        <v>5</v>
      </c>
      <c r="O138" s="42" t="n">
        <v>24</v>
      </c>
      <c r="P138" s="42" t="n">
        <v>56</v>
      </c>
      <c r="Q138" s="47" t="inlineStr">
        <is>
          <t>Win</t>
        </is>
      </c>
      <c r="R138" s="42" t="n">
        <v>-12.1</v>
      </c>
      <c r="S138" s="52" t="inlineStr">
        <is>
          <t>Win</t>
        </is>
      </c>
      <c r="T138" s="52" t="inlineStr">
        <is>
          <t>Win</t>
        </is>
      </c>
      <c r="U138" s="52" t="inlineStr">
        <is>
          <t>Win</t>
        </is>
      </c>
      <c r="V138" s="52" t="inlineStr">
        <is>
          <t>Win</t>
        </is>
      </c>
    </row>
    <row r="139">
      <c r="A139" s="42" t="n">
        <v>7</v>
      </c>
      <c r="B139" s="42" t="inlineStr">
        <is>
          <t>2026-10-17</t>
        </is>
      </c>
      <c r="C139" s="42" t="inlineStr">
        <is>
          <t>American Athletic</t>
        </is>
      </c>
      <c r="D139" s="42" t="inlineStr">
        <is>
          <t>American Athletic</t>
        </is>
      </c>
      <c r="E139" s="42" t="inlineStr">
        <is>
          <t>Tulsa</t>
        </is>
      </c>
      <c r="F139" s="42" t="inlineStr">
        <is>
          <t>Rice</t>
        </is>
      </c>
      <c r="G139" s="42" t="n">
        <v>3</v>
      </c>
      <c r="H139" s="42" t="n">
        <v>4</v>
      </c>
      <c r="I139" s="42" t="n">
        <v>1</v>
      </c>
      <c r="J139" s="42" t="n">
        <v>-1.8</v>
      </c>
      <c r="K139" s="42" t="n">
        <v>6.6</v>
      </c>
      <c r="L139" s="42" t="n">
        <v>47.9</v>
      </c>
      <c r="M139" s="42" t="n">
        <v>46.5</v>
      </c>
      <c r="N139" s="42" t="n">
        <v>1.4</v>
      </c>
      <c r="O139" s="42" t="n">
        <v>38</v>
      </c>
      <c r="P139" s="42" t="n">
        <v>17</v>
      </c>
      <c r="Q139" s="47" t="inlineStr">
        <is>
          <t>Win</t>
        </is>
      </c>
      <c r="R139" s="42" t="n">
        <v>0.7</v>
      </c>
      <c r="S139" s="53" t="inlineStr">
        <is>
          <t>Loss</t>
        </is>
      </c>
      <c r="T139" s="53" t="inlineStr">
        <is>
          <t>Loss</t>
        </is>
      </c>
      <c r="U139" s="53" t="inlineStr">
        <is>
          <t>Loss</t>
        </is>
      </c>
      <c r="V139" s="52" t="inlineStr">
        <is>
          <t>Win</t>
        </is>
      </c>
    </row>
    <row r="140">
      <c r="A140" s="42" t="n">
        <v>7</v>
      </c>
      <c r="B140" s="42" t="inlineStr">
        <is>
          <t>2026-10-17</t>
        </is>
      </c>
      <c r="C140" s="42" t="inlineStr">
        <is>
          <t>American Athletic</t>
        </is>
      </c>
      <c r="D140" s="42" t="inlineStr">
        <is>
          <t>Mid-American</t>
        </is>
      </c>
      <c r="E140" s="42" t="inlineStr">
        <is>
          <t>Kent State</t>
        </is>
      </c>
      <c r="F140" s="42" t="inlineStr">
        <is>
          <t>South Florida</t>
        </is>
      </c>
      <c r="G140" s="42" t="n">
        <v>-19.7</v>
      </c>
      <c r="H140" s="42" t="n">
        <v>-20.8</v>
      </c>
      <c r="I140" s="42" t="n">
        <v>-1.1</v>
      </c>
      <c r="J140" s="42" t="n">
        <v>-22.4</v>
      </c>
      <c r="K140" s="42" t="n">
        <v>-20.5</v>
      </c>
      <c r="L140" s="42" t="n">
        <v>52.2</v>
      </c>
      <c r="M140" s="42" t="n">
        <v>45.5</v>
      </c>
      <c r="N140" s="47" t="n">
        <v>6.7</v>
      </c>
      <c r="O140" s="42" t="n">
        <v>2</v>
      </c>
      <c r="P140" s="42" t="n">
        <v>29</v>
      </c>
      <c r="Q140" s="47" t="inlineStr">
        <is>
          <t>Win</t>
        </is>
      </c>
      <c r="R140" s="42" t="n">
        <v>-15.2</v>
      </c>
      <c r="S140" s="53" t="inlineStr">
        <is>
          <t>Loss</t>
        </is>
      </c>
      <c r="T140" s="52" t="inlineStr">
        <is>
          <t>Win</t>
        </is>
      </c>
      <c r="U140" s="53" t="inlineStr">
        <is>
          <t>Loss</t>
        </is>
      </c>
      <c r="V140" s="52" t="inlineStr">
        <is>
          <t>Win</t>
        </is>
      </c>
    </row>
    <row r="141">
      <c r="A141" s="42" t="n">
        <v>7</v>
      </c>
      <c r="B141" s="42" t="inlineStr">
        <is>
          <t>2026-10-17</t>
        </is>
      </c>
      <c r="C141" s="42" t="inlineStr">
        <is>
          <t>American Athletic</t>
        </is>
      </c>
      <c r="D141" s="42" t="inlineStr">
        <is>
          <t>American Athletic</t>
        </is>
      </c>
      <c r="E141" s="42" t="inlineStr">
        <is>
          <t>Charlotte</t>
        </is>
      </c>
      <c r="F141" s="42" t="inlineStr">
        <is>
          <t>Temple</t>
        </is>
      </c>
      <c r="G141" s="42" t="n">
        <v>-12.1</v>
      </c>
      <c r="H141" s="42" t="n">
        <v>-20.8</v>
      </c>
      <c r="I141" s="56" t="n">
        <v>-8.699999999999999</v>
      </c>
      <c r="J141" s="42" t="n">
        <v>-12.7</v>
      </c>
      <c r="K141" s="42" t="n">
        <v>-19.8</v>
      </c>
      <c r="L141" s="42" t="n">
        <v>53.7</v>
      </c>
      <c r="M141" s="42" t="n">
        <v>46.8</v>
      </c>
      <c r="N141" s="47" t="n">
        <v>7</v>
      </c>
      <c r="O141" s="42" t="n">
        <v>38</v>
      </c>
      <c r="P141" s="42" t="n">
        <v>31</v>
      </c>
      <c r="Q141" s="48" t="inlineStr">
        <is>
          <t>Loss</t>
        </is>
      </c>
      <c r="R141" s="42" t="n">
        <v>-10.6</v>
      </c>
      <c r="S141" s="52" t="inlineStr">
        <is>
          <t>Win</t>
        </is>
      </c>
      <c r="T141" s="52" t="inlineStr">
        <is>
          <t>Win</t>
        </is>
      </c>
      <c r="U141" s="52" t="inlineStr">
        <is>
          <t>Win</t>
        </is>
      </c>
      <c r="V141" s="52" t="inlineStr">
        <is>
          <t>Win</t>
        </is>
      </c>
    </row>
    <row r="142">
      <c r="A142" s="42" t="n">
        <v>7</v>
      </c>
      <c r="B142" s="42" t="inlineStr">
        <is>
          <t>2026-10-18</t>
        </is>
      </c>
      <c r="C142" s="42" t="inlineStr">
        <is>
          <t>American Athletic</t>
        </is>
      </c>
      <c r="D142" s="42" t="inlineStr">
        <is>
          <t>American Athletic</t>
        </is>
      </c>
      <c r="E142" s="42" t="inlineStr">
        <is>
          <t>Navy</t>
        </is>
      </c>
      <c r="F142" s="42" t="inlineStr">
        <is>
          <t>UTSA</t>
        </is>
      </c>
      <c r="G142" s="42" t="n">
        <v>-3.3</v>
      </c>
      <c r="H142" s="42" t="n">
        <v>-6.8</v>
      </c>
      <c r="I142" s="47" t="n">
        <v>-3.5</v>
      </c>
      <c r="J142" s="42" t="n">
        <v>-12.7</v>
      </c>
      <c r="K142" s="42" t="n">
        <v>-5.6</v>
      </c>
      <c r="L142" s="42" t="n">
        <v>57</v>
      </c>
      <c r="M142" s="42" t="n">
        <v>55.5</v>
      </c>
      <c r="N142" s="42" t="n">
        <v>1.5</v>
      </c>
      <c r="O142" s="42" t="n">
        <v>34</v>
      </c>
      <c r="P142" s="42" t="n">
        <v>38</v>
      </c>
      <c r="Q142" s="47" t="inlineStr">
        <is>
          <t>Win</t>
        </is>
      </c>
      <c r="R142" s="42" t="n">
        <v>-12.5</v>
      </c>
      <c r="S142" s="52" t="inlineStr">
        <is>
          <t>Win</t>
        </is>
      </c>
      <c r="T142" s="53" t="inlineStr">
        <is>
          <t>Loss</t>
        </is>
      </c>
      <c r="U142" s="53" t="inlineStr">
        <is>
          <t>Loss</t>
        </is>
      </c>
      <c r="V142" s="52" t="inlineStr">
        <is>
          <t>Win</t>
        </is>
      </c>
    </row>
    <row r="143">
      <c r="A143" s="42" t="n">
        <v>7</v>
      </c>
      <c r="B143" s="42" t="inlineStr">
        <is>
          <t>2026-10-17</t>
        </is>
      </c>
      <c r="C143" s="42" t="inlineStr">
        <is>
          <t>Big 12</t>
        </is>
      </c>
      <c r="D143" s="42" t="inlineStr">
        <is>
          <t>FBS Independents</t>
        </is>
      </c>
      <c r="E143" s="42" t="inlineStr">
        <is>
          <t>Notre Dame</t>
        </is>
      </c>
      <c r="F143" s="42" t="inlineStr">
        <is>
          <t>BYU</t>
        </is>
      </c>
      <c r="G143" s="42" t="n">
        <v>6.2</v>
      </c>
      <c r="H143" s="42" t="n">
        <v>10.5</v>
      </c>
      <c r="I143" s="56" t="n">
        <v>4.3</v>
      </c>
      <c r="J143" s="42" t="n">
        <v>-6.9</v>
      </c>
      <c r="K143" s="42" t="n">
        <v>6.2</v>
      </c>
      <c r="L143" s="42" t="n">
        <v>54.1</v>
      </c>
      <c r="M143" s="42" t="n">
        <v>46.5</v>
      </c>
      <c r="N143" s="47" t="n">
        <v>7.6</v>
      </c>
      <c r="O143" s="42" t="n">
        <v>24</v>
      </c>
      <c r="P143" s="42" t="n">
        <v>28</v>
      </c>
      <c r="Q143" s="48" t="inlineStr">
        <is>
          <t>Loss</t>
        </is>
      </c>
      <c r="R143" s="42" t="n">
        <v>1.5</v>
      </c>
      <c r="S143" s="52" t="inlineStr">
        <is>
          <t>Win</t>
        </is>
      </c>
      <c r="T143" s="52" t="inlineStr">
        <is>
          <t>Win</t>
        </is>
      </c>
      <c r="U143" s="52" t="inlineStr">
        <is>
          <t>Win</t>
        </is>
      </c>
      <c r="V143" s="52" t="inlineStr">
        <is>
          <t>Win</t>
        </is>
      </c>
    </row>
    <row r="144">
      <c r="A144" s="42" t="n">
        <v>7</v>
      </c>
      <c r="B144" s="42" t="inlineStr">
        <is>
          <t>2026-10-17</t>
        </is>
      </c>
      <c r="C144" s="42" t="inlineStr">
        <is>
          <t>Big 12</t>
        </is>
      </c>
      <c r="D144" s="42" t="inlineStr">
        <is>
          <t>Big 12</t>
        </is>
      </c>
      <c r="E144" s="42" t="inlineStr">
        <is>
          <t>TCU</t>
        </is>
      </c>
      <c r="F144" s="42" t="inlineStr">
        <is>
          <t>Baylor</t>
        </is>
      </c>
      <c r="G144" s="42" t="n">
        <v>-3.6</v>
      </c>
      <c r="H144" s="42" t="n">
        <v>-6</v>
      </c>
      <c r="I144" s="47" t="n">
        <v>-2.4</v>
      </c>
      <c r="J144" s="42" t="n">
        <v>-5</v>
      </c>
      <c r="K144" s="42" t="n">
        <v>-6.4</v>
      </c>
      <c r="L144" s="42" t="n">
        <v>48.4</v>
      </c>
      <c r="M144" s="42" t="n">
        <v>48.2</v>
      </c>
      <c r="N144" s="42" t="n">
        <v>0.1</v>
      </c>
      <c r="O144" s="42" t="n">
        <v>17</v>
      </c>
      <c r="P144" s="42" t="n">
        <v>6</v>
      </c>
      <c r="Q144" s="48" t="inlineStr">
        <is>
          <t>Loss</t>
        </is>
      </c>
      <c r="R144" s="42" t="n">
        <v>-1.5</v>
      </c>
      <c r="S144" s="52" t="inlineStr">
        <is>
          <t>Win</t>
        </is>
      </c>
      <c r="T144" s="52" t="inlineStr">
        <is>
          <t>Win</t>
        </is>
      </c>
      <c r="U144" s="52" t="inlineStr">
        <is>
          <t>Win</t>
        </is>
      </c>
      <c r="V144" s="53" t="inlineStr">
        <is>
          <t>Loss</t>
        </is>
      </c>
    </row>
    <row r="145">
      <c r="A145" s="42" t="n">
        <v>7</v>
      </c>
      <c r="B145" s="42" t="inlineStr">
        <is>
          <t>2026-10-17</t>
        </is>
      </c>
      <c r="C145" s="42" t="inlineStr">
        <is>
          <t>Big 12</t>
        </is>
      </c>
      <c r="D145" s="42" t="inlineStr">
        <is>
          <t>Big 12</t>
        </is>
      </c>
      <c r="E145" s="42" t="inlineStr">
        <is>
          <t>Oklahoma State</t>
        </is>
      </c>
      <c r="F145" s="42" t="inlineStr">
        <is>
          <t>Houston</t>
        </is>
      </c>
      <c r="G145" s="42" t="n">
        <v>-15.8</v>
      </c>
      <c r="H145" s="42" t="n">
        <v>-4.8</v>
      </c>
      <c r="I145" s="56" t="n">
        <v>11</v>
      </c>
      <c r="J145" s="42" t="n">
        <v>-18.4</v>
      </c>
      <c r="K145" s="42" t="n">
        <v>-8.9</v>
      </c>
      <c r="L145" s="42" t="n">
        <v>54.4</v>
      </c>
      <c r="M145" s="42" t="n">
        <v>62.5</v>
      </c>
      <c r="N145" s="47" t="n">
        <v>-8.1</v>
      </c>
      <c r="O145" s="42" t="n">
        <v>32</v>
      </c>
      <c r="P145" s="42" t="n">
        <v>35</v>
      </c>
      <c r="Q145" s="47" t="inlineStr">
        <is>
          <t>Win</t>
        </is>
      </c>
      <c r="R145" s="42" t="n">
        <v>-14.9</v>
      </c>
      <c r="S145" s="53" t="inlineStr">
        <is>
          <t>Loss</t>
        </is>
      </c>
      <c r="T145" s="53" t="inlineStr">
        <is>
          <t>Loss</t>
        </is>
      </c>
      <c r="U145" s="53" t="inlineStr">
        <is>
          <t>Loss</t>
        </is>
      </c>
      <c r="V145" s="53" t="inlineStr">
        <is>
          <t>Loss</t>
        </is>
      </c>
    </row>
    <row r="146">
      <c r="A146" s="42" t="n">
        <v>7</v>
      </c>
      <c r="B146" s="42" t="inlineStr">
        <is>
          <t>2026-10-17</t>
        </is>
      </c>
      <c r="C146" s="42" t="inlineStr">
        <is>
          <t>Big 12</t>
        </is>
      </c>
      <c r="D146" s="42" t="inlineStr">
        <is>
          <t>Big 12</t>
        </is>
      </c>
      <c r="E146" s="42" t="inlineStr">
        <is>
          <t>Kansas</t>
        </is>
      </c>
      <c r="F146" s="42" t="inlineStr">
        <is>
          <t>Kansas State</t>
        </is>
      </c>
      <c r="G146" s="42" t="n">
        <v>-6.5</v>
      </c>
      <c r="H146" s="42" t="n">
        <v>-4.5</v>
      </c>
      <c r="I146" s="47" t="n">
        <v>2</v>
      </c>
      <c r="J146" s="42" t="n">
        <v>-10.3</v>
      </c>
      <c r="K146" s="42" t="n">
        <v>-1.6</v>
      </c>
      <c r="L146" s="42" t="n">
        <v>55</v>
      </c>
      <c r="M146" s="42" t="n">
        <v>55.5</v>
      </c>
      <c r="N146" s="42" t="n">
        <v>-0.5</v>
      </c>
      <c r="O146" s="42" t="n">
        <v>24</v>
      </c>
      <c r="P146" s="42" t="n">
        <v>35</v>
      </c>
      <c r="Q146" s="47" t="inlineStr">
        <is>
          <t>Win</t>
        </is>
      </c>
      <c r="R146" s="42" t="n">
        <v>-10.9</v>
      </c>
      <c r="S146" s="52" t="inlineStr">
        <is>
          <t>Win</t>
        </is>
      </c>
      <c r="T146" s="52" t="inlineStr">
        <is>
          <t>Win</t>
        </is>
      </c>
      <c r="U146" s="52" t="inlineStr">
        <is>
          <t>Win</t>
        </is>
      </c>
      <c r="V146" s="53" t="inlineStr">
        <is>
          <t>Loss</t>
        </is>
      </c>
    </row>
    <row r="147">
      <c r="A147" s="42" t="n">
        <v>7</v>
      </c>
      <c r="B147" s="42" t="inlineStr">
        <is>
          <t>2026-10-17</t>
        </is>
      </c>
      <c r="C147" s="42" t="inlineStr">
        <is>
          <t>Big 12</t>
        </is>
      </c>
      <c r="D147" s="42" t="inlineStr">
        <is>
          <t>Big 12</t>
        </is>
      </c>
      <c r="E147" s="42" t="inlineStr">
        <is>
          <t>Arizona State</t>
        </is>
      </c>
      <c r="F147" s="42" t="inlineStr">
        <is>
          <t>Texas Tech</t>
        </is>
      </c>
      <c r="G147" s="42" t="n">
        <v>-18.4</v>
      </c>
      <c r="H147" s="42" t="n">
        <v>-15.5</v>
      </c>
      <c r="I147" s="47" t="n">
        <v>2.9</v>
      </c>
      <c r="J147" s="42" t="n">
        <v>-16.8</v>
      </c>
      <c r="K147" s="42" t="n">
        <v>-16.8</v>
      </c>
      <c r="L147" s="42" t="n">
        <v>47.7</v>
      </c>
      <c r="M147" s="42" t="n">
        <v>48.8</v>
      </c>
      <c r="N147" s="42" t="n">
        <v>-1.1</v>
      </c>
      <c r="O147" s="42" t="n">
        <v>25</v>
      </c>
      <c r="P147" s="42" t="n">
        <v>53</v>
      </c>
      <c r="Q147" s="47" t="inlineStr">
        <is>
          <t>Win</t>
        </is>
      </c>
      <c r="R147" s="42" t="n">
        <v>-18</v>
      </c>
      <c r="S147" s="52" t="inlineStr">
        <is>
          <t>Win</t>
        </is>
      </c>
      <c r="T147" s="52" t="inlineStr">
        <is>
          <t>Win</t>
        </is>
      </c>
      <c r="U147" s="52" t="inlineStr">
        <is>
          <t>Win</t>
        </is>
      </c>
      <c r="V147" s="52" t="inlineStr">
        <is>
          <t>Win</t>
        </is>
      </c>
    </row>
    <row r="148">
      <c r="A148" s="42" t="n">
        <v>7</v>
      </c>
      <c r="B148" s="42" t="inlineStr">
        <is>
          <t>2026-10-17</t>
        </is>
      </c>
      <c r="C148" s="42" t="inlineStr">
        <is>
          <t>Big 12</t>
        </is>
      </c>
      <c r="D148" s="42" t="inlineStr">
        <is>
          <t>Big 12</t>
        </is>
      </c>
      <c r="E148" s="42" t="inlineStr">
        <is>
          <t>Cincinnati</t>
        </is>
      </c>
      <c r="F148" s="42" t="inlineStr">
        <is>
          <t>West Virginia</t>
        </is>
      </c>
      <c r="G148" s="42" t="n">
        <v>3.7</v>
      </c>
      <c r="H148" s="42" t="n">
        <v>-1.8</v>
      </c>
      <c r="I148" s="56" t="n">
        <v>-5.5</v>
      </c>
      <c r="J148" s="42" t="n">
        <v>-0.3</v>
      </c>
      <c r="K148" s="42" t="n">
        <v>-1.8</v>
      </c>
      <c r="L148" s="42" t="n">
        <v>56.8</v>
      </c>
      <c r="M148" s="42" t="n">
        <v>63.5</v>
      </c>
      <c r="N148" s="47" t="n">
        <v>-6.7</v>
      </c>
      <c r="O148" s="42" t="n">
        <v>42</v>
      </c>
      <c r="P148" s="42" t="n">
        <v>45</v>
      </c>
      <c r="Q148" s="48" t="inlineStr">
        <is>
          <t>Loss</t>
        </is>
      </c>
      <c r="R148" s="42" t="n">
        <v>-1.7</v>
      </c>
      <c r="S148" s="53" t="inlineStr">
        <is>
          <t>Loss</t>
        </is>
      </c>
      <c r="T148" s="53" t="inlineStr">
        <is>
          <t>Loss</t>
        </is>
      </c>
      <c r="U148" s="52" t="inlineStr">
        <is>
          <t>Win</t>
        </is>
      </c>
      <c r="V148" s="52" t="inlineStr">
        <is>
          <t>Win</t>
        </is>
      </c>
    </row>
    <row r="149">
      <c r="A149" s="42" t="n">
        <v>7</v>
      </c>
      <c r="B149" s="42" t="inlineStr">
        <is>
          <t>2026-10-18</t>
        </is>
      </c>
      <c r="C149" s="42" t="inlineStr">
        <is>
          <t>Big 12</t>
        </is>
      </c>
      <c r="D149" s="42" t="inlineStr">
        <is>
          <t>Big 12</t>
        </is>
      </c>
      <c r="E149" s="42" t="inlineStr">
        <is>
          <t>Utah</t>
        </is>
      </c>
      <c r="F149" s="42" t="inlineStr">
        <is>
          <t>Colorado</t>
        </is>
      </c>
      <c r="G149" s="42" t="n">
        <v>20.8</v>
      </c>
      <c r="H149" s="42" t="n">
        <v>15.5</v>
      </c>
      <c r="I149" s="56" t="n">
        <v>-5.3</v>
      </c>
      <c r="J149" s="42" t="n">
        <v>20.9</v>
      </c>
      <c r="K149" s="42" t="n">
        <v>18.1</v>
      </c>
      <c r="L149" s="42" t="n">
        <v>47.6</v>
      </c>
      <c r="M149" s="42" t="n">
        <v>49.5</v>
      </c>
      <c r="N149" s="42" t="n">
        <v>-1.9</v>
      </c>
      <c r="O149" s="42" t="n">
        <v>27</v>
      </c>
      <c r="P149" s="42" t="n">
        <v>24</v>
      </c>
      <c r="Q149" s="47" t="inlineStr">
        <is>
          <t>Win</t>
        </is>
      </c>
      <c r="R149" s="42" t="n">
        <v>19.8</v>
      </c>
      <c r="S149" s="53" t="inlineStr">
        <is>
          <t>Loss</t>
        </is>
      </c>
      <c r="T149" s="53" t="inlineStr">
        <is>
          <t>Loss</t>
        </is>
      </c>
      <c r="U149" s="53" t="inlineStr">
        <is>
          <t>Loss</t>
        </is>
      </c>
      <c r="V149" s="53" t="inlineStr">
        <is>
          <t>Loss</t>
        </is>
      </c>
    </row>
    <row r="150">
      <c r="A150" s="42" t="n">
        <v>7</v>
      </c>
      <c r="B150" s="42" t="inlineStr">
        <is>
          <t>2026-10-17</t>
        </is>
      </c>
      <c r="C150" s="42" t="inlineStr">
        <is>
          <t>Big Ten</t>
        </is>
      </c>
      <c r="D150" s="42" t="inlineStr">
        <is>
          <t>Big Ten</t>
        </is>
      </c>
      <c r="E150" s="42" t="inlineStr">
        <is>
          <t>Ohio State</t>
        </is>
      </c>
      <c r="F150" s="42" t="inlineStr">
        <is>
          <t>Indiana</t>
        </is>
      </c>
      <c r="G150" s="42" t="n">
        <v>-7.7</v>
      </c>
      <c r="H150" s="42" t="n">
        <v>3.5</v>
      </c>
      <c r="I150" s="56" t="n">
        <v>11.2</v>
      </c>
      <c r="J150" s="42" t="n">
        <v>2.4</v>
      </c>
      <c r="K150" s="42" t="n">
        <v>-1.2</v>
      </c>
      <c r="L150" s="42" t="n">
        <v>50.1</v>
      </c>
      <c r="M150" s="42" t="n">
        <v>50.2</v>
      </c>
      <c r="N150" s="42" t="n">
        <v>-0.2</v>
      </c>
      <c r="O150" s="42" t="n">
        <v>19</v>
      </c>
      <c r="P150" s="42" t="n">
        <v>15</v>
      </c>
      <c r="Q150" s="48" t="inlineStr">
        <is>
          <t>Loss</t>
        </is>
      </c>
      <c r="R150" s="42" t="n">
        <v>2.6</v>
      </c>
      <c r="S150" s="53" t="inlineStr">
        <is>
          <t>Loss</t>
        </is>
      </c>
      <c r="T150" s="53" t="inlineStr">
        <is>
          <t>Loss</t>
        </is>
      </c>
      <c r="U150" s="52" t="inlineStr">
        <is>
          <t>Win</t>
        </is>
      </c>
      <c r="V150" s="53" t="inlineStr">
        <is>
          <t>Loss</t>
        </is>
      </c>
    </row>
    <row r="151">
      <c r="A151" s="42" t="n">
        <v>7</v>
      </c>
      <c r="B151" s="42" t="inlineStr">
        <is>
          <t>2026-10-17</t>
        </is>
      </c>
      <c r="C151" s="42" t="inlineStr">
        <is>
          <t>Big Ten</t>
        </is>
      </c>
      <c r="D151" s="42" t="inlineStr">
        <is>
          <t>Big Ten</t>
        </is>
      </c>
      <c r="E151" s="42" t="inlineStr">
        <is>
          <t>Rutgers</t>
        </is>
      </c>
      <c r="F151" s="42" t="inlineStr">
        <is>
          <t>Maryland</t>
        </is>
      </c>
      <c r="G151" s="42" t="n">
        <v>-6.1</v>
      </c>
      <c r="H151" s="42" t="n">
        <v>-4.5</v>
      </c>
      <c r="I151" s="42" t="n">
        <v>1.6</v>
      </c>
      <c r="J151" s="42" t="n">
        <v>-0.1</v>
      </c>
      <c r="K151" s="42" t="n">
        <v>-7.6</v>
      </c>
      <c r="L151" s="42" t="n">
        <v>50.6</v>
      </c>
      <c r="M151" s="42" t="n">
        <v>56.8</v>
      </c>
      <c r="N151" s="47" t="n">
        <v>-6.1</v>
      </c>
      <c r="O151" s="42" t="n">
        <v>37</v>
      </c>
      <c r="P151" s="42" t="n">
        <v>30</v>
      </c>
      <c r="Q151" s="48" t="inlineStr">
        <is>
          <t>Loss</t>
        </is>
      </c>
      <c r="R151" s="42" t="n">
        <v>3.8</v>
      </c>
      <c r="S151" s="53" t="inlineStr">
        <is>
          <t>Loss</t>
        </is>
      </c>
      <c r="T151" s="52" t="inlineStr">
        <is>
          <t>Win</t>
        </is>
      </c>
      <c r="U151" s="52" t="inlineStr">
        <is>
          <t>Win</t>
        </is>
      </c>
      <c r="V151" s="53" t="inlineStr">
        <is>
          <t>Loss</t>
        </is>
      </c>
    </row>
    <row r="152">
      <c r="A152" s="42" t="n">
        <v>7</v>
      </c>
      <c r="B152" s="42" t="inlineStr">
        <is>
          <t>2026-10-17</t>
        </is>
      </c>
      <c r="C152" s="42" t="inlineStr">
        <is>
          <t>Big Ten</t>
        </is>
      </c>
      <c r="D152" s="42" t="inlineStr">
        <is>
          <t>Big Ten</t>
        </is>
      </c>
      <c r="E152" s="42" t="inlineStr">
        <is>
          <t>Penn State</t>
        </is>
      </c>
      <c r="F152" s="42" t="inlineStr">
        <is>
          <t>Michigan</t>
        </is>
      </c>
      <c r="G152" s="42" t="n">
        <v>-3</v>
      </c>
      <c r="H152" s="42" t="n">
        <v>-7</v>
      </c>
      <c r="I152" s="56" t="n">
        <v>-4</v>
      </c>
      <c r="J152" s="42" t="n">
        <v>-10.2</v>
      </c>
      <c r="K152" s="42" t="n">
        <v>2.9</v>
      </c>
      <c r="L152" s="42" t="n">
        <v>44.3</v>
      </c>
      <c r="M152" s="42" t="n">
        <v>42.8</v>
      </c>
      <c r="N152" s="42" t="n">
        <v>1.6</v>
      </c>
      <c r="O152" s="42" t="n">
        <v>18</v>
      </c>
      <c r="P152" s="42" t="n">
        <v>21</v>
      </c>
      <c r="Q152" s="47" t="inlineStr">
        <is>
          <t>Win</t>
        </is>
      </c>
      <c r="R152" s="42" t="n">
        <v>-8.699999999999999</v>
      </c>
      <c r="S152" s="52" t="inlineStr">
        <is>
          <t>Win</t>
        </is>
      </c>
      <c r="T152" s="53" t="inlineStr">
        <is>
          <t>Loss</t>
        </is>
      </c>
      <c r="U152" s="53" t="inlineStr">
        <is>
          <t>Loss</t>
        </is>
      </c>
      <c r="V152" s="52" t="inlineStr">
        <is>
          <t>Win</t>
        </is>
      </c>
    </row>
    <row r="153">
      <c r="A153" s="42" t="n">
        <v>7</v>
      </c>
      <c r="B153" s="42" t="inlineStr">
        <is>
          <t>2026-10-17</t>
        </is>
      </c>
      <c r="C153" s="42" t="inlineStr">
        <is>
          <t>Big Ten</t>
        </is>
      </c>
      <c r="D153" s="42" t="inlineStr">
        <is>
          <t>Big Ten</t>
        </is>
      </c>
      <c r="E153" s="42" t="inlineStr">
        <is>
          <t>Northwestern</t>
        </is>
      </c>
      <c r="F153" s="42" t="inlineStr">
        <is>
          <t>Michigan State</t>
        </is>
      </c>
      <c r="G153" s="42" t="n">
        <v>7.5</v>
      </c>
      <c r="H153" s="42" t="n">
        <v>7.2</v>
      </c>
      <c r="I153" s="42" t="n">
        <v>-0.3</v>
      </c>
      <c r="J153" s="42" t="n">
        <v>12.9</v>
      </c>
      <c r="K153" s="42" t="n">
        <v>8.800000000000001</v>
      </c>
      <c r="L153" s="42" t="n">
        <v>51.2</v>
      </c>
      <c r="M153" s="42" t="n">
        <v>49.2</v>
      </c>
      <c r="N153" s="42" t="n">
        <v>1.9</v>
      </c>
      <c r="O153" s="42" t="n">
        <v>24</v>
      </c>
      <c r="P153" s="42" t="n">
        <v>21</v>
      </c>
      <c r="Q153" s="47" t="inlineStr">
        <is>
          <t>Win</t>
        </is>
      </c>
      <c r="R153" s="42" t="n">
        <v>10.5</v>
      </c>
      <c r="S153" s="53" t="inlineStr">
        <is>
          <t>Loss</t>
        </is>
      </c>
      <c r="T153" s="53" t="inlineStr">
        <is>
          <t>Loss</t>
        </is>
      </c>
      <c r="U153" s="53" t="inlineStr">
        <is>
          <t>Loss</t>
        </is>
      </c>
      <c r="V153" s="53" t="inlineStr">
        <is>
          <t>Loss</t>
        </is>
      </c>
    </row>
    <row r="154">
      <c r="A154" s="42" t="n">
        <v>7</v>
      </c>
      <c r="B154" s="42" t="inlineStr">
        <is>
          <t>2026-10-17</t>
        </is>
      </c>
      <c r="C154" s="42" t="inlineStr">
        <is>
          <t>Big Ten</t>
        </is>
      </c>
      <c r="D154" s="42" t="inlineStr">
        <is>
          <t>Big Ten</t>
        </is>
      </c>
      <c r="E154" s="42" t="inlineStr">
        <is>
          <t>Washington</t>
        </is>
      </c>
      <c r="F154" s="42" t="inlineStr">
        <is>
          <t>Purdue</t>
        </is>
      </c>
      <c r="G154" s="42" t="n">
        <v>5.9</v>
      </c>
      <c r="H154" s="42" t="n">
        <v>-3.5</v>
      </c>
      <c r="I154" s="56" t="n">
        <v>-9.4</v>
      </c>
      <c r="J154" s="42" t="n">
        <v>8.4</v>
      </c>
      <c r="K154" s="42" t="n">
        <v>-7.1</v>
      </c>
      <c r="L154" s="42" t="n">
        <v>52.4</v>
      </c>
      <c r="M154" s="42" t="n">
        <v>50.5</v>
      </c>
      <c r="N154" s="42" t="n">
        <v>1.9</v>
      </c>
      <c r="O154" s="42" t="n">
        <v>38</v>
      </c>
      <c r="P154" s="42" t="n">
        <v>26</v>
      </c>
      <c r="Q154" s="47" t="inlineStr">
        <is>
          <t>Win</t>
        </is>
      </c>
      <c r="R154" s="42" t="n">
        <v>11</v>
      </c>
      <c r="S154" s="52" t="inlineStr">
        <is>
          <t>Win</t>
        </is>
      </c>
      <c r="T154" s="52" t="inlineStr">
        <is>
          <t>Win</t>
        </is>
      </c>
      <c r="U154" s="52" t="inlineStr">
        <is>
          <t>Win</t>
        </is>
      </c>
      <c r="V154" s="53" t="inlineStr">
        <is>
          <t>Loss</t>
        </is>
      </c>
    </row>
    <row r="155">
      <c r="A155" s="42" t="n">
        <v>7</v>
      </c>
      <c r="B155" s="42" t="inlineStr">
        <is>
          <t>2026-10-17</t>
        </is>
      </c>
      <c r="C155" s="42" t="inlineStr">
        <is>
          <t>Big Ten</t>
        </is>
      </c>
      <c r="D155" s="42" t="inlineStr">
        <is>
          <t>Big Ten</t>
        </is>
      </c>
      <c r="E155" s="42" t="inlineStr">
        <is>
          <t>Wisconsin</t>
        </is>
      </c>
      <c r="F155" s="42" t="inlineStr">
        <is>
          <t>UCLA</t>
        </is>
      </c>
      <c r="G155" s="42" t="n">
        <v>-3.9</v>
      </c>
      <c r="H155" s="42" t="n">
        <v>-2.5</v>
      </c>
      <c r="I155" s="42" t="n">
        <v>1.4</v>
      </c>
      <c r="J155" s="42" t="n">
        <v>-5.4</v>
      </c>
      <c r="K155" s="42" t="n">
        <v>-7.1</v>
      </c>
      <c r="L155" s="42" t="n">
        <v>41.5</v>
      </c>
      <c r="M155" s="42" t="n">
        <v>42.8</v>
      </c>
      <c r="N155" s="42" t="n">
        <v>-1.2</v>
      </c>
      <c r="O155" s="42" t="n">
        <v>7</v>
      </c>
      <c r="P155" s="42" t="n">
        <v>17</v>
      </c>
      <c r="Q155" s="47" t="inlineStr">
        <is>
          <t>Win</t>
        </is>
      </c>
      <c r="R155" s="42" t="n">
        <v>-8.199999999999999</v>
      </c>
      <c r="S155" s="52" t="inlineStr">
        <is>
          <t>Win</t>
        </is>
      </c>
      <c r="T155" s="52" t="inlineStr">
        <is>
          <t>Win</t>
        </is>
      </c>
      <c r="U155" s="52" t="inlineStr">
        <is>
          <t>Win</t>
        </is>
      </c>
      <c r="V155" s="52" t="inlineStr">
        <is>
          <t>Win</t>
        </is>
      </c>
    </row>
    <row r="156">
      <c r="A156" s="42" t="n">
        <v>7</v>
      </c>
      <c r="B156" s="42" t="inlineStr">
        <is>
          <t>2026-10-18</t>
        </is>
      </c>
      <c r="C156" s="42" t="inlineStr">
        <is>
          <t>Big Ten</t>
        </is>
      </c>
      <c r="D156" s="42" t="inlineStr">
        <is>
          <t>Big Ten</t>
        </is>
      </c>
      <c r="E156" s="42" t="inlineStr">
        <is>
          <t>Nebraska</t>
        </is>
      </c>
      <c r="F156" s="42" t="inlineStr">
        <is>
          <t>Oregon</t>
        </is>
      </c>
      <c r="G156" s="42" t="n">
        <v>-5.4</v>
      </c>
      <c r="H156" s="42" t="n">
        <v>-7</v>
      </c>
      <c r="I156" s="42" t="n">
        <v>-1.6</v>
      </c>
      <c r="J156" s="42" t="n">
        <v>-18.1</v>
      </c>
      <c r="K156" s="42" t="n">
        <v>-1.4</v>
      </c>
      <c r="L156" s="42" t="n">
        <v>49.5</v>
      </c>
      <c r="M156" s="42" t="n">
        <v>51.8</v>
      </c>
      <c r="N156" s="47" t="n">
        <v>-2.3</v>
      </c>
      <c r="O156" s="42" t="n">
        <v>14</v>
      </c>
      <c r="P156" s="42" t="n">
        <v>17</v>
      </c>
      <c r="Q156" s="47" t="inlineStr">
        <is>
          <t>Win</t>
        </is>
      </c>
      <c r="R156" s="42" t="n">
        <v>-13.1</v>
      </c>
      <c r="S156" s="52" t="inlineStr">
        <is>
          <t>Win</t>
        </is>
      </c>
      <c r="T156" s="53" t="inlineStr">
        <is>
          <t>Loss</t>
        </is>
      </c>
      <c r="U156" s="53" t="inlineStr">
        <is>
          <t>Loss</t>
        </is>
      </c>
      <c r="V156" s="52" t="inlineStr">
        <is>
          <t>Win</t>
        </is>
      </c>
    </row>
    <row r="157">
      <c r="A157" s="42" t="n">
        <v>7</v>
      </c>
      <c r="B157" s="42" t="inlineStr">
        <is>
          <t>2026-10-13</t>
        </is>
      </c>
      <c r="C157" s="42" t="inlineStr">
        <is>
          <t>Conference USA</t>
        </is>
      </c>
      <c r="D157" s="42" t="inlineStr">
        <is>
          <t>Conference USA</t>
        </is>
      </c>
      <c r="E157" s="42" t="inlineStr">
        <is>
          <t>Delaware</t>
        </is>
      </c>
      <c r="F157" s="42" t="inlineStr">
        <is>
          <t>Middle Tennessee</t>
        </is>
      </c>
      <c r="G157" s="42" t="n">
        <v>-1.3</v>
      </c>
      <c r="H157" s="42" t="n">
        <v>1.2</v>
      </c>
      <c r="I157" s="47" t="n">
        <v>2.5</v>
      </c>
      <c r="J157" s="42" t="n">
        <v>5.6</v>
      </c>
      <c r="K157" s="42" t="n">
        <v>1.6</v>
      </c>
      <c r="L157" s="42" t="n">
        <v>53.1</v>
      </c>
      <c r="M157" s="42" t="n">
        <v>49.5</v>
      </c>
      <c r="N157" s="47" t="n">
        <v>3.6</v>
      </c>
      <c r="O157" s="42" t="n">
        <v>30</v>
      </c>
      <c r="P157" s="42" t="n">
        <v>33</v>
      </c>
      <c r="Q157" s="47" t="inlineStr">
        <is>
          <t>Win</t>
        </is>
      </c>
      <c r="R157" s="42" t="n">
        <v>5.8</v>
      </c>
      <c r="S157" s="52" t="inlineStr">
        <is>
          <t>Win</t>
        </is>
      </c>
      <c r="T157" s="53" t="inlineStr">
        <is>
          <t>Loss</t>
        </is>
      </c>
      <c r="U157" s="53" t="inlineStr">
        <is>
          <t>Loss</t>
        </is>
      </c>
      <c r="V157" s="53" t="inlineStr">
        <is>
          <t>Loss</t>
        </is>
      </c>
    </row>
    <row r="158">
      <c r="A158" s="42" t="n">
        <v>7</v>
      </c>
      <c r="B158" s="42" t="inlineStr">
        <is>
          <t>2026-10-14</t>
        </is>
      </c>
      <c r="C158" s="42" t="inlineStr">
        <is>
          <t>Conference USA</t>
        </is>
      </c>
      <c r="D158" s="42" t="inlineStr">
        <is>
          <t>Conference USA</t>
        </is>
      </c>
      <c r="E158" s="42" t="inlineStr">
        <is>
          <t>Florida International</t>
        </is>
      </c>
      <c r="F158" s="42" t="inlineStr">
        <is>
          <t>Jacksonville State</t>
        </is>
      </c>
      <c r="G158" s="42" t="n">
        <v>-4</v>
      </c>
      <c r="H158" s="42" t="n">
        <v>-3</v>
      </c>
      <c r="I158" s="42" t="n">
        <v>1</v>
      </c>
      <c r="J158" s="42" t="n">
        <v>-10</v>
      </c>
      <c r="K158" s="42" t="n">
        <v>-3</v>
      </c>
      <c r="L158" s="42" t="n">
        <v>50.3</v>
      </c>
      <c r="M158" s="42" t="n">
        <v>44.2</v>
      </c>
      <c r="N158" s="47" t="n">
        <v>6.1</v>
      </c>
      <c r="O158" s="42" t="n">
        <v>24</v>
      </c>
      <c r="P158" s="42" t="n">
        <v>27</v>
      </c>
      <c r="Q158" s="47" t="inlineStr">
        <is>
          <t>Win</t>
        </is>
      </c>
      <c r="R158" s="42" t="n">
        <v>-11.7</v>
      </c>
      <c r="S158" s="54" t="inlineStr">
        <is>
          <t>Push</t>
        </is>
      </c>
      <c r="T158" s="54" t="inlineStr">
        <is>
          <t>Push</t>
        </is>
      </c>
      <c r="U158" s="54" t="inlineStr">
        <is>
          <t>Push</t>
        </is>
      </c>
      <c r="V158" s="54" t="inlineStr">
        <is>
          <t>Push</t>
        </is>
      </c>
    </row>
    <row r="159">
      <c r="A159" s="42" t="n">
        <v>7</v>
      </c>
      <c r="B159" s="42" t="inlineStr">
        <is>
          <t>2026-10-14</t>
        </is>
      </c>
      <c r="C159" s="42" t="inlineStr">
        <is>
          <t>Conference USA</t>
        </is>
      </c>
      <c r="D159" s="42" t="inlineStr">
        <is>
          <t>Conference USA</t>
        </is>
      </c>
      <c r="E159" s="42" t="inlineStr">
        <is>
          <t>Kennesaw State</t>
        </is>
      </c>
      <c r="F159" s="42" t="inlineStr">
        <is>
          <t>Missouri State</t>
        </is>
      </c>
      <c r="G159" s="42" t="n">
        <v>-0.7</v>
      </c>
      <c r="H159" s="42" t="n">
        <v>2.5</v>
      </c>
      <c r="I159" s="47" t="n">
        <v>3.2</v>
      </c>
      <c r="J159" s="42" t="n">
        <v>-1.1</v>
      </c>
      <c r="K159" s="42" t="n">
        <v>7.1</v>
      </c>
      <c r="L159" s="42" t="n">
        <v>54.6</v>
      </c>
      <c r="M159" s="42" t="n">
        <v>52.5</v>
      </c>
      <c r="N159" s="47" t="n">
        <v>2.1</v>
      </c>
      <c r="O159" s="42" t="n">
        <v>21</v>
      </c>
      <c r="P159" s="42" t="n">
        <v>24</v>
      </c>
      <c r="Q159" s="47" t="inlineStr">
        <is>
          <t>Win</t>
        </is>
      </c>
      <c r="R159" s="42" t="n">
        <v>-0.5</v>
      </c>
      <c r="S159" s="52" t="inlineStr">
        <is>
          <t>Win</t>
        </is>
      </c>
      <c r="T159" s="52" t="inlineStr">
        <is>
          <t>Win</t>
        </is>
      </c>
      <c r="U159" s="52" t="inlineStr">
        <is>
          <t>Win</t>
        </is>
      </c>
      <c r="V159" s="53" t="inlineStr">
        <is>
          <t>Loss</t>
        </is>
      </c>
    </row>
    <row r="160">
      <c r="A160" s="42" t="n">
        <v>7</v>
      </c>
      <c r="B160" s="42" t="inlineStr">
        <is>
          <t>2026-10-15</t>
        </is>
      </c>
      <c r="C160" s="42" t="inlineStr">
        <is>
          <t>Conference USA</t>
        </is>
      </c>
      <c r="D160" s="42" t="inlineStr">
        <is>
          <t>Conference USA</t>
        </is>
      </c>
      <c r="E160" s="42" t="inlineStr">
        <is>
          <t>Western Kentucky</t>
        </is>
      </c>
      <c r="F160" s="42" t="inlineStr">
        <is>
          <t>Sam Houston</t>
        </is>
      </c>
      <c r="G160" s="42" t="n">
        <v>10.1</v>
      </c>
      <c r="H160" s="42" t="n">
        <v>1.2</v>
      </c>
      <c r="I160" s="56" t="n">
        <v>-8.9</v>
      </c>
      <c r="J160" s="42" t="n">
        <v>7.2</v>
      </c>
      <c r="K160" s="42" t="n">
        <v>-9.9</v>
      </c>
      <c r="L160" s="42" t="n">
        <v>52.5</v>
      </c>
      <c r="M160" s="42" t="n">
        <v>53.5</v>
      </c>
      <c r="N160" s="42" t="n">
        <v>-1</v>
      </c>
      <c r="O160" s="42" t="n">
        <v>16</v>
      </c>
      <c r="P160" s="42" t="n">
        <v>3</v>
      </c>
      <c r="Q160" s="47" t="inlineStr">
        <is>
          <t>Win</t>
        </is>
      </c>
      <c r="R160" s="42" t="n">
        <v>7</v>
      </c>
      <c r="S160" s="52" t="inlineStr">
        <is>
          <t>Win</t>
        </is>
      </c>
      <c r="T160" s="52" t="inlineStr">
        <is>
          <t>Win</t>
        </is>
      </c>
      <c r="U160" s="52" t="inlineStr">
        <is>
          <t>Win</t>
        </is>
      </c>
      <c r="V160" s="53" t="inlineStr">
        <is>
          <t>Loss</t>
        </is>
      </c>
    </row>
    <row r="161">
      <c r="A161" s="42" t="n">
        <v>7</v>
      </c>
      <c r="B161" s="42" t="inlineStr">
        <is>
          <t>2026-10-17</t>
        </is>
      </c>
      <c r="C161" s="42" t="inlineStr">
        <is>
          <t>Mid-American</t>
        </is>
      </c>
      <c r="D161" s="42" t="inlineStr">
        <is>
          <t>Mid-American</t>
        </is>
      </c>
      <c r="E161" s="42" t="inlineStr">
        <is>
          <t>Ball State</t>
        </is>
      </c>
      <c r="F161" s="42" t="inlineStr">
        <is>
          <t>Bowling Green</t>
        </is>
      </c>
      <c r="G161" s="42" t="n">
        <v>-11.3</v>
      </c>
      <c r="H161" s="42" t="n">
        <v>-6.5</v>
      </c>
      <c r="I161" s="56" t="n">
        <v>4.8</v>
      </c>
      <c r="J161" s="42" t="n">
        <v>-8.300000000000001</v>
      </c>
      <c r="K161" s="42" t="n">
        <v>-6.6</v>
      </c>
      <c r="L161" s="42" t="n">
        <v>48.7</v>
      </c>
      <c r="M161" s="42" t="n">
        <v>47.5</v>
      </c>
      <c r="N161" s="42" t="n">
        <v>1.2</v>
      </c>
      <c r="O161" s="42" t="n">
        <v>32</v>
      </c>
      <c r="P161" s="42" t="n">
        <v>31</v>
      </c>
      <c r="Q161" s="48" t="inlineStr">
        <is>
          <t>Loss</t>
        </is>
      </c>
      <c r="R161" s="42" t="n">
        <v>-4.8</v>
      </c>
      <c r="S161" s="53" t="inlineStr">
        <is>
          <t>Loss</t>
        </is>
      </c>
      <c r="T161" s="53" t="inlineStr">
        <is>
          <t>Loss</t>
        </is>
      </c>
      <c r="U161" s="52" t="inlineStr">
        <is>
          <t>Win</t>
        </is>
      </c>
      <c r="V161" s="53" t="inlineStr">
        <is>
          <t>Loss</t>
        </is>
      </c>
    </row>
    <row r="162">
      <c r="A162" s="42" t="n">
        <v>7</v>
      </c>
      <c r="B162" s="42" t="inlineStr">
        <is>
          <t>2026-10-17</t>
        </is>
      </c>
      <c r="C162" s="42" t="inlineStr">
        <is>
          <t>Mid-American</t>
        </is>
      </c>
      <c r="D162" s="42" t="inlineStr">
        <is>
          <t>Mid-American</t>
        </is>
      </c>
      <c r="E162" s="42" t="inlineStr">
        <is>
          <t>Massachusetts</t>
        </is>
      </c>
      <c r="F162" s="42" t="inlineStr">
        <is>
          <t>Buffalo</t>
        </is>
      </c>
      <c r="G162" s="42" t="n">
        <v>-12.3</v>
      </c>
      <c r="H162" s="42" t="n">
        <v>-6.2</v>
      </c>
      <c r="I162" s="56" t="n">
        <v>6.1</v>
      </c>
      <c r="J162" s="42" t="n">
        <v>-11.3</v>
      </c>
      <c r="K162" s="42" t="n">
        <v>4.3</v>
      </c>
      <c r="L162" s="42" t="n">
        <v>48.4</v>
      </c>
      <c r="M162" s="42" t="n">
        <v>41.5</v>
      </c>
      <c r="N162" s="47" t="n">
        <v>6.9</v>
      </c>
      <c r="O162" s="42" t="n">
        <v>18</v>
      </c>
      <c r="P162" s="42" t="n">
        <v>25</v>
      </c>
      <c r="Q162" s="47" t="inlineStr">
        <is>
          <t>Win</t>
        </is>
      </c>
      <c r="R162" s="42" t="n">
        <v>-14</v>
      </c>
      <c r="S162" s="52" t="inlineStr">
        <is>
          <t>Win</t>
        </is>
      </c>
      <c r="T162" s="52" t="inlineStr">
        <is>
          <t>Win</t>
        </is>
      </c>
      <c r="U162" s="52" t="inlineStr">
        <is>
          <t>Win</t>
        </is>
      </c>
      <c r="V162" s="53" t="inlineStr">
        <is>
          <t>Loss</t>
        </is>
      </c>
    </row>
    <row r="163">
      <c r="A163" s="42" t="n">
        <v>7</v>
      </c>
      <c r="B163" s="42" t="inlineStr">
        <is>
          <t>2026-10-17</t>
        </is>
      </c>
      <c r="C163" s="42" t="inlineStr">
        <is>
          <t>Mid-American</t>
        </is>
      </c>
      <c r="D163" s="42" t="inlineStr">
        <is>
          <t>Mid-American</t>
        </is>
      </c>
      <c r="E163" s="42" t="inlineStr">
        <is>
          <t>Western Michigan</t>
        </is>
      </c>
      <c r="F163" s="42" t="inlineStr">
        <is>
          <t>Central Michigan</t>
        </is>
      </c>
      <c r="G163" s="42" t="n">
        <v>8.300000000000001</v>
      </c>
      <c r="H163" s="42" t="n">
        <v>6.5</v>
      </c>
      <c r="I163" s="42" t="n">
        <v>-1.8</v>
      </c>
      <c r="J163" s="42" t="n">
        <v>9.9</v>
      </c>
      <c r="K163" s="42" t="n">
        <v>5.6</v>
      </c>
      <c r="L163" s="42" t="n">
        <v>46.8</v>
      </c>
      <c r="M163" s="42" t="n">
        <v>43.2</v>
      </c>
      <c r="N163" s="47" t="n">
        <v>3.6</v>
      </c>
      <c r="O163" s="42" t="n">
        <v>21</v>
      </c>
      <c r="P163" s="42" t="n">
        <v>14</v>
      </c>
      <c r="Q163" s="47" t="inlineStr">
        <is>
          <t>Win</t>
        </is>
      </c>
      <c r="R163" s="42" t="n">
        <v>6.3</v>
      </c>
      <c r="S163" s="52" t="inlineStr">
        <is>
          <t>Win</t>
        </is>
      </c>
      <c r="T163" s="52" t="inlineStr">
        <is>
          <t>Win</t>
        </is>
      </c>
      <c r="U163" s="52" t="inlineStr">
        <is>
          <t>Win</t>
        </is>
      </c>
      <c r="V163" s="52" t="inlineStr">
        <is>
          <t>Win</t>
        </is>
      </c>
    </row>
    <row r="164">
      <c r="A164" s="42" t="n">
        <v>7</v>
      </c>
      <c r="B164" s="42" t="inlineStr">
        <is>
          <t>2026-10-17</t>
        </is>
      </c>
      <c r="C164" s="42" t="inlineStr">
        <is>
          <t>Mid-American</t>
        </is>
      </c>
      <c r="D164" s="42" t="inlineStr">
        <is>
          <t>Mid-American</t>
        </is>
      </c>
      <c r="E164" s="42" t="inlineStr">
        <is>
          <t>Toledo</t>
        </is>
      </c>
      <c r="F164" s="42" t="inlineStr">
        <is>
          <t>Eastern Michigan</t>
        </is>
      </c>
      <c r="G164" s="42" t="n">
        <v>11.1</v>
      </c>
      <c r="H164" s="42" t="n">
        <v>6.5</v>
      </c>
      <c r="I164" s="56" t="n">
        <v>-4.6</v>
      </c>
      <c r="J164" s="42" t="n">
        <v>1</v>
      </c>
      <c r="K164" s="42" t="n">
        <v>4.9</v>
      </c>
      <c r="L164" s="42" t="n">
        <v>49.4</v>
      </c>
      <c r="M164" s="42" t="n">
        <v>53.5</v>
      </c>
      <c r="N164" s="47" t="n">
        <v>-4.1</v>
      </c>
      <c r="O164" s="42" t="n">
        <v>34</v>
      </c>
      <c r="P164" s="42" t="n">
        <v>14</v>
      </c>
      <c r="Q164" s="47" t="inlineStr">
        <is>
          <t>Win</t>
        </is>
      </c>
      <c r="R164" s="42" t="n">
        <v>1.5</v>
      </c>
      <c r="S164" s="52" t="inlineStr">
        <is>
          <t>Win</t>
        </is>
      </c>
      <c r="T164" s="53" t="inlineStr">
        <is>
          <t>Loss</t>
        </is>
      </c>
      <c r="U164" s="53" t="inlineStr">
        <is>
          <t>Loss</t>
        </is>
      </c>
      <c r="V164" s="53" t="inlineStr">
        <is>
          <t>Loss</t>
        </is>
      </c>
    </row>
    <row r="165">
      <c r="A165" s="42" t="n">
        <v>7</v>
      </c>
      <c r="B165" s="42" t="inlineStr">
        <is>
          <t>2026-10-17</t>
        </is>
      </c>
      <c r="C165" s="42" t="inlineStr">
        <is>
          <t>Mid-American</t>
        </is>
      </c>
      <c r="D165" s="42" t="inlineStr">
        <is>
          <t>Mid-American</t>
        </is>
      </c>
      <c r="E165" s="42" t="inlineStr">
        <is>
          <t>Akron</t>
        </is>
      </c>
      <c r="F165" s="42" t="inlineStr">
        <is>
          <t>Miami (OH)</t>
        </is>
      </c>
      <c r="G165" s="42" t="n">
        <v>-7.9</v>
      </c>
      <c r="H165" s="42" t="n">
        <v>-9.800000000000001</v>
      </c>
      <c r="I165" s="42" t="n">
        <v>-1.9</v>
      </c>
      <c r="J165" s="42" t="n">
        <v>-11.7</v>
      </c>
      <c r="K165" s="42" t="n">
        <v>-12</v>
      </c>
      <c r="L165" s="42" t="n">
        <v>51.9</v>
      </c>
      <c r="M165" s="42" t="n">
        <v>46.5</v>
      </c>
      <c r="N165" s="47" t="n">
        <v>5.4</v>
      </c>
      <c r="O165" s="42" t="n">
        <v>14</v>
      </c>
      <c r="P165" s="42" t="n">
        <v>34</v>
      </c>
      <c r="Q165" s="47" t="inlineStr">
        <is>
          <t>Win</t>
        </is>
      </c>
      <c r="R165" s="42" t="n">
        <v>-9.4</v>
      </c>
      <c r="S165" s="53" t="inlineStr">
        <is>
          <t>Loss</t>
        </is>
      </c>
      <c r="T165" s="52" t="inlineStr">
        <is>
          <t>Win</t>
        </is>
      </c>
      <c r="U165" s="52" t="inlineStr">
        <is>
          <t>Win</t>
        </is>
      </c>
      <c r="V165" s="52" t="inlineStr">
        <is>
          <t>Win</t>
        </is>
      </c>
    </row>
    <row r="166">
      <c r="A166" s="42" t="n">
        <v>7</v>
      </c>
      <c r="B166" s="42" t="inlineStr">
        <is>
          <t>2026-10-18</t>
        </is>
      </c>
      <c r="C166" s="42" t="inlineStr">
        <is>
          <t>Mid-American</t>
        </is>
      </c>
      <c r="D166" s="42" t="inlineStr">
        <is>
          <t>Mid-American</t>
        </is>
      </c>
      <c r="E166" s="42" t="inlineStr">
        <is>
          <t>Ohio</t>
        </is>
      </c>
      <c r="F166" s="42" t="inlineStr">
        <is>
          <t>Sacramento State</t>
        </is>
      </c>
      <c r="G166" s="42" t="n">
        <v>19.6</v>
      </c>
      <c r="H166" s="42" t="n">
        <v>15.2</v>
      </c>
      <c r="I166" s="56" t="n">
        <v>-4.4</v>
      </c>
      <c r="J166" s="42" t="n">
        <v>16.4</v>
      </c>
      <c r="K166" s="42" t="n">
        <v>11</v>
      </c>
      <c r="L166" s="42" t="n">
        <v>49.8</v>
      </c>
      <c r="M166" s="42" t="n">
        <v>48.2</v>
      </c>
      <c r="N166" s="42" t="n">
        <v>1.5</v>
      </c>
      <c r="O166" s="42" t="n">
        <v>48</v>
      </c>
      <c r="P166" s="42" t="n">
        <v>7</v>
      </c>
      <c r="Q166" s="47" t="inlineStr">
        <is>
          <t>Win</t>
        </is>
      </c>
      <c r="R166" s="42" t="n">
        <v>18.7</v>
      </c>
      <c r="S166" s="52" t="inlineStr">
        <is>
          <t>Win</t>
        </is>
      </c>
      <c r="T166" s="52" t="inlineStr">
        <is>
          <t>Win</t>
        </is>
      </c>
      <c r="U166" s="52" t="inlineStr">
        <is>
          <t>Win</t>
        </is>
      </c>
      <c r="V166" s="53" t="inlineStr">
        <is>
          <t>Loss</t>
        </is>
      </c>
    </row>
    <row r="167">
      <c r="A167" s="42" t="n">
        <v>7</v>
      </c>
      <c r="B167" s="42" t="inlineStr">
        <is>
          <t>2026-10-17</t>
        </is>
      </c>
      <c r="C167" s="42" t="inlineStr">
        <is>
          <t>Mountain West</t>
        </is>
      </c>
      <c r="D167" s="42" t="inlineStr">
        <is>
          <t>Mountain West</t>
        </is>
      </c>
      <c r="E167" s="42" t="inlineStr">
        <is>
          <t>UNLV</t>
        </is>
      </c>
      <c r="F167" s="42" t="inlineStr">
        <is>
          <t>Air Force</t>
        </is>
      </c>
      <c r="G167" s="42" t="n">
        <v>3.7</v>
      </c>
      <c r="H167" s="42" t="n">
        <v>1.2</v>
      </c>
      <c r="I167" s="47" t="n">
        <v>-2.5</v>
      </c>
      <c r="J167" s="42" t="n">
        <v>4.8</v>
      </c>
      <c r="K167" s="42" t="n">
        <v>-5</v>
      </c>
      <c r="L167" s="42" t="n">
        <v>47.2</v>
      </c>
      <c r="M167" s="42" t="n">
        <v>48.5</v>
      </c>
      <c r="N167" s="42" t="n">
        <v>-1.3</v>
      </c>
      <c r="O167" s="42" t="n">
        <v>31</v>
      </c>
      <c r="P167" s="42" t="n">
        <v>41</v>
      </c>
      <c r="Q167" s="48" t="inlineStr">
        <is>
          <t>Loss</t>
        </is>
      </c>
      <c r="R167" s="42" t="n">
        <v>1.2</v>
      </c>
      <c r="S167" s="53" t="inlineStr">
        <is>
          <t>Loss</t>
        </is>
      </c>
      <c r="T167" s="53" t="inlineStr">
        <is>
          <t>Loss</t>
        </is>
      </c>
      <c r="U167" s="53" t="inlineStr">
        <is>
          <t>Loss</t>
        </is>
      </c>
      <c r="V167" s="52" t="inlineStr">
        <is>
          <t>Win</t>
        </is>
      </c>
    </row>
    <row r="168">
      <c r="A168" s="42" t="n">
        <v>7</v>
      </c>
      <c r="B168" s="42" t="inlineStr">
        <is>
          <t>2026-10-17</t>
        </is>
      </c>
      <c r="C168" s="42" t="inlineStr">
        <is>
          <t>Mountain West</t>
        </is>
      </c>
      <c r="D168" s="42" t="inlineStr">
        <is>
          <t>Mountain West</t>
        </is>
      </c>
      <c r="E168" s="42" t="inlineStr">
        <is>
          <t>Nevada</t>
        </is>
      </c>
      <c r="F168" s="42" t="inlineStr">
        <is>
          <t>North Dakota State</t>
        </is>
      </c>
      <c r="G168" s="42" t="n">
        <v>-24.9</v>
      </c>
      <c r="H168" s="42" t="n">
        <v>-14.8</v>
      </c>
      <c r="I168" s="56" t="n">
        <v>10.1</v>
      </c>
      <c r="J168" s="42" t="n">
        <v>-22.8</v>
      </c>
      <c r="K168" s="42" t="n">
        <v>-13.4</v>
      </c>
      <c r="L168" s="42" t="n">
        <v>45.1</v>
      </c>
      <c r="M168" s="42" t="n">
        <v>42.5</v>
      </c>
      <c r="N168" s="47" t="n">
        <v>2.6</v>
      </c>
      <c r="O168" s="42" t="n">
        <v>17</v>
      </c>
      <c r="P168" s="42" t="n">
        <v>31</v>
      </c>
      <c r="Q168" s="47" t="inlineStr">
        <is>
          <t>Win</t>
        </is>
      </c>
      <c r="R168" s="42" t="n">
        <v>-25.3</v>
      </c>
      <c r="S168" s="53" t="inlineStr">
        <is>
          <t>Loss</t>
        </is>
      </c>
      <c r="T168" s="53" t="inlineStr">
        <is>
          <t>Loss</t>
        </is>
      </c>
      <c r="U168" s="53" t="inlineStr">
        <is>
          <t>Loss</t>
        </is>
      </c>
      <c r="V168" s="52" t="inlineStr">
        <is>
          <t>Win</t>
        </is>
      </c>
    </row>
    <row r="169">
      <c r="A169" s="42" t="n">
        <v>7</v>
      </c>
      <c r="B169" s="42" t="inlineStr">
        <is>
          <t>2026-10-17</t>
        </is>
      </c>
      <c r="C169" s="42" t="inlineStr">
        <is>
          <t>Mountain West</t>
        </is>
      </c>
      <c r="D169" s="42" t="inlineStr">
        <is>
          <t>Mountain West</t>
        </is>
      </c>
      <c r="E169" s="42" t="inlineStr">
        <is>
          <t>Northern Illinois</t>
        </is>
      </c>
      <c r="F169" s="42" t="inlineStr">
        <is>
          <t>Wyoming</t>
        </is>
      </c>
      <c r="G169" s="42" t="n">
        <v>-11.7</v>
      </c>
      <c r="H169" s="42" t="n">
        <v>-7.8</v>
      </c>
      <c r="I169" s="47" t="n">
        <v>3.9</v>
      </c>
      <c r="J169" s="42" t="n">
        <v>-7.6</v>
      </c>
      <c r="K169" s="42" t="n">
        <v>-7.2</v>
      </c>
      <c r="L169" s="42" t="n">
        <v>40.3</v>
      </c>
      <c r="M169" s="42" t="n">
        <v>40.5</v>
      </c>
      <c r="N169" s="42" t="n">
        <v>-0.2</v>
      </c>
      <c r="O169" s="42" t="n">
        <v>23</v>
      </c>
      <c r="P169" s="42" t="n">
        <v>41</v>
      </c>
      <c r="Q169" s="47" t="inlineStr">
        <is>
          <t>Win</t>
        </is>
      </c>
      <c r="R169" s="42" t="n">
        <v>-6.2</v>
      </c>
      <c r="S169" s="52" t="inlineStr">
        <is>
          <t>Win</t>
        </is>
      </c>
      <c r="T169" s="52" t="inlineStr">
        <is>
          <t>Win</t>
        </is>
      </c>
      <c r="U169" s="53" t="inlineStr">
        <is>
          <t>Loss</t>
        </is>
      </c>
      <c r="V169" s="52" t="inlineStr">
        <is>
          <t>Win</t>
        </is>
      </c>
    </row>
    <row r="170">
      <c r="A170" s="42" t="n">
        <v>7</v>
      </c>
      <c r="B170" s="42" t="inlineStr">
        <is>
          <t>2026-10-18</t>
        </is>
      </c>
      <c r="C170" s="42" t="inlineStr">
        <is>
          <t>Mountain West</t>
        </is>
      </c>
      <c r="D170" s="42" t="inlineStr">
        <is>
          <t>Mountain West</t>
        </is>
      </c>
      <c r="E170" s="42" t="inlineStr">
        <is>
          <t>New Mexico</t>
        </is>
      </c>
      <c r="F170" s="42" t="inlineStr">
        <is>
          <t>Hawai'i</t>
        </is>
      </c>
      <c r="G170" s="42" t="n">
        <v>10.3</v>
      </c>
      <c r="H170" s="42" t="n">
        <v>15.5</v>
      </c>
      <c r="I170" s="56" t="n">
        <v>5.2</v>
      </c>
      <c r="J170" s="42" t="n">
        <v>14.4</v>
      </c>
      <c r="K170" s="42" t="n">
        <v>23.5</v>
      </c>
      <c r="L170" s="42" t="n">
        <v>45.4</v>
      </c>
      <c r="M170" s="42" t="n">
        <v>44.5</v>
      </c>
      <c r="N170" s="42" t="n">
        <v>0.9</v>
      </c>
      <c r="O170" s="42" t="n">
        <v>21</v>
      </c>
      <c r="P170" s="42" t="n">
        <v>10</v>
      </c>
      <c r="Q170" s="47" t="inlineStr">
        <is>
          <t>Win</t>
        </is>
      </c>
      <c r="R170" s="42" t="n">
        <v>10.7</v>
      </c>
      <c r="S170" s="52" t="inlineStr">
        <is>
          <t>Win</t>
        </is>
      </c>
      <c r="T170" s="52" t="inlineStr">
        <is>
          <t>Win</t>
        </is>
      </c>
      <c r="U170" s="52" t="inlineStr">
        <is>
          <t>Win</t>
        </is>
      </c>
      <c r="V170" s="53" t="inlineStr">
        <is>
          <t>Loss</t>
        </is>
      </c>
    </row>
    <row r="171">
      <c r="A171" s="42" t="n">
        <v>7</v>
      </c>
      <c r="B171" s="42" t="inlineStr">
        <is>
          <t>2026-10-18</t>
        </is>
      </c>
      <c r="C171" s="42" t="inlineStr">
        <is>
          <t>Mountain West</t>
        </is>
      </c>
      <c r="D171" s="42" t="inlineStr">
        <is>
          <t>Mountain West</t>
        </is>
      </c>
      <c r="E171" s="42" t="inlineStr">
        <is>
          <t>San José State</t>
        </is>
      </c>
      <c r="F171" s="42" t="inlineStr">
        <is>
          <t>UTEP</t>
        </is>
      </c>
      <c r="G171" s="42" t="n">
        <v>0.9</v>
      </c>
      <c r="H171" s="42" t="n">
        <v>7.2</v>
      </c>
      <c r="I171" s="56" t="n">
        <v>6.3</v>
      </c>
      <c r="J171" s="42" t="n">
        <v>5.5</v>
      </c>
      <c r="K171" s="42" t="n">
        <v>9.6</v>
      </c>
      <c r="L171" s="42" t="n">
        <v>46.6</v>
      </c>
      <c r="M171" s="42" t="n">
        <v>46.8</v>
      </c>
      <c r="N171" s="42" t="n">
        <v>-0.2</v>
      </c>
      <c r="O171" s="42" t="n">
        <v>24</v>
      </c>
      <c r="P171" s="42" t="n">
        <v>11</v>
      </c>
      <c r="Q171" s="47" t="inlineStr">
        <is>
          <t>Win</t>
        </is>
      </c>
      <c r="R171" s="42" t="n">
        <v>4.1</v>
      </c>
      <c r="S171" s="53" t="inlineStr">
        <is>
          <t>Loss</t>
        </is>
      </c>
      <c r="T171" s="53" t="inlineStr">
        <is>
          <t>Loss</t>
        </is>
      </c>
      <c r="U171" s="53" t="inlineStr">
        <is>
          <t>Loss</t>
        </is>
      </c>
      <c r="V171" s="52" t="inlineStr">
        <is>
          <t>Win</t>
        </is>
      </c>
    </row>
    <row r="172">
      <c r="A172" s="42" t="n">
        <v>7</v>
      </c>
      <c r="B172" s="42" t="inlineStr">
        <is>
          <t>2026-10-16</t>
        </is>
      </c>
      <c r="C172" s="42" t="inlineStr">
        <is>
          <t>Pac-12</t>
        </is>
      </c>
      <c r="D172" s="42" t="inlineStr">
        <is>
          <t>Pac-12</t>
        </is>
      </c>
      <c r="E172" s="42" t="inlineStr">
        <is>
          <t>Colorado State</t>
        </is>
      </c>
      <c r="F172" s="42" t="inlineStr">
        <is>
          <t>Texas State</t>
        </is>
      </c>
      <c r="G172" s="42" t="n">
        <v>-11.6</v>
      </c>
      <c r="H172" s="42" t="n">
        <v>-14.8</v>
      </c>
      <c r="I172" s="47" t="n">
        <v>-3.2</v>
      </c>
      <c r="J172" s="42" t="n">
        <v>-13.6</v>
      </c>
      <c r="K172" s="42" t="n">
        <v>-3.6</v>
      </c>
      <c r="L172" s="42" t="n">
        <v>60.9</v>
      </c>
      <c r="M172" s="42" t="n">
        <v>70.5</v>
      </c>
      <c r="N172" s="47" t="n">
        <v>-9.6</v>
      </c>
      <c r="O172" s="42" t="n">
        <v>27</v>
      </c>
      <c r="P172" s="42" t="n">
        <v>66</v>
      </c>
      <c r="Q172" s="47" t="inlineStr">
        <is>
          <t>Win</t>
        </is>
      </c>
      <c r="R172" s="42" t="n">
        <v>-15</v>
      </c>
      <c r="S172" s="53" t="inlineStr">
        <is>
          <t>Loss</t>
        </is>
      </c>
      <c r="T172" s="53" t="inlineStr">
        <is>
          <t>Loss</t>
        </is>
      </c>
      <c r="U172" s="52" t="inlineStr">
        <is>
          <t>Win</t>
        </is>
      </c>
      <c r="V172" s="53" t="inlineStr">
        <is>
          <t>Loss</t>
        </is>
      </c>
    </row>
    <row r="173">
      <c r="A173" s="42" t="n">
        <v>7</v>
      </c>
      <c r="B173" s="42" t="inlineStr">
        <is>
          <t>2026-10-17</t>
        </is>
      </c>
      <c r="C173" s="42" t="inlineStr">
        <is>
          <t>Pac-12</t>
        </is>
      </c>
      <c r="D173" s="42" t="inlineStr">
        <is>
          <t>Pac-12</t>
        </is>
      </c>
      <c r="E173" s="42" t="inlineStr">
        <is>
          <t>Washington State</t>
        </is>
      </c>
      <c r="F173" s="42" t="inlineStr">
        <is>
          <t>Oregon State</t>
        </is>
      </c>
      <c r="G173" s="42" t="n">
        <v>-6</v>
      </c>
      <c r="H173" s="42" t="n">
        <v>-18.2</v>
      </c>
      <c r="I173" s="56" t="n">
        <v>-12.2</v>
      </c>
      <c r="J173" s="42" t="n">
        <v>-5.7</v>
      </c>
      <c r="K173" s="42" t="n">
        <v>-21.2</v>
      </c>
      <c r="L173" s="42" t="n">
        <v>45.2</v>
      </c>
      <c r="M173" s="42" t="n">
        <v>52.5</v>
      </c>
      <c r="N173" s="47" t="n">
        <v>-7.3</v>
      </c>
      <c r="O173" s="42" t="n">
        <v>30</v>
      </c>
      <c r="P173" s="42" t="n">
        <v>48</v>
      </c>
      <c r="Q173" s="47" t="inlineStr">
        <is>
          <t>Win</t>
        </is>
      </c>
      <c r="R173" s="42" t="n">
        <v>-5.5</v>
      </c>
      <c r="S173" s="52" t="inlineStr">
        <is>
          <t>Win</t>
        </is>
      </c>
      <c r="T173" s="52" t="inlineStr">
        <is>
          <t>Win</t>
        </is>
      </c>
      <c r="U173" s="52" t="inlineStr">
        <is>
          <t>Win</t>
        </is>
      </c>
      <c r="V173" s="53" t="inlineStr">
        <is>
          <t>Loss</t>
        </is>
      </c>
    </row>
    <row r="174">
      <c r="A174" s="42" t="n">
        <v>7</v>
      </c>
      <c r="B174" s="42" t="inlineStr">
        <is>
          <t>2026-10-18</t>
        </is>
      </c>
      <c r="C174" s="42" t="inlineStr">
        <is>
          <t>Pac-12</t>
        </is>
      </c>
      <c r="D174" s="42" t="inlineStr">
        <is>
          <t>Pac-12</t>
        </is>
      </c>
      <c r="E174" s="42" t="inlineStr">
        <is>
          <t>Fresno State</t>
        </is>
      </c>
      <c r="F174" s="42" t="inlineStr">
        <is>
          <t>San Diego State</t>
        </is>
      </c>
      <c r="G174" s="42" t="n">
        <v>1.8</v>
      </c>
      <c r="H174" s="42" t="n">
        <v>7.5</v>
      </c>
      <c r="I174" s="56" t="n">
        <v>5.7</v>
      </c>
      <c r="J174" s="42" t="n">
        <v>6.3</v>
      </c>
      <c r="K174" s="42" t="n">
        <v>9.300000000000001</v>
      </c>
      <c r="L174" s="42" t="n">
        <v>42.6</v>
      </c>
      <c r="M174" s="42" t="n">
        <v>45.5</v>
      </c>
      <c r="N174" s="47" t="n">
        <v>-2.9</v>
      </c>
      <c r="O174" s="42" t="n">
        <v>23</v>
      </c>
      <c r="P174" s="42" t="n">
        <v>26</v>
      </c>
      <c r="Q174" s="48" t="inlineStr">
        <is>
          <t>Loss</t>
        </is>
      </c>
      <c r="R174" s="42" t="n">
        <v>5.2</v>
      </c>
      <c r="S174" s="52" t="inlineStr">
        <is>
          <t>Win</t>
        </is>
      </c>
      <c r="T174" s="52" t="inlineStr">
        <is>
          <t>Win</t>
        </is>
      </c>
      <c r="U174" s="52" t="inlineStr">
        <is>
          <t>Win</t>
        </is>
      </c>
      <c r="V174" s="53" t="inlineStr">
        <is>
          <t>Loss</t>
        </is>
      </c>
    </row>
    <row r="175">
      <c r="A175" s="42" t="n">
        <v>7</v>
      </c>
      <c r="B175" s="42" t="inlineStr">
        <is>
          <t>2026-10-17</t>
        </is>
      </c>
      <c r="C175" s="42" t="inlineStr">
        <is>
          <t>SEC</t>
        </is>
      </c>
      <c r="D175" s="42" t="inlineStr">
        <is>
          <t>SEC</t>
        </is>
      </c>
      <c r="E175" s="42" t="inlineStr">
        <is>
          <t>Auburn</t>
        </is>
      </c>
      <c r="F175" s="42" t="inlineStr">
        <is>
          <t>Georgia</t>
        </is>
      </c>
      <c r="G175" s="42" t="n">
        <v>-19</v>
      </c>
      <c r="H175" s="42" t="n">
        <v>-21</v>
      </c>
      <c r="I175" s="47" t="n">
        <v>-2</v>
      </c>
      <c r="J175" s="42" t="n">
        <v>-29.9</v>
      </c>
      <c r="K175" s="42" t="n">
        <v>-19.9</v>
      </c>
      <c r="L175" s="42" t="n">
        <v>48.5</v>
      </c>
      <c r="M175" s="42" t="n">
        <v>49.5</v>
      </c>
      <c r="N175" s="42" t="n">
        <v>-1</v>
      </c>
      <c r="O175" s="42" t="n">
        <v>27</v>
      </c>
      <c r="P175" s="42" t="n">
        <v>24</v>
      </c>
      <c r="Q175" s="48" t="inlineStr">
        <is>
          <t>Loss</t>
        </is>
      </c>
      <c r="R175" s="42" t="n">
        <v>-25.7</v>
      </c>
      <c r="S175" s="52" t="inlineStr">
        <is>
          <t>Win</t>
        </is>
      </c>
      <c r="T175" s="53" t="inlineStr">
        <is>
          <t>Loss</t>
        </is>
      </c>
      <c r="U175" s="53" t="inlineStr">
        <is>
          <t>Loss</t>
        </is>
      </c>
      <c r="V175" s="52" t="inlineStr">
        <is>
          <t>Win</t>
        </is>
      </c>
    </row>
    <row r="176">
      <c r="A176" s="42" t="n">
        <v>7</v>
      </c>
      <c r="B176" s="42" t="inlineStr">
        <is>
          <t>2026-10-17</t>
        </is>
      </c>
      <c r="C176" s="42" t="inlineStr">
        <is>
          <t>SEC</t>
        </is>
      </c>
      <c r="D176" s="42" t="inlineStr">
        <is>
          <t>SEC</t>
        </is>
      </c>
      <c r="E176" s="42" t="inlineStr">
        <is>
          <t>Mississippi State</t>
        </is>
      </c>
      <c r="F176" s="42" t="inlineStr">
        <is>
          <t>LSU</t>
        </is>
      </c>
      <c r="G176" s="42" t="n">
        <v>-17.1</v>
      </c>
      <c r="H176" s="42" t="n">
        <v>-14.5</v>
      </c>
      <c r="I176" s="47" t="n">
        <v>2.6</v>
      </c>
      <c r="J176" s="42" t="n">
        <v>-12</v>
      </c>
      <c r="K176" s="42" t="n">
        <v>-9.699999999999999</v>
      </c>
      <c r="L176" s="42" t="n">
        <v>51.9</v>
      </c>
      <c r="M176" s="42" t="n">
        <v>57.8</v>
      </c>
      <c r="N176" s="47" t="n">
        <v>-5.8</v>
      </c>
      <c r="O176" s="42" t="n">
        <v>0</v>
      </c>
      <c r="P176" s="42" t="n">
        <v>31</v>
      </c>
      <c r="Q176" s="47" t="inlineStr">
        <is>
          <t>Win</t>
        </is>
      </c>
      <c r="R176" s="42" t="n">
        <v>-11.1</v>
      </c>
      <c r="S176" s="52" t="inlineStr">
        <is>
          <t>Win</t>
        </is>
      </c>
      <c r="T176" s="53" t="inlineStr">
        <is>
          <t>Loss</t>
        </is>
      </c>
      <c r="U176" s="53" t="inlineStr">
        <is>
          <t>Loss</t>
        </is>
      </c>
      <c r="V176" s="53" t="inlineStr">
        <is>
          <t>Loss</t>
        </is>
      </c>
    </row>
    <row r="177">
      <c r="A177" s="42" t="n">
        <v>7</v>
      </c>
      <c r="B177" s="42" t="inlineStr">
        <is>
          <t>2026-10-17</t>
        </is>
      </c>
      <c r="C177" s="42" t="inlineStr">
        <is>
          <t>SEC</t>
        </is>
      </c>
      <c r="D177" s="42" t="inlineStr">
        <is>
          <t>SEC</t>
        </is>
      </c>
      <c r="E177" s="42" t="inlineStr">
        <is>
          <t>Kentucky</t>
        </is>
      </c>
      <c r="F177" s="42" t="inlineStr">
        <is>
          <t>Oklahoma</t>
        </is>
      </c>
      <c r="G177" s="42" t="n">
        <v>-10.3</v>
      </c>
      <c r="H177" s="42" t="n">
        <v>-6.5</v>
      </c>
      <c r="I177" s="47" t="n">
        <v>3.8</v>
      </c>
      <c r="J177" s="42" t="n">
        <v>-10.5</v>
      </c>
      <c r="K177" s="42" t="n">
        <v>-1.2</v>
      </c>
      <c r="L177" s="42" t="n">
        <v>41.2</v>
      </c>
      <c r="M177" s="42" t="n">
        <v>43.5</v>
      </c>
      <c r="N177" s="47" t="n">
        <v>-2.3</v>
      </c>
      <c r="O177" s="42" t="n">
        <v>21</v>
      </c>
      <c r="P177" s="42" t="n">
        <v>13</v>
      </c>
      <c r="Q177" s="48" t="inlineStr">
        <is>
          <t>Loss</t>
        </is>
      </c>
      <c r="R177" s="42" t="n">
        <v>-13.3</v>
      </c>
      <c r="S177" s="53" t="inlineStr">
        <is>
          <t>Loss</t>
        </is>
      </c>
      <c r="T177" s="53" t="inlineStr">
        <is>
          <t>Loss</t>
        </is>
      </c>
      <c r="U177" s="53" t="inlineStr">
        <is>
          <t>Loss</t>
        </is>
      </c>
      <c r="V177" s="52" t="inlineStr">
        <is>
          <t>Win</t>
        </is>
      </c>
    </row>
    <row r="178">
      <c r="A178" s="42" t="n">
        <v>7</v>
      </c>
      <c r="B178" s="42" t="inlineStr">
        <is>
          <t>2026-10-17</t>
        </is>
      </c>
      <c r="C178" s="42" t="inlineStr">
        <is>
          <t>SEC</t>
        </is>
      </c>
      <c r="D178" s="42" t="inlineStr">
        <is>
          <t>SEC</t>
        </is>
      </c>
      <c r="E178" s="42" t="inlineStr">
        <is>
          <t>Missouri</t>
        </is>
      </c>
      <c r="F178" s="42" t="inlineStr">
        <is>
          <t>Ole Miss</t>
        </is>
      </c>
      <c r="G178" s="42" t="n">
        <v>-6.9</v>
      </c>
      <c r="H178" s="42" t="n">
        <v>-5.2</v>
      </c>
      <c r="I178" s="42" t="n">
        <v>1.7</v>
      </c>
      <c r="J178" s="42" t="n">
        <v>-7.7</v>
      </c>
      <c r="K178" s="42" t="n">
        <v>3.7</v>
      </c>
      <c r="L178" s="42" t="n">
        <v>52.4</v>
      </c>
      <c r="M178" s="42" t="n">
        <v>58.8</v>
      </c>
      <c r="N178" s="47" t="n">
        <v>-6.3</v>
      </c>
      <c r="O178" s="42" t="n">
        <v>3</v>
      </c>
      <c r="P178" s="42" t="n">
        <v>31</v>
      </c>
      <c r="Q178" s="47" t="inlineStr">
        <is>
          <t>Win</t>
        </is>
      </c>
      <c r="R178" s="42" t="n">
        <v>-10.3</v>
      </c>
      <c r="S178" s="52" t="inlineStr">
        <is>
          <t>Win</t>
        </is>
      </c>
      <c r="T178" s="52" t="inlineStr">
        <is>
          <t>Win</t>
        </is>
      </c>
      <c r="U178" s="52" t="inlineStr">
        <is>
          <t>Win</t>
        </is>
      </c>
      <c r="V178" s="53" t="inlineStr">
        <is>
          <t>Loss</t>
        </is>
      </c>
    </row>
    <row r="179">
      <c r="A179" s="42" t="n">
        <v>7</v>
      </c>
      <c r="B179" s="42" t="inlineStr">
        <is>
          <t>2026-10-17</t>
        </is>
      </c>
      <c r="C179" s="42" t="inlineStr">
        <is>
          <t>SEC</t>
        </is>
      </c>
      <c r="D179" s="42" t="inlineStr">
        <is>
          <t>SEC</t>
        </is>
      </c>
      <c r="E179" s="42" t="inlineStr">
        <is>
          <t>Alabama</t>
        </is>
      </c>
      <c r="F179" s="42" t="inlineStr">
        <is>
          <t>Tennessee</t>
        </is>
      </c>
      <c r="G179" s="42" t="n">
        <v>3.4</v>
      </c>
      <c r="H179" s="42" t="n">
        <v>7.5</v>
      </c>
      <c r="I179" s="56" t="n">
        <v>4.1</v>
      </c>
      <c r="J179" s="42" t="n">
        <v>2.9</v>
      </c>
      <c r="K179" s="42" t="n">
        <v>7.9</v>
      </c>
      <c r="L179" s="42" t="n">
        <v>51.1</v>
      </c>
      <c r="M179" s="42" t="n">
        <v>50.8</v>
      </c>
      <c r="N179" s="42" t="n">
        <v>0.4</v>
      </c>
      <c r="O179" s="42" t="n">
        <v>10</v>
      </c>
      <c r="P179" s="42" t="n">
        <v>26</v>
      </c>
      <c r="Q179" s="48" t="inlineStr">
        <is>
          <t>Loss</t>
        </is>
      </c>
      <c r="R179" s="42" t="n">
        <v>3.2</v>
      </c>
      <c r="S179" s="52" t="inlineStr">
        <is>
          <t>Win</t>
        </is>
      </c>
      <c r="T179" s="52" t="inlineStr">
        <is>
          <t>Win</t>
        </is>
      </c>
      <c r="U179" s="52" t="inlineStr">
        <is>
          <t>Win</t>
        </is>
      </c>
      <c r="V179" s="53" t="inlineStr">
        <is>
          <t>Loss</t>
        </is>
      </c>
    </row>
    <row r="180">
      <c r="A180" s="42" t="n">
        <v>7</v>
      </c>
      <c r="B180" s="42" t="inlineStr">
        <is>
          <t>2026-10-17</t>
        </is>
      </c>
      <c r="C180" s="42" t="inlineStr">
        <is>
          <t>SEC</t>
        </is>
      </c>
      <c r="D180" s="42" t="inlineStr">
        <is>
          <t>SEC</t>
        </is>
      </c>
      <c r="E180" s="42" t="inlineStr">
        <is>
          <t>Florida</t>
        </is>
      </c>
      <c r="F180" s="42" t="inlineStr">
        <is>
          <t>Texas</t>
        </is>
      </c>
      <c r="G180" s="42" t="n">
        <v>-21.4</v>
      </c>
      <c r="H180" s="42" t="n">
        <v>-11.2</v>
      </c>
      <c r="I180" s="56" t="n">
        <v>10.2</v>
      </c>
      <c r="J180" s="42" t="n">
        <v>-17.3</v>
      </c>
      <c r="K180" s="42" t="n">
        <v>-6.7</v>
      </c>
      <c r="L180" s="42" t="n">
        <v>47.8</v>
      </c>
      <c r="M180" s="42" t="n">
        <v>51.5</v>
      </c>
      <c r="N180" s="47" t="n">
        <v>-3.7</v>
      </c>
      <c r="O180" s="42" t="n">
        <v>27</v>
      </c>
      <c r="P180" s="42" t="n">
        <v>24</v>
      </c>
      <c r="Q180" s="48" t="inlineStr">
        <is>
          <t>Loss</t>
        </is>
      </c>
      <c r="R180" s="42" t="n">
        <v>-17.2</v>
      </c>
      <c r="S180" s="53" t="inlineStr">
        <is>
          <t>Loss</t>
        </is>
      </c>
      <c r="T180" s="53" t="inlineStr">
        <is>
          <t>Loss</t>
        </is>
      </c>
      <c r="U180" s="53" t="inlineStr">
        <is>
          <t>Loss</t>
        </is>
      </c>
      <c r="V180" s="52" t="inlineStr">
        <is>
          <t>Win</t>
        </is>
      </c>
    </row>
    <row r="181">
      <c r="A181" s="42" t="n">
        <v>7</v>
      </c>
      <c r="B181" s="42" t="inlineStr">
        <is>
          <t>2026-10-17</t>
        </is>
      </c>
      <c r="C181" s="42" t="inlineStr">
        <is>
          <t>SEC</t>
        </is>
      </c>
      <c r="D181" s="42" t="inlineStr">
        <is>
          <t>Southern</t>
        </is>
      </c>
      <c r="E181" s="42" t="inlineStr">
        <is>
          <t>The Citadel</t>
        </is>
      </c>
      <c r="F181" s="42" t="inlineStr">
        <is>
          <t>Texas A&amp;M</t>
        </is>
      </c>
      <c r="G181" s="42" t="n">
        <v>-54.8</v>
      </c>
      <c r="H181" s="42" t="n"/>
      <c r="I181" s="42" t="n"/>
      <c r="J181" s="42" t="n">
        <v>-24.2</v>
      </c>
      <c r="K181" s="42" t="n">
        <v>-17.8</v>
      </c>
      <c r="L181" s="42" t="n">
        <v>56.7</v>
      </c>
      <c r="M181" s="42" t="n"/>
      <c r="N181" s="42" t="n"/>
      <c r="O181" s="42" t="n">
        <v>0</v>
      </c>
      <c r="P181" s="42" t="n">
        <v>41</v>
      </c>
      <c r="Q181" s="47" t="inlineStr">
        <is>
          <t>Win</t>
        </is>
      </c>
      <c r="R181" s="42" t="n">
        <v>-30.9</v>
      </c>
      <c r="S181" s="51" t="n"/>
      <c r="T181" s="51" t="n"/>
      <c r="U181" s="51" t="n"/>
      <c r="V181" s="51" t="n"/>
    </row>
    <row r="182">
      <c r="A182" s="42" t="n">
        <v>7</v>
      </c>
      <c r="B182" s="42" t="inlineStr">
        <is>
          <t>2026-10-17</t>
        </is>
      </c>
      <c r="C182" s="42" t="inlineStr">
        <is>
          <t>SEC</t>
        </is>
      </c>
      <c r="D182" s="42" t="inlineStr">
        <is>
          <t>SEC</t>
        </is>
      </c>
      <c r="E182" s="42" t="inlineStr">
        <is>
          <t>Arkansas</t>
        </is>
      </c>
      <c r="F182" s="42" t="inlineStr">
        <is>
          <t>Vanderbilt</t>
        </is>
      </c>
      <c r="G182" s="42" t="n">
        <v>-15.3</v>
      </c>
      <c r="H182" s="42" t="n">
        <v>-6.2</v>
      </c>
      <c r="I182" s="56" t="n">
        <v>9.1</v>
      </c>
      <c r="J182" s="42" t="n">
        <v>-11.2</v>
      </c>
      <c r="K182" s="42" t="n">
        <v>-1</v>
      </c>
      <c r="L182" s="42" t="n">
        <v>50.5</v>
      </c>
      <c r="M182" s="42" t="n">
        <v>49.8</v>
      </c>
      <c r="N182" s="42" t="n">
        <v>0.8</v>
      </c>
      <c r="O182" s="42" t="n">
        <v>31</v>
      </c>
      <c r="P182" s="42" t="n">
        <v>21</v>
      </c>
      <c r="Q182" s="48" t="inlineStr">
        <is>
          <t>Loss</t>
        </is>
      </c>
      <c r="R182" s="42" t="n">
        <v>-9.300000000000001</v>
      </c>
      <c r="S182" s="53" t="inlineStr">
        <is>
          <t>Loss</t>
        </is>
      </c>
      <c r="T182" s="53" t="inlineStr">
        <is>
          <t>Loss</t>
        </is>
      </c>
      <c r="U182" s="53" t="inlineStr">
        <is>
          <t>Loss</t>
        </is>
      </c>
      <c r="V182" s="52" t="inlineStr">
        <is>
          <t>Win</t>
        </is>
      </c>
    </row>
    <row r="183">
      <c r="A183" s="42" t="n">
        <v>7</v>
      </c>
      <c r="B183" s="42" t="inlineStr">
        <is>
          <t>2026-10-15</t>
        </is>
      </c>
      <c r="C183" s="42" t="inlineStr">
        <is>
          <t>Sun Belt</t>
        </is>
      </c>
      <c r="D183" s="42" t="inlineStr">
        <is>
          <t>Sun Belt</t>
        </is>
      </c>
      <c r="E183" s="42" t="inlineStr">
        <is>
          <t>Georgia Southern</t>
        </is>
      </c>
      <c r="F183" s="42" t="inlineStr">
        <is>
          <t>Old Dominion</t>
        </is>
      </c>
      <c r="G183" s="42" t="n">
        <v>-12.2</v>
      </c>
      <c r="H183" s="42" t="n">
        <v>3.5</v>
      </c>
      <c r="I183" s="56" t="n">
        <v>15.7</v>
      </c>
      <c r="J183" s="42" t="n">
        <v>-3.2</v>
      </c>
      <c r="K183" s="42" t="n">
        <v>5.5</v>
      </c>
      <c r="L183" s="42" t="n">
        <v>46.4</v>
      </c>
      <c r="M183" s="42" t="n">
        <v>46.8</v>
      </c>
      <c r="N183" s="42" t="n">
        <v>-0.3</v>
      </c>
      <c r="O183" s="42" t="n">
        <v>23</v>
      </c>
      <c r="P183" s="42" t="n">
        <v>15</v>
      </c>
      <c r="Q183" s="48" t="inlineStr">
        <is>
          <t>Loss</t>
        </is>
      </c>
      <c r="R183" s="42" t="n">
        <v>-4.3</v>
      </c>
      <c r="S183" s="53" t="inlineStr">
        <is>
          <t>Loss</t>
        </is>
      </c>
      <c r="T183" s="53" t="inlineStr">
        <is>
          <t>Loss</t>
        </is>
      </c>
      <c r="U183" s="53" t="inlineStr">
        <is>
          <t>Loss</t>
        </is>
      </c>
      <c r="V183" s="52" t="inlineStr">
        <is>
          <t>Win</t>
        </is>
      </c>
    </row>
    <row r="184">
      <c r="A184" s="42" t="n">
        <v>7</v>
      </c>
      <c r="B184" s="42" t="inlineStr">
        <is>
          <t>2026-10-17</t>
        </is>
      </c>
      <c r="C184" s="42" t="inlineStr">
        <is>
          <t>Sun Belt</t>
        </is>
      </c>
      <c r="D184" s="42" t="inlineStr">
        <is>
          <t>Sun Belt</t>
        </is>
      </c>
      <c r="E184" s="42" t="inlineStr">
        <is>
          <t>App State</t>
        </is>
      </c>
      <c r="F184" s="42" t="inlineStr">
        <is>
          <t>Coastal Carolina</t>
        </is>
      </c>
      <c r="G184" s="42" t="n">
        <v>-2.3</v>
      </c>
      <c r="H184" s="42" t="n">
        <v>1.2</v>
      </c>
      <c r="I184" s="47" t="n">
        <v>3.5</v>
      </c>
      <c r="J184" s="42" t="n">
        <v>4.3</v>
      </c>
      <c r="K184" s="42" t="n">
        <v>-1</v>
      </c>
      <c r="L184" s="42" t="n">
        <v>53.4</v>
      </c>
      <c r="M184" s="42" t="n">
        <v>49.2</v>
      </c>
      <c r="N184" s="47" t="n">
        <v>4.2</v>
      </c>
      <c r="O184" s="42" t="n">
        <v>35</v>
      </c>
      <c r="P184" s="42" t="n">
        <v>32</v>
      </c>
      <c r="Q184" s="48" t="inlineStr">
        <is>
          <t>Loss</t>
        </is>
      </c>
      <c r="R184" s="42" t="n">
        <v>5.2</v>
      </c>
      <c r="S184" s="53" t="inlineStr">
        <is>
          <t>Loss</t>
        </is>
      </c>
      <c r="T184" s="52" t="inlineStr">
        <is>
          <t>Win</t>
        </is>
      </c>
      <c r="U184" s="52" t="inlineStr">
        <is>
          <t>Win</t>
        </is>
      </c>
      <c r="V184" s="53" t="inlineStr">
        <is>
          <t>Loss</t>
        </is>
      </c>
    </row>
    <row r="185">
      <c r="A185" s="42" t="n">
        <v>7</v>
      </c>
      <c r="B185" s="42" t="inlineStr">
        <is>
          <t>2026-10-17</t>
        </is>
      </c>
      <c r="C185" s="42" t="inlineStr">
        <is>
          <t>Sun Belt</t>
        </is>
      </c>
      <c r="D185" s="42" t="inlineStr">
        <is>
          <t>Sun Belt</t>
        </is>
      </c>
      <c r="E185" s="42" t="inlineStr">
        <is>
          <t>Georgia State</t>
        </is>
      </c>
      <c r="F185" s="42" t="inlineStr">
        <is>
          <t>James Madison</t>
        </is>
      </c>
      <c r="G185" s="42" t="n">
        <v>-18.3</v>
      </c>
      <c r="H185" s="42" t="n">
        <v>-12</v>
      </c>
      <c r="I185" s="56" t="n">
        <v>6.3</v>
      </c>
      <c r="J185" s="42" t="n">
        <v>-19.6</v>
      </c>
      <c r="K185" s="42" t="n">
        <v>-7</v>
      </c>
      <c r="L185" s="42" t="n">
        <v>54.5</v>
      </c>
      <c r="M185" s="42" t="n">
        <v>57.8</v>
      </c>
      <c r="N185" s="47" t="n">
        <v>-3.3</v>
      </c>
      <c r="O185" s="42" t="n">
        <v>22</v>
      </c>
      <c r="P185" s="42" t="n">
        <v>49</v>
      </c>
      <c r="Q185" s="47" t="inlineStr">
        <is>
          <t>Win</t>
        </is>
      </c>
      <c r="R185" s="42" t="n">
        <v>-22.7</v>
      </c>
      <c r="S185" s="52" t="inlineStr">
        <is>
          <t>Win</t>
        </is>
      </c>
      <c r="T185" s="52" t="inlineStr">
        <is>
          <t>Win</t>
        </is>
      </c>
      <c r="U185" s="52" t="inlineStr">
        <is>
          <t>Win</t>
        </is>
      </c>
      <c r="V185" s="53" t="inlineStr">
        <is>
          <t>Loss</t>
        </is>
      </c>
    </row>
    <row r="186">
      <c r="A186" s="42" t="n">
        <v>7</v>
      </c>
      <c r="B186" s="42" t="inlineStr">
        <is>
          <t>2026-10-17</t>
        </is>
      </c>
      <c r="C186" s="42" t="inlineStr">
        <is>
          <t>Sun Belt</t>
        </is>
      </c>
      <c r="D186" s="42" t="inlineStr">
        <is>
          <t>Sun Belt</t>
        </is>
      </c>
      <c r="E186" s="42" t="inlineStr">
        <is>
          <t>Troy</t>
        </is>
      </c>
      <c r="F186" s="42" t="inlineStr">
        <is>
          <t>Louisiana</t>
        </is>
      </c>
      <c r="G186" s="42" t="n">
        <v>-4.2</v>
      </c>
      <c r="H186" s="42" t="n">
        <v>-4</v>
      </c>
      <c r="I186" s="42" t="n">
        <v>0.2</v>
      </c>
      <c r="J186" s="42" t="n">
        <v>-6.3</v>
      </c>
      <c r="K186" s="42" t="n">
        <v>-4.6</v>
      </c>
      <c r="L186" s="42" t="n">
        <v>51</v>
      </c>
      <c r="M186" s="42" t="n">
        <v>49.2</v>
      </c>
      <c r="N186" s="42" t="n">
        <v>1.8</v>
      </c>
      <c r="O186" s="42" t="n">
        <v>6</v>
      </c>
      <c r="P186" s="42" t="n">
        <v>33</v>
      </c>
      <c r="Q186" s="47" t="inlineStr">
        <is>
          <t>Win</t>
        </is>
      </c>
      <c r="R186" s="42" t="n">
        <v>-4.7</v>
      </c>
      <c r="S186" s="52" t="inlineStr">
        <is>
          <t>Win</t>
        </is>
      </c>
      <c r="T186" s="52" t="inlineStr">
        <is>
          <t>Win</t>
        </is>
      </c>
      <c r="U186" s="52" t="inlineStr">
        <is>
          <t>Win</t>
        </is>
      </c>
      <c r="V186" s="52" t="inlineStr">
        <is>
          <t>Win</t>
        </is>
      </c>
    </row>
    <row r="187">
      <c r="A187" s="42" t="n">
        <v>7</v>
      </c>
      <c r="B187" s="42" t="inlineStr">
        <is>
          <t>2026-10-17</t>
        </is>
      </c>
      <c r="C187" s="42" t="inlineStr">
        <is>
          <t>Sun Belt</t>
        </is>
      </c>
      <c r="D187" s="42" t="inlineStr">
        <is>
          <t>Sun Belt</t>
        </is>
      </c>
      <c r="E187" s="42" t="inlineStr">
        <is>
          <t>Arkansas State</t>
        </is>
      </c>
      <c r="F187" s="42" t="inlineStr">
        <is>
          <t>Southern Miss</t>
        </is>
      </c>
      <c r="G187" s="42" t="n">
        <v>1.9</v>
      </c>
      <c r="H187" s="42" t="n">
        <v>7</v>
      </c>
      <c r="I187" s="56" t="n">
        <v>5.1</v>
      </c>
      <c r="J187" s="42" t="n">
        <v>3.8</v>
      </c>
      <c r="K187" s="42" t="n">
        <v>3</v>
      </c>
      <c r="L187" s="42" t="n">
        <v>57.9</v>
      </c>
      <c r="M187" s="42" t="n">
        <v>62.2</v>
      </c>
      <c r="N187" s="47" t="n">
        <v>-4.4</v>
      </c>
      <c r="O187" s="42" t="n">
        <v>23</v>
      </c>
      <c r="P187" s="42" t="n">
        <v>13</v>
      </c>
      <c r="Q187" s="47" t="inlineStr">
        <is>
          <t>Win</t>
        </is>
      </c>
      <c r="R187" s="42" t="n">
        <v>2.3</v>
      </c>
      <c r="S187" s="53" t="inlineStr">
        <is>
          <t>Loss</t>
        </is>
      </c>
      <c r="T187" s="53" t="inlineStr">
        <is>
          <t>Loss</t>
        </is>
      </c>
      <c r="U187" s="53" t="inlineStr">
        <is>
          <t>Loss</t>
        </is>
      </c>
      <c r="V187" s="53" t="inlineStr">
        <is>
          <t>Loss</t>
        </is>
      </c>
    </row>
    <row r="188">
      <c r="A188" s="42" t="n">
        <v>7</v>
      </c>
      <c r="B188" s="42" t="inlineStr">
        <is>
          <t>2026-10-18</t>
        </is>
      </c>
      <c r="C188" s="42" t="inlineStr">
        <is>
          <t>Sun Belt</t>
        </is>
      </c>
      <c r="D188" s="42" t="inlineStr">
        <is>
          <t>Sun Belt</t>
        </is>
      </c>
      <c r="E188" s="42" t="inlineStr">
        <is>
          <t>Louisiana Tech</t>
        </is>
      </c>
      <c r="F188" s="42" t="inlineStr">
        <is>
          <t>UL Monroe</t>
        </is>
      </c>
      <c r="G188" s="42" t="n">
        <v>16.2</v>
      </c>
      <c r="H188" s="42" t="n">
        <v>15.5</v>
      </c>
      <c r="I188" s="42" t="n">
        <v>-0.7</v>
      </c>
      <c r="J188" s="42" t="n">
        <v>14.4</v>
      </c>
      <c r="K188" s="42" t="n">
        <v>17.6</v>
      </c>
      <c r="L188" s="42" t="n">
        <v>52.1</v>
      </c>
      <c r="M188" s="42" t="n">
        <v>57.5</v>
      </c>
      <c r="N188" s="47" t="n">
        <v>-5.4</v>
      </c>
      <c r="O188" s="42" t="n">
        <v>24</v>
      </c>
      <c r="P188" s="42" t="n">
        <v>0</v>
      </c>
      <c r="Q188" s="47" t="inlineStr">
        <is>
          <t>Win</t>
        </is>
      </c>
      <c r="R188" s="42" t="n">
        <v>19.9</v>
      </c>
      <c r="S188" s="52" t="inlineStr">
        <is>
          <t>Win</t>
        </is>
      </c>
      <c r="T188" s="53" t="inlineStr">
        <is>
          <t>Loss</t>
        </is>
      </c>
      <c r="U188" s="52" t="inlineStr">
        <is>
          <t>Win</t>
        </is>
      </c>
      <c r="V188" s="52" t="inlineStr">
        <is>
          <t>Win</t>
        </is>
      </c>
    </row>
    <row r="190">
      <c r="A190" s="41" t="inlineStr">
        <is>
          <t>Week 6</t>
        </is>
      </c>
    </row>
    <row r="191">
      <c r="A191" s="46" t="inlineStr">
        <is>
          <t>Week</t>
        </is>
      </c>
      <c r="B191" s="46" t="inlineStr">
        <is>
          <t>Date</t>
        </is>
      </c>
      <c r="C191" s="46" t="inlineStr">
        <is>
          <t>Home Conf</t>
        </is>
      </c>
      <c r="D191" s="46" t="inlineStr">
        <is>
          <t>Away Conf</t>
        </is>
      </c>
      <c r="E191" s="46" t="inlineStr">
        <is>
          <t>Away Team</t>
        </is>
      </c>
      <c r="F191" s="46" t="inlineStr">
        <is>
          <t>Home Team</t>
        </is>
      </c>
      <c r="G191" s="46" t="inlineStr">
        <is>
          <t>Model Line (Home)</t>
        </is>
      </c>
      <c r="H191" s="46" t="inlineStr">
        <is>
          <t>Market Line (Home)</t>
        </is>
      </c>
      <c r="I191" s="46" t="inlineStr">
        <is>
          <t>Spread Edge (pts)</t>
        </is>
      </c>
      <c r="J191" s="46" t="inlineStr">
        <is>
          <t>Ridge Line (Home)</t>
        </is>
      </c>
      <c r="K191" s="46" t="inlineStr">
        <is>
          <t>Massey Line (Home)</t>
        </is>
      </c>
      <c r="L191" s="46" t="inlineStr">
        <is>
          <t>Model Total</t>
        </is>
      </c>
      <c r="M191" s="46" t="inlineStr">
        <is>
          <t>Market Total</t>
        </is>
      </c>
      <c r="N191" s="46" t="inlineStr">
        <is>
          <t>Total Edge (pts)</t>
        </is>
      </c>
      <c r="O191" s="46" t="inlineStr">
        <is>
          <t>Away Pts</t>
        </is>
      </c>
      <c r="P191" s="46" t="inlineStr">
        <is>
          <t>Home Pts</t>
        </is>
      </c>
      <c r="Q191" s="46" t="inlineStr">
        <is>
          <t>Model Result (SU)</t>
        </is>
      </c>
      <c r="R191" s="46" t="inlineStr">
        <is>
          <t>XGBoost Line (Home)</t>
        </is>
      </c>
      <c r="S191" s="46" t="inlineStr">
        <is>
          <t>Gamma ATS</t>
        </is>
      </c>
      <c r="T191" s="46" t="inlineStr">
        <is>
          <t>Ridge ATS</t>
        </is>
      </c>
      <c r="U191" s="46" t="inlineStr">
        <is>
          <t>XGBoost ATS</t>
        </is>
      </c>
      <c r="V191" s="46" t="inlineStr">
        <is>
          <t>Massey ATS</t>
        </is>
      </c>
    </row>
    <row r="192" ht="15.75" customHeight="1">
      <c r="A192" s="42" t="n">
        <v>6</v>
      </c>
      <c r="B192" s="42" t="inlineStr">
        <is>
          <t>2026-10-09</t>
        </is>
      </c>
      <c r="C192" s="42" t="inlineStr">
        <is>
          <t>ACC</t>
        </is>
      </c>
      <c r="D192" s="42" t="inlineStr">
        <is>
          <t>ACC</t>
        </is>
      </c>
      <c r="E192" s="42" t="inlineStr">
        <is>
          <t>Florida State</t>
        </is>
      </c>
      <c r="F192" s="42" t="inlineStr">
        <is>
          <t>Louisville</t>
        </is>
      </c>
      <c r="G192" s="42" t="n">
        <v>0.2</v>
      </c>
      <c r="H192" s="42" t="n">
        <v>-3.5</v>
      </c>
      <c r="I192" s="47" t="n">
        <v>-3.7</v>
      </c>
      <c r="J192" s="42" t="n">
        <v>-6.4</v>
      </c>
      <c r="K192" s="42" t="n">
        <v>0.7</v>
      </c>
      <c r="L192" s="42" t="n">
        <v>56.7</v>
      </c>
      <c r="M192" s="42" t="n">
        <v>59.5</v>
      </c>
      <c r="N192" s="47" t="n">
        <v>-2.8</v>
      </c>
      <c r="O192" s="42" t="n">
        <v>20</v>
      </c>
      <c r="P192" s="42" t="n">
        <v>44</v>
      </c>
      <c r="Q192" s="48" t="inlineStr">
        <is>
          <t>Loss</t>
        </is>
      </c>
      <c r="R192" s="42" t="n">
        <v>-4.2</v>
      </c>
      <c r="S192" s="53" t="inlineStr">
        <is>
          <t>Loss</t>
        </is>
      </c>
      <c r="T192" s="52" t="inlineStr">
        <is>
          <t>Win</t>
        </is>
      </c>
      <c r="U192" s="52" t="inlineStr">
        <is>
          <t>Win</t>
        </is>
      </c>
      <c r="V192" s="53" t="inlineStr">
        <is>
          <t>Loss</t>
        </is>
      </c>
    </row>
    <row r="193" ht="26.25" customHeight="1">
      <c r="A193" s="42" t="n">
        <v>6</v>
      </c>
      <c r="B193" s="42" t="inlineStr">
        <is>
          <t>2026-10-10</t>
        </is>
      </c>
      <c r="C193" s="42" t="inlineStr">
        <is>
          <t>ACC</t>
        </is>
      </c>
      <c r="D193" s="42" t="inlineStr">
        <is>
          <t>ACC</t>
        </is>
      </c>
      <c r="E193" s="42" t="inlineStr">
        <is>
          <t>Virginia Tech</t>
        </is>
      </c>
      <c r="F193" s="42" t="inlineStr">
        <is>
          <t>California</t>
        </is>
      </c>
      <c r="G193" s="42" t="n">
        <v>5.3</v>
      </c>
      <c r="H193" s="42" t="n">
        <v>10</v>
      </c>
      <c r="I193" s="56" t="n">
        <v>4.7</v>
      </c>
      <c r="J193" s="42" t="n">
        <v>6.7</v>
      </c>
      <c r="K193" s="42" t="n">
        <v>11.5</v>
      </c>
      <c r="L193" s="42" t="n">
        <v>47.2</v>
      </c>
      <c r="M193" s="42" t="n">
        <v>53.5</v>
      </c>
      <c r="N193" s="47" t="n">
        <v>-6.3</v>
      </c>
      <c r="O193" s="42" t="n">
        <v>20</v>
      </c>
      <c r="P193" s="42" t="n">
        <v>25</v>
      </c>
      <c r="Q193" s="48" t="inlineStr">
        <is>
          <t>Loss</t>
        </is>
      </c>
      <c r="R193" s="42" t="n">
        <v>5</v>
      </c>
      <c r="S193" s="52" t="inlineStr">
        <is>
          <t>Win</t>
        </is>
      </c>
      <c r="T193" s="52" t="inlineStr">
        <is>
          <t>Win</t>
        </is>
      </c>
      <c r="U193" s="52" t="inlineStr">
        <is>
          <t>Win</t>
        </is>
      </c>
      <c r="V193" s="53" t="inlineStr">
        <is>
          <t>Loss</t>
        </is>
      </c>
    </row>
    <row r="194">
      <c r="A194" s="42" t="n">
        <v>6</v>
      </c>
      <c r="B194" s="42" t="inlineStr">
        <is>
          <t>2026-10-10</t>
        </is>
      </c>
      <c r="C194" s="42" t="inlineStr">
        <is>
          <t>ACC</t>
        </is>
      </c>
      <c r="D194" s="42" t="inlineStr">
        <is>
          <t>ACC</t>
        </is>
      </c>
      <c r="E194" s="42" t="inlineStr">
        <is>
          <t>Duke</t>
        </is>
      </c>
      <c r="F194" s="42" t="inlineStr">
        <is>
          <t>Georgia Tech</t>
        </is>
      </c>
      <c r="G194" s="42" t="n">
        <v>7.4</v>
      </c>
      <c r="H194" s="42" t="n">
        <v>6.5</v>
      </c>
      <c r="I194" s="42" t="n">
        <v>-0.9</v>
      </c>
      <c r="J194" s="42" t="n">
        <v>7.6</v>
      </c>
      <c r="K194" s="42" t="n">
        <v>11.1</v>
      </c>
      <c r="L194" s="42" t="n">
        <v>54.5</v>
      </c>
      <c r="M194" s="42" t="n">
        <v>43.5</v>
      </c>
      <c r="N194" s="47" t="n">
        <v>11</v>
      </c>
      <c r="O194" s="42" t="n">
        <v>25</v>
      </c>
      <c r="P194" s="42" t="n">
        <v>28</v>
      </c>
      <c r="Q194" s="48" t="inlineStr">
        <is>
          <t>Loss</t>
        </is>
      </c>
      <c r="R194" s="42" t="n">
        <v>6.3</v>
      </c>
      <c r="S194" s="53" t="inlineStr">
        <is>
          <t>Loss</t>
        </is>
      </c>
      <c r="T194" s="53" t="inlineStr">
        <is>
          <t>Loss</t>
        </is>
      </c>
      <c r="U194" s="53" t="inlineStr">
        <is>
          <t>Loss</t>
        </is>
      </c>
      <c r="V194" s="53" t="inlineStr">
        <is>
          <t>Loss</t>
        </is>
      </c>
    </row>
    <row r="195">
      <c r="A195" s="42" t="n">
        <v>6</v>
      </c>
      <c r="B195" s="42" t="inlineStr">
        <is>
          <t>2026-10-10</t>
        </is>
      </c>
      <c r="C195" s="42" t="inlineStr">
        <is>
          <t>ACC</t>
        </is>
      </c>
      <c r="D195" s="42" t="inlineStr">
        <is>
          <t>ACC</t>
        </is>
      </c>
      <c r="E195" s="42" t="inlineStr">
        <is>
          <t>Wake Forest</t>
        </is>
      </c>
      <c r="F195" s="42" t="inlineStr">
        <is>
          <t>NC State</t>
        </is>
      </c>
      <c r="G195" s="42" t="n">
        <v>3.8</v>
      </c>
      <c r="H195" s="42" t="n">
        <v>3.5</v>
      </c>
      <c r="I195" s="42" t="n">
        <v>-0.3</v>
      </c>
      <c r="J195" s="42" t="n">
        <v>-5.7</v>
      </c>
      <c r="K195" s="42" t="n">
        <v>0.6</v>
      </c>
      <c r="L195" s="42" t="n">
        <v>56.9</v>
      </c>
      <c r="M195" s="42" t="n">
        <v>59.5</v>
      </c>
      <c r="N195" s="47" t="n">
        <v>-2.6</v>
      </c>
      <c r="O195" s="42" t="n">
        <v>38</v>
      </c>
      <c r="P195" s="42" t="n">
        <v>14</v>
      </c>
      <c r="Q195" s="47" t="inlineStr">
        <is>
          <t>Win</t>
        </is>
      </c>
      <c r="R195" s="42" t="n">
        <v>0.3</v>
      </c>
      <c r="S195" s="52" t="inlineStr">
        <is>
          <t>Win</t>
        </is>
      </c>
      <c r="T195" s="53" t="inlineStr">
        <is>
          <t>Loss</t>
        </is>
      </c>
      <c r="U195" s="53" t="inlineStr">
        <is>
          <t>Loss</t>
        </is>
      </c>
      <c r="V195" s="53" t="inlineStr">
        <is>
          <t>Loss</t>
        </is>
      </c>
    </row>
    <row r="196">
      <c r="A196" s="42" t="n">
        <v>6</v>
      </c>
      <c r="B196" s="42" t="inlineStr">
        <is>
          <t>2026-10-10</t>
        </is>
      </c>
      <c r="C196" s="42" t="inlineStr">
        <is>
          <t>ACC</t>
        </is>
      </c>
      <c r="D196" s="42" t="inlineStr">
        <is>
          <t>ACC</t>
        </is>
      </c>
      <c r="E196" s="42" t="inlineStr">
        <is>
          <t>North Carolina</t>
        </is>
      </c>
      <c r="F196" s="42" t="inlineStr">
        <is>
          <t>Pittsburgh</t>
        </is>
      </c>
      <c r="G196" s="42" t="n">
        <v>-6.8</v>
      </c>
      <c r="H196" s="42" t="n">
        <v>-3.8</v>
      </c>
      <c r="I196" s="47" t="n">
        <v>3</v>
      </c>
      <c r="J196" s="42" t="n">
        <v>-10.6</v>
      </c>
      <c r="K196" s="42" t="n">
        <v>-15.4</v>
      </c>
      <c r="L196" s="42" t="n">
        <v>49</v>
      </c>
      <c r="M196" s="42" t="n">
        <v>47.2</v>
      </c>
      <c r="N196" s="42" t="n">
        <v>1.8</v>
      </c>
      <c r="O196" s="42" t="n">
        <v>21</v>
      </c>
      <c r="P196" s="42" t="n">
        <v>17</v>
      </c>
      <c r="Q196" s="48" t="inlineStr">
        <is>
          <t>Loss</t>
        </is>
      </c>
      <c r="R196" s="42" t="n">
        <v>-12</v>
      </c>
      <c r="S196" s="53" t="inlineStr">
        <is>
          <t>Loss</t>
        </is>
      </c>
      <c r="T196" s="53" t="inlineStr">
        <is>
          <t>Loss</t>
        </is>
      </c>
      <c r="U196" s="53" t="inlineStr">
        <is>
          <t>Loss</t>
        </is>
      </c>
      <c r="V196" s="53" t="inlineStr">
        <is>
          <t>Loss</t>
        </is>
      </c>
    </row>
    <row r="197">
      <c r="A197" s="42" t="n">
        <v>6</v>
      </c>
      <c r="B197" s="42" t="inlineStr">
        <is>
          <t>2026-10-10</t>
        </is>
      </c>
      <c r="C197" s="42" t="inlineStr">
        <is>
          <t>ACC</t>
        </is>
      </c>
      <c r="D197" s="42" t="inlineStr">
        <is>
          <t>ACC</t>
        </is>
      </c>
      <c r="E197" s="42" t="inlineStr">
        <is>
          <t>Syracuse</t>
        </is>
      </c>
      <c r="F197" s="42" t="inlineStr">
        <is>
          <t>Virginia</t>
        </is>
      </c>
      <c r="G197" s="42" t="n">
        <v>-20.5</v>
      </c>
      <c r="H197" s="42" t="n">
        <v>-9.800000000000001</v>
      </c>
      <c r="I197" s="56" t="n">
        <v>10.7</v>
      </c>
      <c r="J197" s="42" t="n">
        <v>-4.2</v>
      </c>
      <c r="K197" s="42" t="n">
        <v>-5.7</v>
      </c>
      <c r="L197" s="42" t="n">
        <v>44.5</v>
      </c>
      <c r="M197" s="42" t="n">
        <v>50.5</v>
      </c>
      <c r="N197" s="47" t="n">
        <v>-6</v>
      </c>
      <c r="O197" s="42" t="n">
        <v>25</v>
      </c>
      <c r="P197" s="42" t="n">
        <v>28</v>
      </c>
      <c r="Q197" s="47" t="inlineStr">
        <is>
          <t>Win</t>
        </is>
      </c>
      <c r="R197" s="42" t="n">
        <v>-3.7</v>
      </c>
      <c r="S197" s="53" t="inlineStr">
        <is>
          <t>Loss</t>
        </is>
      </c>
      <c r="T197" s="52" t="inlineStr">
        <is>
          <t>Win</t>
        </is>
      </c>
      <c r="U197" s="52" t="inlineStr">
        <is>
          <t>Win</t>
        </is>
      </c>
      <c r="V197" s="52" t="inlineStr">
        <is>
          <t>Win</t>
        </is>
      </c>
    </row>
    <row r="198">
      <c r="A198" s="42" t="n">
        <v>6</v>
      </c>
      <c r="B198" s="42" t="inlineStr">
        <is>
          <t>2026-10-08</t>
        </is>
      </c>
      <c r="C198" s="42" t="inlineStr">
        <is>
          <t>American Athletic</t>
        </is>
      </c>
      <c r="D198" s="42" t="inlineStr">
        <is>
          <t>American Athletic</t>
        </is>
      </c>
      <c r="E198" s="42" t="inlineStr">
        <is>
          <t>South Florida</t>
        </is>
      </c>
      <c r="F198" s="42" t="inlineStr">
        <is>
          <t>UTSA</t>
        </is>
      </c>
      <c r="G198" s="42" t="n">
        <v>-3.1</v>
      </c>
      <c r="H198" s="42" t="n">
        <v>-5.5</v>
      </c>
      <c r="I198" s="47" t="n">
        <v>-2.4</v>
      </c>
      <c r="J198" s="42" t="n">
        <v>-6.8</v>
      </c>
      <c r="K198" s="42" t="n">
        <v>-1.2</v>
      </c>
      <c r="L198" s="42" t="n">
        <v>55.6</v>
      </c>
      <c r="M198" s="42" t="n">
        <v>49.5</v>
      </c>
      <c r="N198" s="47" t="n">
        <v>6.1</v>
      </c>
      <c r="O198" s="42" t="n">
        <v>24</v>
      </c>
      <c r="P198" s="42" t="n">
        <v>31</v>
      </c>
      <c r="Q198" s="47" t="inlineStr">
        <is>
          <t>Win</t>
        </is>
      </c>
      <c r="R198" s="42" t="n">
        <v>-8.1</v>
      </c>
      <c r="S198" s="53" t="inlineStr">
        <is>
          <t>Loss</t>
        </is>
      </c>
      <c r="T198" s="52" t="inlineStr">
        <is>
          <t>Win</t>
        </is>
      </c>
      <c r="U198" s="52" t="inlineStr">
        <is>
          <t>Win</t>
        </is>
      </c>
      <c r="V198" s="53" t="inlineStr">
        <is>
          <t>Loss</t>
        </is>
      </c>
    </row>
    <row r="199">
      <c r="A199" s="42" t="n">
        <v>6</v>
      </c>
      <c r="B199" s="42" t="inlineStr">
        <is>
          <t>2026-10-10</t>
        </is>
      </c>
      <c r="C199" s="42" t="inlineStr">
        <is>
          <t>American Athletic</t>
        </is>
      </c>
      <c r="D199" s="42" t="inlineStr">
        <is>
          <t>American Athletic</t>
        </is>
      </c>
      <c r="E199" s="42" t="inlineStr">
        <is>
          <t>Tulane</t>
        </is>
      </c>
      <c r="F199" s="42" t="inlineStr">
        <is>
          <t>Army</t>
        </is>
      </c>
      <c r="G199" s="42" t="n">
        <v>-4</v>
      </c>
      <c r="H199" s="42" t="n">
        <v>-3</v>
      </c>
      <c r="I199" s="42" t="n">
        <v>1</v>
      </c>
      <c r="J199" s="42" t="n">
        <v>3.8</v>
      </c>
      <c r="K199" s="42" t="n">
        <v>-12</v>
      </c>
      <c r="L199" s="42" t="n">
        <v>57.7</v>
      </c>
      <c r="M199" s="42" t="n">
        <v>48.5</v>
      </c>
      <c r="N199" s="47" t="n">
        <v>9.199999999999999</v>
      </c>
      <c r="O199" s="42" t="n">
        <v>17</v>
      </c>
      <c r="P199" s="42" t="n">
        <v>20</v>
      </c>
      <c r="Q199" s="47" t="inlineStr">
        <is>
          <t>Win</t>
        </is>
      </c>
      <c r="R199" s="42" t="n">
        <v>-4.1</v>
      </c>
      <c r="S199" s="54" t="inlineStr">
        <is>
          <t>Push</t>
        </is>
      </c>
      <c r="T199" s="54" t="inlineStr">
        <is>
          <t>Push</t>
        </is>
      </c>
      <c r="U199" s="54" t="inlineStr">
        <is>
          <t>Push</t>
        </is>
      </c>
      <c r="V199" s="54" t="inlineStr">
        <is>
          <t>Push</t>
        </is>
      </c>
    </row>
    <row r="200">
      <c r="A200" s="42" t="n">
        <v>6</v>
      </c>
      <c r="B200" s="42" t="inlineStr">
        <is>
          <t>2026-10-10</t>
        </is>
      </c>
      <c r="C200" s="42" t="inlineStr">
        <is>
          <t>American Athletic</t>
        </is>
      </c>
      <c r="D200" s="42" t="inlineStr">
        <is>
          <t>American Athletic</t>
        </is>
      </c>
      <c r="E200" s="42" t="inlineStr">
        <is>
          <t>Rice</t>
        </is>
      </c>
      <c r="F200" s="42" t="inlineStr">
        <is>
          <t>East Carolina</t>
        </is>
      </c>
      <c r="G200" s="42" t="n">
        <v>-16.6</v>
      </c>
      <c r="H200" s="42" t="n">
        <v>-10</v>
      </c>
      <c r="I200" s="56" t="n">
        <v>6.6</v>
      </c>
      <c r="J200" s="42" t="n">
        <v>-10.5</v>
      </c>
      <c r="K200" s="42" t="n">
        <v>-8.5</v>
      </c>
      <c r="L200" s="42" t="n">
        <v>47.1</v>
      </c>
      <c r="M200" s="42" t="n">
        <v>47.2</v>
      </c>
      <c r="N200" s="42" t="n">
        <v>-0.2</v>
      </c>
      <c r="O200" s="42" t="n">
        <v>12</v>
      </c>
      <c r="P200" s="42" t="n">
        <v>28</v>
      </c>
      <c r="Q200" s="47" t="inlineStr">
        <is>
          <t>Win</t>
        </is>
      </c>
      <c r="R200" s="42" t="n">
        <v>-10.9</v>
      </c>
      <c r="S200" s="52" t="inlineStr">
        <is>
          <t>Win</t>
        </is>
      </c>
      <c r="T200" s="52" t="inlineStr">
        <is>
          <t>Win</t>
        </is>
      </c>
      <c r="U200" s="52" t="inlineStr">
        <is>
          <t>Win</t>
        </is>
      </c>
      <c r="V200" s="53" t="inlineStr">
        <is>
          <t>Loss</t>
        </is>
      </c>
    </row>
    <row r="201">
      <c r="A201" s="42" t="n">
        <v>6</v>
      </c>
      <c r="B201" s="42" t="inlineStr">
        <is>
          <t>2026-10-10</t>
        </is>
      </c>
      <c r="C201" s="42" t="inlineStr">
        <is>
          <t>American Athletic</t>
        </is>
      </c>
      <c r="D201" s="42" t="inlineStr">
        <is>
          <t>American Athletic</t>
        </is>
      </c>
      <c r="E201" s="42" t="inlineStr">
        <is>
          <t>UAB</t>
        </is>
      </c>
      <c r="F201" s="42" t="inlineStr">
        <is>
          <t>Memphis</t>
        </is>
      </c>
      <c r="G201" s="42" t="n">
        <v>-14.8</v>
      </c>
      <c r="H201" s="42" t="n">
        <v>-14</v>
      </c>
      <c r="I201" s="42" t="n">
        <v>0.8</v>
      </c>
      <c r="J201" s="42" t="n">
        <v>-12.8</v>
      </c>
      <c r="K201" s="42" t="n">
        <v>-14.4</v>
      </c>
      <c r="L201" s="42" t="n">
        <v>56.8</v>
      </c>
      <c r="M201" s="42" t="n">
        <v>53</v>
      </c>
      <c r="N201" s="47" t="n">
        <v>3.8</v>
      </c>
      <c r="O201" s="42" t="n">
        <v>13</v>
      </c>
      <c r="P201" s="42" t="n">
        <v>38</v>
      </c>
      <c r="Q201" s="47" t="inlineStr">
        <is>
          <t>Win</t>
        </is>
      </c>
      <c r="R201" s="42" t="n">
        <v>-11.7</v>
      </c>
      <c r="S201" s="52" t="inlineStr">
        <is>
          <t>Win</t>
        </is>
      </c>
      <c r="T201" s="53" t="inlineStr">
        <is>
          <t>Loss</t>
        </is>
      </c>
      <c r="U201" s="53" t="inlineStr">
        <is>
          <t>Loss</t>
        </is>
      </c>
      <c r="V201" s="52" t="inlineStr">
        <is>
          <t>Win</t>
        </is>
      </c>
    </row>
    <row r="202">
      <c r="A202" s="42" t="n">
        <v>6</v>
      </c>
      <c r="B202" s="42" t="inlineStr">
        <is>
          <t>2026-10-10</t>
        </is>
      </c>
      <c r="C202" s="42" t="inlineStr">
        <is>
          <t>American Athletic</t>
        </is>
      </c>
      <c r="D202" s="42" t="inlineStr">
        <is>
          <t>American Athletic</t>
        </is>
      </c>
      <c r="E202" s="42" t="inlineStr">
        <is>
          <t>Tulsa</t>
        </is>
      </c>
      <c r="F202" s="42" t="inlineStr">
        <is>
          <t>Navy</t>
        </is>
      </c>
      <c r="G202" s="42" t="n">
        <v>-14.6</v>
      </c>
      <c r="H202" s="42" t="n">
        <v>-1.8</v>
      </c>
      <c r="I202" s="56" t="n">
        <v>12.8</v>
      </c>
      <c r="J202" s="42" t="n">
        <v>-5.8</v>
      </c>
      <c r="K202" s="42" t="n">
        <v>1.8</v>
      </c>
      <c r="L202" s="42" t="n">
        <v>51.5</v>
      </c>
      <c r="M202" s="42" t="n">
        <v>48.8</v>
      </c>
      <c r="N202" s="47" t="n">
        <v>2.8</v>
      </c>
      <c r="O202" s="42" t="n">
        <v>26</v>
      </c>
      <c r="P202" s="42" t="n">
        <v>34</v>
      </c>
      <c r="Q202" s="47" t="inlineStr">
        <is>
          <t>Win</t>
        </is>
      </c>
      <c r="R202" s="42" t="n">
        <v>-5.6</v>
      </c>
      <c r="S202" s="52" t="inlineStr">
        <is>
          <t>Win</t>
        </is>
      </c>
      <c r="T202" s="52" t="inlineStr">
        <is>
          <t>Win</t>
        </is>
      </c>
      <c r="U202" s="52" t="inlineStr">
        <is>
          <t>Win</t>
        </is>
      </c>
      <c r="V202" s="53" t="inlineStr">
        <is>
          <t>Loss</t>
        </is>
      </c>
    </row>
    <row r="203">
      <c r="A203" s="42" t="n">
        <v>6</v>
      </c>
      <c r="B203" s="42" t="inlineStr">
        <is>
          <t>2026-10-10</t>
        </is>
      </c>
      <c r="C203" s="42" t="inlineStr">
        <is>
          <t>American Athletic</t>
        </is>
      </c>
      <c r="D203" s="42" t="inlineStr">
        <is>
          <t>American Athletic</t>
        </is>
      </c>
      <c r="E203" s="42" t="inlineStr">
        <is>
          <t>Charlotte</t>
        </is>
      </c>
      <c r="F203" s="42" t="inlineStr">
        <is>
          <t>North Texas</t>
        </is>
      </c>
      <c r="G203" s="42" t="n">
        <v>-24.7</v>
      </c>
      <c r="H203" s="42" t="n">
        <v>-28.2</v>
      </c>
      <c r="I203" s="47" t="n">
        <v>-3.5</v>
      </c>
      <c r="J203" s="42" t="n">
        <v>-21</v>
      </c>
      <c r="K203" s="42" t="n">
        <v>-24</v>
      </c>
      <c r="L203" s="42" t="n">
        <v>56.5</v>
      </c>
      <c r="M203" s="42" t="n">
        <v>57.8</v>
      </c>
      <c r="N203" s="42" t="n">
        <v>-1.2</v>
      </c>
      <c r="O203" s="42" t="n">
        <v>10</v>
      </c>
      <c r="P203" s="42" t="n">
        <v>50</v>
      </c>
      <c r="Q203" s="47" t="inlineStr">
        <is>
          <t>Win</t>
        </is>
      </c>
      <c r="R203" s="42" t="n">
        <v>-26.1</v>
      </c>
      <c r="S203" s="53" t="inlineStr">
        <is>
          <t>Loss</t>
        </is>
      </c>
      <c r="T203" s="53" t="inlineStr">
        <is>
          <t>Loss</t>
        </is>
      </c>
      <c r="U203" s="53" t="inlineStr">
        <is>
          <t>Loss</t>
        </is>
      </c>
      <c r="V203" s="53" t="inlineStr">
        <is>
          <t>Loss</t>
        </is>
      </c>
    </row>
    <row r="204">
      <c r="A204" s="42" t="n">
        <v>6</v>
      </c>
      <c r="B204" s="42" t="inlineStr">
        <is>
          <t>2026-10-10</t>
        </is>
      </c>
      <c r="C204" s="42" t="inlineStr">
        <is>
          <t>American Athletic</t>
        </is>
      </c>
      <c r="D204" s="42" t="inlineStr">
        <is>
          <t>FBS Independents</t>
        </is>
      </c>
      <c r="E204" s="42" t="inlineStr">
        <is>
          <t>UConn</t>
        </is>
      </c>
      <c r="F204" s="42" t="inlineStr">
        <is>
          <t>Temple</t>
        </is>
      </c>
      <c r="G204" s="42" t="n">
        <v>-8.800000000000001</v>
      </c>
      <c r="H204" s="42" t="n">
        <v>-3.5</v>
      </c>
      <c r="I204" s="56" t="n">
        <v>5.3</v>
      </c>
      <c r="J204" s="42" t="n">
        <v>-7.8</v>
      </c>
      <c r="K204" s="42" t="n">
        <v>-1.9</v>
      </c>
      <c r="L204" s="42" t="n">
        <v>57.5</v>
      </c>
      <c r="M204" s="42" t="n">
        <v>54.5</v>
      </c>
      <c r="N204" s="47" t="n">
        <v>3</v>
      </c>
      <c r="O204" s="42" t="n">
        <v>34</v>
      </c>
      <c r="P204" s="42" t="n">
        <v>20</v>
      </c>
      <c r="Q204" s="48" t="inlineStr">
        <is>
          <t>Loss</t>
        </is>
      </c>
      <c r="R204" s="42" t="n">
        <v>-0.5</v>
      </c>
      <c r="S204" s="53" t="inlineStr">
        <is>
          <t>Loss</t>
        </is>
      </c>
      <c r="T204" s="53" t="inlineStr">
        <is>
          <t>Loss</t>
        </is>
      </c>
      <c r="U204" s="52" t="inlineStr">
        <is>
          <t>Win</t>
        </is>
      </c>
      <c r="V204" s="52" t="inlineStr">
        <is>
          <t>Win</t>
        </is>
      </c>
    </row>
    <row r="205">
      <c r="A205" s="42" t="n">
        <v>6</v>
      </c>
      <c r="B205" s="42" t="inlineStr">
        <is>
          <t>2026-10-10</t>
        </is>
      </c>
      <c r="C205" s="42" t="inlineStr">
        <is>
          <t>Big 12</t>
        </is>
      </c>
      <c r="D205" s="42" t="inlineStr">
        <is>
          <t>Big 12</t>
        </is>
      </c>
      <c r="E205" s="42" t="inlineStr">
        <is>
          <t>Iowa State</t>
        </is>
      </c>
      <c r="F205" s="42" t="inlineStr">
        <is>
          <t>BYU</t>
        </is>
      </c>
      <c r="G205" s="42" t="n">
        <v>-9.300000000000001</v>
      </c>
      <c r="H205" s="42" t="n">
        <v>-10.5</v>
      </c>
      <c r="I205" s="42" t="n">
        <v>-1.2</v>
      </c>
      <c r="J205" s="42" t="n">
        <v>-17.9</v>
      </c>
      <c r="K205" s="42" t="n">
        <v>-8.199999999999999</v>
      </c>
      <c r="L205" s="42" t="n">
        <v>50.5</v>
      </c>
      <c r="M205" s="42" t="n">
        <v>46.2</v>
      </c>
      <c r="N205" s="47" t="n">
        <v>4.2</v>
      </c>
      <c r="O205" s="42" t="n">
        <v>10</v>
      </c>
      <c r="P205" s="42" t="n">
        <v>24</v>
      </c>
      <c r="Q205" s="47" t="inlineStr">
        <is>
          <t>Win</t>
        </is>
      </c>
      <c r="R205" s="42" t="n">
        <v>-14.5</v>
      </c>
      <c r="S205" s="53" t="inlineStr">
        <is>
          <t>Loss</t>
        </is>
      </c>
      <c r="T205" s="52" t="inlineStr">
        <is>
          <t>Win</t>
        </is>
      </c>
      <c r="U205" s="52" t="inlineStr">
        <is>
          <t>Win</t>
        </is>
      </c>
      <c r="V205" s="53" t="inlineStr">
        <is>
          <t>Loss</t>
        </is>
      </c>
    </row>
    <row r="206">
      <c r="A206" s="42" t="n">
        <v>6</v>
      </c>
      <c r="B206" s="42" t="inlineStr">
        <is>
          <t>2026-10-10</t>
        </is>
      </c>
      <c r="C206" s="42" t="inlineStr">
        <is>
          <t>Big 12</t>
        </is>
      </c>
      <c r="D206" s="42" t="inlineStr">
        <is>
          <t>Big 12</t>
        </is>
      </c>
      <c r="E206" s="42" t="inlineStr">
        <is>
          <t>Houston</t>
        </is>
      </c>
      <c r="F206" s="42" t="inlineStr">
        <is>
          <t>Kansas State</t>
        </is>
      </c>
      <c r="G206" s="42" t="n">
        <v>-5.6</v>
      </c>
      <c r="H206" s="42" t="n">
        <v>-2.5</v>
      </c>
      <c r="I206" s="47" t="n">
        <v>3.1</v>
      </c>
      <c r="J206" s="42" t="n">
        <v>-1.1</v>
      </c>
      <c r="K206" s="42" t="n">
        <v>4.4</v>
      </c>
      <c r="L206" s="42" t="n">
        <v>57.5</v>
      </c>
      <c r="M206" s="42" t="n">
        <v>55.2</v>
      </c>
      <c r="N206" s="47" t="n">
        <v>2.2</v>
      </c>
      <c r="O206" s="42" t="n">
        <v>35</v>
      </c>
      <c r="P206" s="42" t="n">
        <v>16</v>
      </c>
      <c r="Q206" s="48" t="inlineStr">
        <is>
          <t>Loss</t>
        </is>
      </c>
      <c r="R206" s="42" t="n">
        <v>-2.7</v>
      </c>
      <c r="S206" s="53" t="inlineStr">
        <is>
          <t>Loss</t>
        </is>
      </c>
      <c r="T206" s="52" t="inlineStr">
        <is>
          <t>Win</t>
        </is>
      </c>
      <c r="U206" s="53" t="inlineStr">
        <is>
          <t>Loss</t>
        </is>
      </c>
      <c r="V206" s="52" t="inlineStr">
        <is>
          <t>Win</t>
        </is>
      </c>
    </row>
    <row r="207">
      <c r="A207" s="42" t="n">
        <v>6</v>
      </c>
      <c r="B207" s="42" t="inlineStr">
        <is>
          <t>2026-10-10</t>
        </is>
      </c>
      <c r="C207" s="42" t="inlineStr">
        <is>
          <t>Big 12</t>
        </is>
      </c>
      <c r="D207" s="42" t="inlineStr">
        <is>
          <t>Big 12</t>
        </is>
      </c>
      <c r="E207" s="42" t="inlineStr">
        <is>
          <t>UCF</t>
        </is>
      </c>
      <c r="F207" s="42" t="inlineStr">
        <is>
          <t>Oklahoma State</t>
        </is>
      </c>
      <c r="G207" s="42" t="n">
        <v>2</v>
      </c>
      <c r="H207" s="42" t="n">
        <v>-10.5</v>
      </c>
      <c r="I207" s="56" t="n">
        <v>-12.5</v>
      </c>
      <c r="J207" s="42" t="n">
        <v>1.5</v>
      </c>
      <c r="K207" s="42" t="n">
        <v>0.1</v>
      </c>
      <c r="L207" s="42" t="n">
        <v>44.9</v>
      </c>
      <c r="M207" s="42" t="n">
        <v>53.5</v>
      </c>
      <c r="N207" s="47" t="n">
        <v>-8.6</v>
      </c>
      <c r="O207" s="42" t="n">
        <v>28</v>
      </c>
      <c r="P207" s="42" t="n">
        <v>42</v>
      </c>
      <c r="Q207" s="48" t="inlineStr">
        <is>
          <t>Loss</t>
        </is>
      </c>
      <c r="R207" s="42" t="n">
        <v>0.6</v>
      </c>
      <c r="S207" s="53" t="inlineStr">
        <is>
          <t>Loss</t>
        </is>
      </c>
      <c r="T207" s="53" t="inlineStr">
        <is>
          <t>Loss</t>
        </is>
      </c>
      <c r="U207" s="53" t="inlineStr">
        <is>
          <t>Loss</t>
        </is>
      </c>
      <c r="V207" s="53" t="inlineStr">
        <is>
          <t>Loss</t>
        </is>
      </c>
    </row>
    <row r="208">
      <c r="A208" s="42" t="n">
        <v>6</v>
      </c>
      <c r="B208" s="42" t="inlineStr">
        <is>
          <t>2026-10-10</t>
        </is>
      </c>
      <c r="C208" s="42" t="inlineStr">
        <is>
          <t>Big 12</t>
        </is>
      </c>
      <c r="D208" s="42" t="inlineStr">
        <is>
          <t>Big 12</t>
        </is>
      </c>
      <c r="E208" s="42" t="inlineStr">
        <is>
          <t>Arizona</t>
        </is>
      </c>
      <c r="F208" s="42" t="inlineStr">
        <is>
          <t>West Virginia</t>
        </is>
      </c>
      <c r="G208" s="42" t="n">
        <v>5.1</v>
      </c>
      <c r="H208" s="42" t="n">
        <v>3</v>
      </c>
      <c r="I208" s="47" t="n">
        <v>-2.1</v>
      </c>
      <c r="J208" s="42" t="n">
        <v>10.5</v>
      </c>
      <c r="K208" s="42" t="n">
        <v>0.4</v>
      </c>
      <c r="L208" s="42" t="n">
        <v>54.1</v>
      </c>
      <c r="M208" s="42" t="n">
        <v>60.8</v>
      </c>
      <c r="N208" s="47" t="n">
        <v>-6.7</v>
      </c>
      <c r="O208" s="42" t="n">
        <v>52</v>
      </c>
      <c r="P208" s="42" t="n">
        <v>31</v>
      </c>
      <c r="Q208" s="47" t="inlineStr">
        <is>
          <t>Win</t>
        </is>
      </c>
      <c r="R208" s="42" t="n">
        <v>6.8</v>
      </c>
      <c r="S208" s="52" t="inlineStr">
        <is>
          <t>Win</t>
        </is>
      </c>
      <c r="T208" s="52" t="inlineStr">
        <is>
          <t>Win</t>
        </is>
      </c>
      <c r="U208" s="52" t="inlineStr">
        <is>
          <t>Win</t>
        </is>
      </c>
      <c r="V208" s="53" t="inlineStr">
        <is>
          <t>Loss</t>
        </is>
      </c>
    </row>
    <row r="209">
      <c r="A209" s="42" t="n">
        <v>6</v>
      </c>
      <c r="B209" s="42" t="inlineStr">
        <is>
          <t>2026-10-11</t>
        </is>
      </c>
      <c r="C209" s="42" t="inlineStr">
        <is>
          <t>Big 12</t>
        </is>
      </c>
      <c r="D209" s="42" t="inlineStr">
        <is>
          <t>Mountain West</t>
        </is>
      </c>
      <c r="E209" s="42" t="inlineStr">
        <is>
          <t>Hawai'i</t>
        </is>
      </c>
      <c r="F209" s="42" t="inlineStr">
        <is>
          <t>Arizona State</t>
        </is>
      </c>
      <c r="G209" s="42" t="n">
        <v>-17.3</v>
      </c>
      <c r="H209" s="42" t="n">
        <v>-20.8</v>
      </c>
      <c r="I209" s="47" t="n">
        <v>-3.5</v>
      </c>
      <c r="J209" s="42" t="n">
        <v>-17.2</v>
      </c>
      <c r="K209" s="42" t="n">
        <v>-14.5</v>
      </c>
      <c r="L209" s="42" t="n">
        <v>47.9</v>
      </c>
      <c r="M209" s="42" t="n">
        <v>50.5</v>
      </c>
      <c r="N209" s="47" t="n">
        <v>-2.6</v>
      </c>
      <c r="O209" s="42" t="n">
        <v>12</v>
      </c>
      <c r="P209" s="42" t="n">
        <v>30</v>
      </c>
      <c r="Q209" s="47" t="inlineStr">
        <is>
          <t>Win</t>
        </is>
      </c>
      <c r="R209" s="42" t="n">
        <v>-14.6</v>
      </c>
      <c r="S209" s="52" t="inlineStr">
        <is>
          <t>Win</t>
        </is>
      </c>
      <c r="T209" s="52" t="inlineStr">
        <is>
          <t>Win</t>
        </is>
      </c>
      <c r="U209" s="52" t="inlineStr">
        <is>
          <t>Win</t>
        </is>
      </c>
      <c r="V209" s="52" t="inlineStr">
        <is>
          <t>Win</t>
        </is>
      </c>
    </row>
    <row r="210">
      <c r="A210" s="42" t="n">
        <v>6</v>
      </c>
      <c r="B210" s="42" t="inlineStr">
        <is>
          <t>2026-10-11</t>
        </is>
      </c>
      <c r="C210" s="42" t="inlineStr">
        <is>
          <t>Big 12</t>
        </is>
      </c>
      <c r="D210" s="42" t="inlineStr">
        <is>
          <t>Big 12</t>
        </is>
      </c>
      <c r="E210" s="42" t="inlineStr">
        <is>
          <t>Kansas</t>
        </is>
      </c>
      <c r="F210" s="42" t="inlineStr">
        <is>
          <t>Utah</t>
        </is>
      </c>
      <c r="G210" s="42" t="n">
        <v>-24.1</v>
      </c>
      <c r="H210" s="42" t="n">
        <v>-15.8</v>
      </c>
      <c r="I210" s="56" t="n">
        <v>8.300000000000001</v>
      </c>
      <c r="J210" s="42" t="n">
        <v>-20.3</v>
      </c>
      <c r="K210" s="42" t="n">
        <v>-12.3</v>
      </c>
      <c r="L210" s="42" t="n">
        <v>52.6</v>
      </c>
      <c r="M210" s="42" t="n">
        <v>51.2</v>
      </c>
      <c r="N210" s="42" t="n">
        <v>1.3</v>
      </c>
      <c r="O210" s="42" t="n">
        <v>24</v>
      </c>
      <c r="P210" s="42" t="n">
        <v>41</v>
      </c>
      <c r="Q210" s="47" t="inlineStr">
        <is>
          <t>Win</t>
        </is>
      </c>
      <c r="R210" s="42" t="n">
        <v>-21.2</v>
      </c>
      <c r="S210" s="52" t="inlineStr">
        <is>
          <t>Win</t>
        </is>
      </c>
      <c r="T210" s="52" t="inlineStr">
        <is>
          <t>Win</t>
        </is>
      </c>
      <c r="U210" s="52" t="inlineStr">
        <is>
          <t>Win</t>
        </is>
      </c>
      <c r="V210" s="53" t="inlineStr">
        <is>
          <t>Loss</t>
        </is>
      </c>
    </row>
    <row r="211">
      <c r="A211" s="42" t="n">
        <v>6</v>
      </c>
      <c r="B211" s="42" t="inlineStr">
        <is>
          <t>2026-10-10</t>
        </is>
      </c>
      <c r="C211" s="42" t="inlineStr">
        <is>
          <t>Big Ten</t>
        </is>
      </c>
      <c r="D211" s="42" t="inlineStr">
        <is>
          <t>Big Ten</t>
        </is>
      </c>
      <c r="E211" s="42" t="inlineStr">
        <is>
          <t>Illinois</t>
        </is>
      </c>
      <c r="F211" s="42" t="inlineStr">
        <is>
          <t>Michigan State</t>
        </is>
      </c>
      <c r="G211" s="42" t="n">
        <v>1.2</v>
      </c>
      <c r="H211" s="42" t="n">
        <v>2.5</v>
      </c>
      <c r="I211" s="42" t="n">
        <v>1.3</v>
      </c>
      <c r="J211" s="42" t="n">
        <v>6.9</v>
      </c>
      <c r="K211" s="42" t="n">
        <v>-2.1</v>
      </c>
      <c r="L211" s="42" t="n">
        <v>52.3</v>
      </c>
      <c r="M211" s="42" t="n">
        <v>47.8</v>
      </c>
      <c r="N211" s="47" t="n">
        <v>4.6</v>
      </c>
      <c r="O211" s="42" t="n">
        <v>38</v>
      </c>
      <c r="P211" s="42" t="n">
        <v>37</v>
      </c>
      <c r="Q211" s="47" t="inlineStr">
        <is>
          <t>Win</t>
        </is>
      </c>
      <c r="R211" s="42" t="n">
        <v>8.5</v>
      </c>
      <c r="S211" s="52" t="inlineStr">
        <is>
          <t>Win</t>
        </is>
      </c>
      <c r="T211" s="53" t="inlineStr">
        <is>
          <t>Loss</t>
        </is>
      </c>
      <c r="U211" s="53" t="inlineStr">
        <is>
          <t>Loss</t>
        </is>
      </c>
      <c r="V211" s="52" t="inlineStr">
        <is>
          <t>Win</t>
        </is>
      </c>
    </row>
    <row r="212">
      <c r="A212" s="42" t="n">
        <v>6</v>
      </c>
      <c r="B212" s="42" t="inlineStr">
        <is>
          <t>2026-10-10</t>
        </is>
      </c>
      <c r="C212" s="42" t="inlineStr">
        <is>
          <t>Big Ten</t>
        </is>
      </c>
      <c r="D212" s="42" t="inlineStr">
        <is>
          <t>Big Ten</t>
        </is>
      </c>
      <c r="E212" s="42" t="inlineStr">
        <is>
          <t>Indiana</t>
        </is>
      </c>
      <c r="F212" s="42" t="inlineStr">
        <is>
          <t>Nebraska</t>
        </is>
      </c>
      <c r="G212" s="42" t="n">
        <v>14.6</v>
      </c>
      <c r="H212" s="42" t="n">
        <v>7.5</v>
      </c>
      <c r="I212" s="56" t="n">
        <v>-7.1</v>
      </c>
      <c r="J212" s="42" t="n">
        <v>10.1</v>
      </c>
      <c r="K212" s="42" t="n">
        <v>-0.9</v>
      </c>
      <c r="L212" s="42" t="n">
        <v>54</v>
      </c>
      <c r="M212" s="42" t="n">
        <v>47.8</v>
      </c>
      <c r="N212" s="47" t="n">
        <v>6.2</v>
      </c>
      <c r="O212" s="42" t="n">
        <v>20</v>
      </c>
      <c r="P212" s="42" t="n">
        <v>17</v>
      </c>
      <c r="Q212" s="47" t="inlineStr">
        <is>
          <t>Win</t>
        </is>
      </c>
      <c r="R212" s="42" t="n">
        <v>13.5</v>
      </c>
      <c r="S212" s="53" t="inlineStr">
        <is>
          <t>Loss</t>
        </is>
      </c>
      <c r="T212" s="53" t="inlineStr">
        <is>
          <t>Loss</t>
        </is>
      </c>
      <c r="U212" s="53" t="inlineStr">
        <is>
          <t>Loss</t>
        </is>
      </c>
      <c r="V212" s="52" t="inlineStr">
        <is>
          <t>Win</t>
        </is>
      </c>
    </row>
    <row r="213">
      <c r="A213" s="42" t="n">
        <v>6</v>
      </c>
      <c r="B213" s="42" t="inlineStr">
        <is>
          <t>2026-10-10</t>
        </is>
      </c>
      <c r="C213" s="42" t="inlineStr">
        <is>
          <t>Big Ten</t>
        </is>
      </c>
      <c r="D213" s="42" t="inlineStr">
        <is>
          <t>Mid-American</t>
        </is>
      </c>
      <c r="E213" s="42" t="inlineStr">
        <is>
          <t>Ball State</t>
        </is>
      </c>
      <c r="F213" s="42" t="inlineStr">
        <is>
          <t>Northwestern</t>
        </is>
      </c>
      <c r="G213" s="42" t="n">
        <v>-34.6</v>
      </c>
      <c r="H213" s="42" t="n">
        <v>-35.8</v>
      </c>
      <c r="I213" s="42" t="n">
        <v>-1.2</v>
      </c>
      <c r="J213" s="42" t="n">
        <v>-34.3</v>
      </c>
      <c r="K213" s="42" t="n">
        <v>-28.4</v>
      </c>
      <c r="L213" s="42" t="n">
        <v>53.2</v>
      </c>
      <c r="M213" s="42" t="n">
        <v>52.5</v>
      </c>
      <c r="N213" s="42" t="n">
        <v>0.7</v>
      </c>
      <c r="O213" s="42" t="n">
        <v>14</v>
      </c>
      <c r="P213" s="42" t="n">
        <v>45</v>
      </c>
      <c r="Q213" s="47" t="inlineStr">
        <is>
          <t>Win</t>
        </is>
      </c>
      <c r="R213" s="42" t="n">
        <v>-26.4</v>
      </c>
      <c r="S213" s="52" t="inlineStr">
        <is>
          <t>Win</t>
        </is>
      </c>
      <c r="T213" s="52" t="inlineStr">
        <is>
          <t>Win</t>
        </is>
      </c>
      <c r="U213" s="52" t="inlineStr">
        <is>
          <t>Win</t>
        </is>
      </c>
      <c r="V213" s="52" t="inlineStr">
        <is>
          <t>Win</t>
        </is>
      </c>
    </row>
    <row r="214">
      <c r="A214" s="42" t="n">
        <v>6</v>
      </c>
      <c r="B214" s="42" t="inlineStr">
        <is>
          <t>2026-10-10</t>
        </is>
      </c>
      <c r="C214" s="42" t="inlineStr">
        <is>
          <t>Big Ten</t>
        </is>
      </c>
      <c r="D214" s="42" t="inlineStr">
        <is>
          <t>Big Ten</t>
        </is>
      </c>
      <c r="E214" s="42" t="inlineStr">
        <is>
          <t>Maryland</t>
        </is>
      </c>
      <c r="F214" s="42" t="inlineStr">
        <is>
          <t>Ohio State</t>
        </is>
      </c>
      <c r="G214" s="42" t="n">
        <v>-35.9</v>
      </c>
      <c r="H214" s="42" t="n">
        <v>-32.2</v>
      </c>
      <c r="I214" s="47" t="n">
        <v>3.7</v>
      </c>
      <c r="J214" s="42" t="n">
        <v>-33.2</v>
      </c>
      <c r="K214" s="42" t="n">
        <v>-20.7</v>
      </c>
      <c r="L214" s="42" t="n">
        <v>47.7</v>
      </c>
      <c r="M214" s="42" t="n">
        <v>56.2</v>
      </c>
      <c r="N214" s="47" t="n">
        <v>-8.6</v>
      </c>
      <c r="O214" s="42" t="n">
        <v>16</v>
      </c>
      <c r="P214" s="42" t="n">
        <v>45</v>
      </c>
      <c r="Q214" s="47" t="inlineStr">
        <is>
          <t>Win</t>
        </is>
      </c>
      <c r="R214" s="42" t="n">
        <v>-31.3</v>
      </c>
      <c r="S214" s="53" t="inlineStr">
        <is>
          <t>Loss</t>
        </is>
      </c>
      <c r="T214" s="53" t="inlineStr">
        <is>
          <t>Loss</t>
        </is>
      </c>
      <c r="U214" s="53" t="inlineStr">
        <is>
          <t>Loss</t>
        </is>
      </c>
      <c r="V214" s="52" t="inlineStr">
        <is>
          <t>Win</t>
        </is>
      </c>
    </row>
    <row r="215">
      <c r="A215" s="42" t="n">
        <v>6</v>
      </c>
      <c r="B215" s="42" t="inlineStr">
        <is>
          <t>2026-10-10</t>
        </is>
      </c>
      <c r="C215" s="42" t="inlineStr">
        <is>
          <t>Big Ten</t>
        </is>
      </c>
      <c r="D215" s="42" t="inlineStr">
        <is>
          <t>Big Ten</t>
        </is>
      </c>
      <c r="E215" s="42" t="inlineStr">
        <is>
          <t>UCLA</t>
        </is>
      </c>
      <c r="F215" s="42" t="inlineStr">
        <is>
          <t>Oregon</t>
        </is>
      </c>
      <c r="G215" s="42" t="n">
        <v>-10.2</v>
      </c>
      <c r="H215" s="42" t="n">
        <v>-11.5</v>
      </c>
      <c r="I215" s="42" t="n">
        <v>-1.3</v>
      </c>
      <c r="J215" s="42" t="n">
        <v>-20.4</v>
      </c>
      <c r="K215" s="42" t="n">
        <v>-2.5</v>
      </c>
      <c r="L215" s="42" t="n">
        <v>51.4</v>
      </c>
      <c r="M215" s="42" t="n">
        <v>59.2</v>
      </c>
      <c r="N215" s="47" t="n">
        <v>-7.9</v>
      </c>
      <c r="O215" s="42" t="n">
        <v>17</v>
      </c>
      <c r="P215" s="42" t="n">
        <v>15</v>
      </c>
      <c r="Q215" s="48" t="inlineStr">
        <is>
          <t>Loss</t>
        </is>
      </c>
      <c r="R215" s="42" t="n">
        <v>-26.5</v>
      </c>
      <c r="S215" s="52" t="inlineStr">
        <is>
          <t>Win</t>
        </is>
      </c>
      <c r="T215" s="53" t="inlineStr">
        <is>
          <t>Loss</t>
        </is>
      </c>
      <c r="U215" s="53" t="inlineStr">
        <is>
          <t>Loss</t>
        </is>
      </c>
      <c r="V215" s="52" t="inlineStr">
        <is>
          <t>Win</t>
        </is>
      </c>
    </row>
    <row r="216">
      <c r="A216" s="42" t="n">
        <v>6</v>
      </c>
      <c r="B216" s="42" t="inlineStr">
        <is>
          <t>2026-10-10</t>
        </is>
      </c>
      <c r="C216" s="42" t="inlineStr">
        <is>
          <t>Big Ten</t>
        </is>
      </c>
      <c r="D216" s="42" t="inlineStr">
        <is>
          <t>Big Ten</t>
        </is>
      </c>
      <c r="E216" s="42" t="inlineStr">
        <is>
          <t>USC</t>
        </is>
      </c>
      <c r="F216" s="42" t="inlineStr">
        <is>
          <t>Penn State</t>
        </is>
      </c>
      <c r="G216" s="42" t="n">
        <v>-5.1</v>
      </c>
      <c r="H216" s="42" t="n">
        <v>-1.5</v>
      </c>
      <c r="I216" s="47" t="n">
        <v>3.6</v>
      </c>
      <c r="J216" s="42" t="n">
        <v>6.3</v>
      </c>
      <c r="K216" s="42" t="n">
        <v>-4.8</v>
      </c>
      <c r="L216" s="42" t="n">
        <v>54.2</v>
      </c>
      <c r="M216" s="42" t="n">
        <v>54.8</v>
      </c>
      <c r="N216" s="42" t="n">
        <v>-0.6</v>
      </c>
      <c r="O216" s="42" t="n">
        <v>31</v>
      </c>
      <c r="P216" s="42" t="n">
        <v>23</v>
      </c>
      <c r="Q216" s="48" t="inlineStr">
        <is>
          <t>Loss</t>
        </is>
      </c>
      <c r="R216" s="42" t="n">
        <v>1</v>
      </c>
      <c r="S216" s="53" t="inlineStr">
        <is>
          <t>Loss</t>
        </is>
      </c>
      <c r="T216" s="52" t="inlineStr">
        <is>
          <t>Win</t>
        </is>
      </c>
      <c r="U216" s="52" t="inlineStr">
        <is>
          <t>Win</t>
        </is>
      </c>
      <c r="V216" s="53" t="inlineStr">
        <is>
          <t>Loss</t>
        </is>
      </c>
    </row>
    <row r="217">
      <c r="A217" s="42" t="n">
        <v>6</v>
      </c>
      <c r="B217" s="42" t="inlineStr">
        <is>
          <t>2026-10-10</t>
        </is>
      </c>
      <c r="C217" s="42" t="inlineStr">
        <is>
          <t>Big Ten</t>
        </is>
      </c>
      <c r="D217" s="42" t="inlineStr">
        <is>
          <t>Big Ten</t>
        </is>
      </c>
      <c r="E217" s="42" t="inlineStr">
        <is>
          <t>Iowa</t>
        </is>
      </c>
      <c r="F217" s="42" t="inlineStr">
        <is>
          <t>Washington</t>
        </is>
      </c>
      <c r="G217" s="42" t="n">
        <v>-1.1</v>
      </c>
      <c r="H217" s="42" t="n">
        <v>-2.8</v>
      </c>
      <c r="I217" s="42" t="n">
        <v>-1.7</v>
      </c>
      <c r="J217" s="42" t="n">
        <v>-1.1</v>
      </c>
      <c r="K217" s="42" t="n">
        <v>4.6</v>
      </c>
      <c r="L217" s="42" t="n">
        <v>42.3</v>
      </c>
      <c r="M217" s="42" t="n">
        <v>41.8</v>
      </c>
      <c r="N217" s="42" t="n">
        <v>0.6</v>
      </c>
      <c r="O217" s="42" t="n">
        <v>41</v>
      </c>
      <c r="P217" s="42" t="n">
        <v>24</v>
      </c>
      <c r="Q217" s="48" t="inlineStr">
        <is>
          <t>Loss</t>
        </is>
      </c>
      <c r="R217" s="42" t="n">
        <v>0.3</v>
      </c>
      <c r="S217" s="52" t="inlineStr">
        <is>
          <t>Win</t>
        </is>
      </c>
      <c r="T217" s="52" t="inlineStr">
        <is>
          <t>Win</t>
        </is>
      </c>
      <c r="U217" s="52" t="inlineStr">
        <is>
          <t>Win</t>
        </is>
      </c>
      <c r="V217" s="52" t="inlineStr">
        <is>
          <t>Win</t>
        </is>
      </c>
    </row>
    <row r="218">
      <c r="A218" s="42" t="n">
        <v>6</v>
      </c>
      <c r="B218" s="42" t="inlineStr">
        <is>
          <t>2026-10-11</t>
        </is>
      </c>
      <c r="C218" s="42" t="inlineStr">
        <is>
          <t>Big Ten</t>
        </is>
      </c>
      <c r="D218" s="42" t="inlineStr">
        <is>
          <t>Big Ten</t>
        </is>
      </c>
      <c r="E218" s="42" t="inlineStr">
        <is>
          <t>Minnesota</t>
        </is>
      </c>
      <c r="F218" s="42" t="inlineStr">
        <is>
          <t>Purdue</t>
        </is>
      </c>
      <c r="G218" s="42" t="n">
        <v>7.9</v>
      </c>
      <c r="H218" s="42" t="n">
        <v>2.5</v>
      </c>
      <c r="I218" s="56" t="n">
        <v>-5.4</v>
      </c>
      <c r="J218" s="42" t="n">
        <v>11.3</v>
      </c>
      <c r="K218" s="42" t="n">
        <v>2.5</v>
      </c>
      <c r="L218" s="42" t="n">
        <v>50.5</v>
      </c>
      <c r="M218" s="42" t="n">
        <v>50.5</v>
      </c>
      <c r="N218" s="42" t="n">
        <v>0</v>
      </c>
      <c r="O218" s="42" t="n">
        <v>13</v>
      </c>
      <c r="P218" s="42" t="n">
        <v>41</v>
      </c>
      <c r="Q218" s="48" t="inlineStr">
        <is>
          <t>Loss</t>
        </is>
      </c>
      <c r="R218" s="42" t="n">
        <v>11.5</v>
      </c>
      <c r="S218" s="53" t="inlineStr">
        <is>
          <t>Loss</t>
        </is>
      </c>
      <c r="T218" s="53" t="inlineStr">
        <is>
          <t>Loss</t>
        </is>
      </c>
      <c r="U218" s="53" t="inlineStr">
        <is>
          <t>Loss</t>
        </is>
      </c>
      <c r="V218" s="53" t="inlineStr">
        <is>
          <t>Loss</t>
        </is>
      </c>
    </row>
    <row r="219">
      <c r="A219" s="42" t="n">
        <v>6</v>
      </c>
      <c r="B219" s="42" t="inlineStr">
        <is>
          <t>2026-10-07</t>
        </is>
      </c>
      <c r="C219" s="42" t="inlineStr">
        <is>
          <t>Conference USA</t>
        </is>
      </c>
      <c r="D219" s="42" t="inlineStr">
        <is>
          <t>Conference USA</t>
        </is>
      </c>
      <c r="E219" s="42" t="inlineStr">
        <is>
          <t>New Mexico State</t>
        </is>
      </c>
      <c r="F219" s="42" t="inlineStr">
        <is>
          <t>Florida International</t>
        </is>
      </c>
      <c r="G219" s="42" t="n">
        <v>-7.3</v>
      </c>
      <c r="H219" s="42" t="n">
        <v>-7</v>
      </c>
      <c r="I219" s="42" t="n">
        <v>0.3</v>
      </c>
      <c r="J219" s="42" t="n">
        <v>-6.3</v>
      </c>
      <c r="K219" s="42" t="n">
        <v>-5.2</v>
      </c>
      <c r="L219" s="42" t="n">
        <v>50.2</v>
      </c>
      <c r="M219" s="42" t="n">
        <v>46.8</v>
      </c>
      <c r="N219" s="47" t="n">
        <v>3.5</v>
      </c>
      <c r="O219" s="42" t="n">
        <v>3</v>
      </c>
      <c r="P219" s="42" t="n">
        <v>22</v>
      </c>
      <c r="Q219" s="47" t="inlineStr">
        <is>
          <t>Win</t>
        </is>
      </c>
      <c r="R219" s="42" t="n">
        <v>-10.8</v>
      </c>
      <c r="S219" s="52" t="inlineStr">
        <is>
          <t>Win</t>
        </is>
      </c>
      <c r="T219" s="52" t="inlineStr">
        <is>
          <t>Win</t>
        </is>
      </c>
      <c r="U219" s="52" t="inlineStr">
        <is>
          <t>Win</t>
        </is>
      </c>
      <c r="V219" s="53" t="inlineStr">
        <is>
          <t>Loss</t>
        </is>
      </c>
    </row>
    <row r="220">
      <c r="A220" s="42" t="n">
        <v>6</v>
      </c>
      <c r="B220" s="42" t="inlineStr">
        <is>
          <t>2026-10-07</t>
        </is>
      </c>
      <c r="C220" s="42" t="inlineStr">
        <is>
          <t>Conference USA</t>
        </is>
      </c>
      <c r="D220" s="42" t="inlineStr">
        <is>
          <t>Conference USA</t>
        </is>
      </c>
      <c r="E220" s="42" t="inlineStr">
        <is>
          <t>Jacksonville State</t>
        </is>
      </c>
      <c r="F220" s="42" t="inlineStr">
        <is>
          <t>Kennesaw State</t>
        </is>
      </c>
      <c r="G220" s="42" t="n">
        <v>2.2</v>
      </c>
      <c r="H220" s="42" t="n">
        <v>3</v>
      </c>
      <c r="I220" s="42" t="n">
        <v>0.8</v>
      </c>
      <c r="J220" s="42" t="n">
        <v>7.8</v>
      </c>
      <c r="K220" s="42" t="n">
        <v>-0.4</v>
      </c>
      <c r="L220" s="42" t="n">
        <v>54.2</v>
      </c>
      <c r="M220" s="42" t="n">
        <v>48.8</v>
      </c>
      <c r="N220" s="47" t="n">
        <v>5.5</v>
      </c>
      <c r="O220" s="42" t="n">
        <v>27</v>
      </c>
      <c r="P220" s="42" t="n">
        <v>26</v>
      </c>
      <c r="Q220" s="47" t="inlineStr">
        <is>
          <t>Win</t>
        </is>
      </c>
      <c r="R220" s="42" t="n">
        <v>10.6</v>
      </c>
      <c r="S220" s="53" t="inlineStr">
        <is>
          <t>Loss</t>
        </is>
      </c>
      <c r="T220" s="53" t="inlineStr">
        <is>
          <t>Loss</t>
        </is>
      </c>
      <c r="U220" s="53" t="inlineStr">
        <is>
          <t>Loss</t>
        </is>
      </c>
      <c r="V220" s="52" t="inlineStr">
        <is>
          <t>Win</t>
        </is>
      </c>
    </row>
    <row r="221">
      <c r="A221" s="42" t="n">
        <v>6</v>
      </c>
      <c r="B221" s="42" t="inlineStr">
        <is>
          <t>2026-10-08</t>
        </is>
      </c>
      <c r="C221" s="42" t="inlineStr">
        <is>
          <t>Conference USA</t>
        </is>
      </c>
      <c r="D221" s="42" t="inlineStr">
        <is>
          <t>Conference USA</t>
        </is>
      </c>
      <c r="E221" s="42" t="inlineStr">
        <is>
          <t>Sam Houston</t>
        </is>
      </c>
      <c r="F221" s="42" t="inlineStr">
        <is>
          <t>Liberty</t>
        </is>
      </c>
      <c r="G221" s="42" t="n">
        <v>-18</v>
      </c>
      <c r="H221" s="42" t="n">
        <v>-13.5</v>
      </c>
      <c r="I221" s="56" t="n">
        <v>4.5</v>
      </c>
      <c r="J221" s="42" t="n">
        <v>-14.8</v>
      </c>
      <c r="K221" s="42" t="n">
        <v>-11.2</v>
      </c>
      <c r="L221" s="42" t="n">
        <v>51.4</v>
      </c>
      <c r="M221" s="42" t="n">
        <v>52.8</v>
      </c>
      <c r="N221" s="42" t="n">
        <v>-1.3</v>
      </c>
      <c r="O221" s="42" t="n">
        <v>3</v>
      </c>
      <c r="P221" s="42" t="n">
        <v>35</v>
      </c>
      <c r="Q221" s="47" t="inlineStr">
        <is>
          <t>Win</t>
        </is>
      </c>
      <c r="R221" s="42" t="n">
        <v>-10.4</v>
      </c>
      <c r="S221" s="52" t="inlineStr">
        <is>
          <t>Win</t>
        </is>
      </c>
      <c r="T221" s="52" t="inlineStr">
        <is>
          <t>Win</t>
        </is>
      </c>
      <c r="U221" s="53" t="inlineStr">
        <is>
          <t>Loss</t>
        </is>
      </c>
      <c r="V221" s="53" t="inlineStr">
        <is>
          <t>Loss</t>
        </is>
      </c>
    </row>
    <row r="222">
      <c r="A222" s="42" t="n">
        <v>6</v>
      </c>
      <c r="B222" s="42" t="inlineStr">
        <is>
          <t>2026-10-08</t>
        </is>
      </c>
      <c r="C222" s="42" t="inlineStr">
        <is>
          <t>Conference USA</t>
        </is>
      </c>
      <c r="D222" s="42" t="inlineStr">
        <is>
          <t>Conference USA</t>
        </is>
      </c>
      <c r="E222" s="42" t="inlineStr">
        <is>
          <t>Missouri State</t>
        </is>
      </c>
      <c r="F222" s="42" t="inlineStr">
        <is>
          <t>Western Kentucky</t>
        </is>
      </c>
      <c r="G222" s="42" t="n">
        <v>-5.3</v>
      </c>
      <c r="H222" s="42" t="n">
        <v>1.8</v>
      </c>
      <c r="I222" s="56" t="n">
        <v>7.1</v>
      </c>
      <c r="J222" s="42" t="n">
        <v>-8.199999999999999</v>
      </c>
      <c r="K222" s="42" t="n">
        <v>2.3</v>
      </c>
      <c r="L222" s="42" t="n">
        <v>54</v>
      </c>
      <c r="M222" s="42" t="n">
        <v>56.8</v>
      </c>
      <c r="N222" s="47" t="n">
        <v>-2.7</v>
      </c>
      <c r="O222" s="42" t="n">
        <v>13</v>
      </c>
      <c r="P222" s="42" t="n">
        <v>34</v>
      </c>
      <c r="Q222" s="47" t="inlineStr">
        <is>
          <t>Win</t>
        </is>
      </c>
      <c r="R222" s="42" t="n">
        <v>-8.5</v>
      </c>
      <c r="S222" s="52" t="inlineStr">
        <is>
          <t>Win</t>
        </is>
      </c>
      <c r="T222" s="52" t="inlineStr">
        <is>
          <t>Win</t>
        </is>
      </c>
      <c r="U222" s="52" t="inlineStr">
        <is>
          <t>Win</t>
        </is>
      </c>
      <c r="V222" s="53" t="inlineStr">
        <is>
          <t>Loss</t>
        </is>
      </c>
    </row>
    <row r="223">
      <c r="A223" s="42" t="n">
        <v>6</v>
      </c>
      <c r="B223" s="42" t="inlineStr">
        <is>
          <t>2026-10-10</t>
        </is>
      </c>
      <c r="C223" s="42" t="inlineStr">
        <is>
          <t>FBS Independents</t>
        </is>
      </c>
      <c r="D223" s="42" t="inlineStr">
        <is>
          <t>ACC</t>
        </is>
      </c>
      <c r="E223" s="42" t="inlineStr">
        <is>
          <t>Stanford</t>
        </is>
      </c>
      <c r="F223" s="42" t="inlineStr">
        <is>
          <t>Notre Dame</t>
        </is>
      </c>
      <c r="G223" s="42" t="n">
        <v>-29.8</v>
      </c>
      <c r="H223" s="42" t="n">
        <v>-38.5</v>
      </c>
      <c r="I223" s="56" t="n">
        <v>-8.699999999999999</v>
      </c>
      <c r="J223" s="42" t="n">
        <v>-38.8</v>
      </c>
      <c r="K223" s="42" t="n">
        <v>-36.8</v>
      </c>
      <c r="L223" s="42" t="n">
        <v>54.8</v>
      </c>
      <c r="M223" s="42" t="n">
        <v>54.5</v>
      </c>
      <c r="N223" s="42" t="n">
        <v>0.3</v>
      </c>
      <c r="O223" s="42" t="n">
        <v>7</v>
      </c>
      <c r="P223" s="42" t="n">
        <v>58</v>
      </c>
      <c r="Q223" s="47" t="inlineStr">
        <is>
          <t>Win</t>
        </is>
      </c>
      <c r="R223" s="42" t="n">
        <v>-37.9</v>
      </c>
      <c r="S223" s="53" t="inlineStr">
        <is>
          <t>Loss</t>
        </is>
      </c>
      <c r="T223" s="52" t="inlineStr">
        <is>
          <t>Win</t>
        </is>
      </c>
      <c r="U223" s="52" t="inlineStr">
        <is>
          <t>Win</t>
        </is>
      </c>
      <c r="V223" s="53" t="inlineStr">
        <is>
          <t>Loss</t>
        </is>
      </c>
    </row>
    <row r="224">
      <c r="A224" s="42" t="n">
        <v>6</v>
      </c>
      <c r="B224" s="42" t="inlineStr">
        <is>
          <t>2026-10-10</t>
        </is>
      </c>
      <c r="C224" s="42" t="inlineStr">
        <is>
          <t>Mid-American</t>
        </is>
      </c>
      <c r="D224" s="42" t="inlineStr">
        <is>
          <t>Mid-American</t>
        </is>
      </c>
      <c r="E224" s="42" t="inlineStr">
        <is>
          <t>Eastern Michigan</t>
        </is>
      </c>
      <c r="F224" s="42" t="inlineStr">
        <is>
          <t>Akron</t>
        </is>
      </c>
      <c r="G224" s="42" t="n">
        <v>2.1</v>
      </c>
      <c r="H224" s="42" t="n">
        <v>6.5</v>
      </c>
      <c r="I224" s="56" t="n">
        <v>4.4</v>
      </c>
      <c r="J224" s="42" t="n">
        <v>3.6</v>
      </c>
      <c r="K224" s="42" t="n">
        <v>4.3</v>
      </c>
      <c r="L224" s="42" t="n">
        <v>49.8</v>
      </c>
      <c r="M224" s="42" t="n">
        <v>51.5</v>
      </c>
      <c r="N224" s="42" t="n">
        <v>-1.7</v>
      </c>
      <c r="O224" s="42" t="n">
        <v>25</v>
      </c>
      <c r="P224" s="42" t="n">
        <v>23</v>
      </c>
      <c r="Q224" s="47" t="inlineStr">
        <is>
          <t>Win</t>
        </is>
      </c>
      <c r="R224" s="42" t="n">
        <v>5.3</v>
      </c>
      <c r="S224" s="52" t="inlineStr">
        <is>
          <t>Win</t>
        </is>
      </c>
      <c r="T224" s="52" t="inlineStr">
        <is>
          <t>Win</t>
        </is>
      </c>
      <c r="U224" s="52" t="inlineStr">
        <is>
          <t>Win</t>
        </is>
      </c>
      <c r="V224" s="52" t="inlineStr">
        <is>
          <t>Win</t>
        </is>
      </c>
    </row>
    <row r="225">
      <c r="A225" s="42" t="n">
        <v>6</v>
      </c>
      <c r="B225" s="42" t="inlineStr">
        <is>
          <t>2026-10-10</t>
        </is>
      </c>
      <c r="C225" s="42" t="inlineStr">
        <is>
          <t>Mid-American</t>
        </is>
      </c>
      <c r="D225" s="42" t="inlineStr">
        <is>
          <t>Mid-American</t>
        </is>
      </c>
      <c r="E225" s="42" t="inlineStr">
        <is>
          <t>Sacramento State</t>
        </is>
      </c>
      <c r="F225" s="42" t="inlineStr">
        <is>
          <t>Bowling Green</t>
        </is>
      </c>
      <c r="G225" s="42" t="n">
        <v>-14.6</v>
      </c>
      <c r="H225" s="42" t="n">
        <v>-7.5</v>
      </c>
      <c r="I225" s="56" t="n">
        <v>7.1</v>
      </c>
      <c r="J225" s="42" t="n">
        <v>-3.7</v>
      </c>
      <c r="K225" s="42" t="n">
        <v>-0.4</v>
      </c>
      <c r="L225" s="42" t="n">
        <v>46.1</v>
      </c>
      <c r="M225" s="42" t="n">
        <v>43.5</v>
      </c>
      <c r="N225" s="47" t="n">
        <v>2.6</v>
      </c>
      <c r="O225" s="42" t="n">
        <v>10</v>
      </c>
      <c r="P225" s="42" t="n">
        <v>38</v>
      </c>
      <c r="Q225" s="47" t="inlineStr">
        <is>
          <t>Win</t>
        </is>
      </c>
      <c r="R225" s="42" t="n">
        <v>-7.9</v>
      </c>
      <c r="S225" s="52" t="inlineStr">
        <is>
          <t>Win</t>
        </is>
      </c>
      <c r="T225" s="53" t="inlineStr">
        <is>
          <t>Loss</t>
        </is>
      </c>
      <c r="U225" s="52" t="inlineStr">
        <is>
          <t>Win</t>
        </is>
      </c>
      <c r="V225" s="53" t="inlineStr">
        <is>
          <t>Loss</t>
        </is>
      </c>
    </row>
    <row r="226">
      <c r="A226" s="42" t="n">
        <v>6</v>
      </c>
      <c r="B226" s="42" t="inlineStr">
        <is>
          <t>2026-10-10</t>
        </is>
      </c>
      <c r="C226" s="42" t="inlineStr">
        <is>
          <t>Mid-American</t>
        </is>
      </c>
      <c r="D226" s="42" t="inlineStr">
        <is>
          <t>Mid-American</t>
        </is>
      </c>
      <c r="E226" s="42" t="inlineStr">
        <is>
          <t>Miami (OH)</t>
        </is>
      </c>
      <c r="F226" s="42" t="inlineStr">
        <is>
          <t>Massachusetts</t>
        </is>
      </c>
      <c r="G226" s="42" t="n">
        <v>5</v>
      </c>
      <c r="H226" s="42" t="n">
        <v>2.5</v>
      </c>
      <c r="I226" s="47" t="n">
        <v>-2.5</v>
      </c>
      <c r="J226" s="42" t="n">
        <v>8.199999999999999</v>
      </c>
      <c r="K226" s="42" t="n">
        <v>-9</v>
      </c>
      <c r="L226" s="42" t="n">
        <v>52.6</v>
      </c>
      <c r="M226" s="42" t="n">
        <v>47.5</v>
      </c>
      <c r="N226" s="47" t="n">
        <v>5.1</v>
      </c>
      <c r="O226" s="42" t="n">
        <v>20</v>
      </c>
      <c r="P226" s="42" t="n">
        <v>19</v>
      </c>
      <c r="Q226" s="47" t="inlineStr">
        <is>
          <t>Win</t>
        </is>
      </c>
      <c r="R226" s="42" t="n">
        <v>10.7</v>
      </c>
      <c r="S226" s="53" t="inlineStr">
        <is>
          <t>Loss</t>
        </is>
      </c>
      <c r="T226" s="53" t="inlineStr">
        <is>
          <t>Loss</t>
        </is>
      </c>
      <c r="U226" s="53" t="inlineStr">
        <is>
          <t>Loss</t>
        </is>
      </c>
      <c r="V226" s="52" t="inlineStr">
        <is>
          <t>Win</t>
        </is>
      </c>
    </row>
    <row r="227">
      <c r="A227" s="42" t="n">
        <v>6</v>
      </c>
      <c r="B227" s="42" t="inlineStr">
        <is>
          <t>2026-10-10</t>
        </is>
      </c>
      <c r="C227" s="42" t="inlineStr">
        <is>
          <t>Mid-American</t>
        </is>
      </c>
      <c r="D227" s="42" t="inlineStr">
        <is>
          <t>Mid-American</t>
        </is>
      </c>
      <c r="E227" s="42" t="inlineStr">
        <is>
          <t>Central Michigan</t>
        </is>
      </c>
      <c r="F227" s="42" t="inlineStr">
        <is>
          <t>Ohio</t>
        </is>
      </c>
      <c r="G227" s="42" t="n">
        <v>-3.1</v>
      </c>
      <c r="H227" s="42" t="n">
        <v>-3</v>
      </c>
      <c r="I227" s="42" t="n">
        <v>0.1</v>
      </c>
      <c r="J227" s="42" t="n">
        <v>-12.1</v>
      </c>
      <c r="K227" s="42" t="n">
        <v>-5.4</v>
      </c>
      <c r="L227" s="42" t="n">
        <v>51.1</v>
      </c>
      <c r="M227" s="42" t="n">
        <v>46.2</v>
      </c>
      <c r="N227" s="47" t="n">
        <v>4.9</v>
      </c>
      <c r="O227" s="42" t="n">
        <v>14</v>
      </c>
      <c r="P227" s="42" t="n">
        <v>31</v>
      </c>
      <c r="Q227" s="47" t="inlineStr">
        <is>
          <t>Win</t>
        </is>
      </c>
      <c r="R227" s="42" t="n">
        <v>-9.4</v>
      </c>
      <c r="S227" s="52" t="inlineStr">
        <is>
          <t>Win</t>
        </is>
      </c>
      <c r="T227" s="52" t="inlineStr">
        <is>
          <t>Win</t>
        </is>
      </c>
      <c r="U227" s="52" t="inlineStr">
        <is>
          <t>Win</t>
        </is>
      </c>
      <c r="V227" s="52" t="inlineStr">
        <is>
          <t>Win</t>
        </is>
      </c>
    </row>
    <row r="228">
      <c r="A228" s="42" t="n">
        <v>6</v>
      </c>
      <c r="B228" s="42" t="inlineStr">
        <is>
          <t>2026-10-10</t>
        </is>
      </c>
      <c r="C228" s="42" t="inlineStr">
        <is>
          <t>Mid-American</t>
        </is>
      </c>
      <c r="D228" s="42" t="inlineStr">
        <is>
          <t>Mid-American</t>
        </is>
      </c>
      <c r="E228" s="42" t="inlineStr">
        <is>
          <t>Buffalo</t>
        </is>
      </c>
      <c r="F228" s="42" t="inlineStr">
        <is>
          <t>Toledo</t>
        </is>
      </c>
      <c r="G228" s="42" t="n">
        <v>-16.2</v>
      </c>
      <c r="H228" s="42" t="n">
        <v>-20.8</v>
      </c>
      <c r="I228" s="56" t="n">
        <v>-4.6</v>
      </c>
      <c r="J228" s="42" t="n">
        <v>-14.1</v>
      </c>
      <c r="K228" s="42" t="n">
        <v>-19.9</v>
      </c>
      <c r="L228" s="42" t="n">
        <v>47.6</v>
      </c>
      <c r="M228" s="42" t="n">
        <v>55.5</v>
      </c>
      <c r="N228" s="47" t="n">
        <v>-7.9</v>
      </c>
      <c r="O228" s="42" t="n">
        <v>23</v>
      </c>
      <c r="P228" s="42" t="n">
        <v>8</v>
      </c>
      <c r="Q228" s="48" t="inlineStr">
        <is>
          <t>Loss</t>
        </is>
      </c>
      <c r="R228" s="42" t="n">
        <v>-15</v>
      </c>
      <c r="S228" s="52" t="inlineStr">
        <is>
          <t>Win</t>
        </is>
      </c>
      <c r="T228" s="52" t="inlineStr">
        <is>
          <t>Win</t>
        </is>
      </c>
      <c r="U228" s="52" t="inlineStr">
        <is>
          <t>Win</t>
        </is>
      </c>
      <c r="V228" s="53" t="inlineStr">
        <is>
          <t>Loss</t>
        </is>
      </c>
    </row>
    <row r="229">
      <c r="A229" s="42" t="n">
        <v>6</v>
      </c>
      <c r="B229" s="42" t="inlineStr">
        <is>
          <t>2026-10-10</t>
        </is>
      </c>
      <c r="C229" s="42" t="inlineStr">
        <is>
          <t>Mid-American</t>
        </is>
      </c>
      <c r="D229" s="42" t="inlineStr">
        <is>
          <t>Mid-American</t>
        </is>
      </c>
      <c r="E229" s="42" t="inlineStr">
        <is>
          <t>Kent State</t>
        </is>
      </c>
      <c r="F229" s="42" t="inlineStr">
        <is>
          <t>Western Michigan</t>
        </is>
      </c>
      <c r="G229" s="42" t="n">
        <v>-16.9</v>
      </c>
      <c r="H229" s="42" t="n">
        <v>-13.5</v>
      </c>
      <c r="I229" s="47" t="n">
        <v>3.4</v>
      </c>
      <c r="J229" s="42" t="n">
        <v>-18.8</v>
      </c>
      <c r="K229" s="42" t="n">
        <v>-15.5</v>
      </c>
      <c r="L229" s="42" t="n">
        <v>46.5</v>
      </c>
      <c r="M229" s="42" t="n">
        <v>43.5</v>
      </c>
      <c r="N229" s="47" t="n">
        <v>3</v>
      </c>
      <c r="O229" s="42" t="n">
        <v>7</v>
      </c>
      <c r="P229" s="42" t="n">
        <v>38</v>
      </c>
      <c r="Q229" s="47" t="inlineStr">
        <is>
          <t>Win</t>
        </is>
      </c>
      <c r="R229" s="42" t="n">
        <v>-16.2</v>
      </c>
      <c r="S229" s="52" t="inlineStr">
        <is>
          <t>Win</t>
        </is>
      </c>
      <c r="T229" s="52" t="inlineStr">
        <is>
          <t>Win</t>
        </is>
      </c>
      <c r="U229" s="52" t="inlineStr">
        <is>
          <t>Win</t>
        </is>
      </c>
      <c r="V229" s="52" t="inlineStr">
        <is>
          <t>Win</t>
        </is>
      </c>
    </row>
    <row r="230">
      <c r="A230" s="42" t="n">
        <v>6</v>
      </c>
      <c r="B230" s="42" t="inlineStr">
        <is>
          <t>2026-10-10</t>
        </is>
      </c>
      <c r="C230" s="42" t="inlineStr">
        <is>
          <t>Mountain West</t>
        </is>
      </c>
      <c r="D230" s="42" t="inlineStr">
        <is>
          <t>Mountain West</t>
        </is>
      </c>
      <c r="E230" s="42" t="inlineStr">
        <is>
          <t>Air Force</t>
        </is>
      </c>
      <c r="F230" s="42" t="inlineStr">
        <is>
          <t>Northern Illinois</t>
        </is>
      </c>
      <c r="G230" s="42" t="n">
        <v>9.300000000000001</v>
      </c>
      <c r="H230" s="42" t="n">
        <v>7.5</v>
      </c>
      <c r="I230" s="42" t="n">
        <v>-1.8</v>
      </c>
      <c r="J230" s="42" t="n">
        <v>9.4</v>
      </c>
      <c r="K230" s="42" t="n">
        <v>9.9</v>
      </c>
      <c r="L230" s="42" t="n">
        <v>41.3</v>
      </c>
      <c r="M230" s="42" t="n">
        <v>46.8</v>
      </c>
      <c r="N230" s="47" t="n">
        <v>-5.5</v>
      </c>
      <c r="O230" s="42" t="n">
        <v>28</v>
      </c>
      <c r="P230" s="42" t="n">
        <v>7</v>
      </c>
      <c r="Q230" s="47" t="inlineStr">
        <is>
          <t>Win</t>
        </is>
      </c>
      <c r="R230" s="42" t="n">
        <v>4.2</v>
      </c>
      <c r="S230" s="52" t="inlineStr">
        <is>
          <t>Win</t>
        </is>
      </c>
      <c r="T230" s="52" t="inlineStr">
        <is>
          <t>Win</t>
        </is>
      </c>
      <c r="U230" s="53" t="inlineStr">
        <is>
          <t>Loss</t>
        </is>
      </c>
      <c r="V230" s="52" t="inlineStr">
        <is>
          <t>Win</t>
        </is>
      </c>
    </row>
    <row r="231">
      <c r="A231" s="42" t="n">
        <v>6</v>
      </c>
      <c r="B231" s="42" t="inlineStr">
        <is>
          <t>2026-10-10</t>
        </is>
      </c>
      <c r="C231" s="42" t="inlineStr">
        <is>
          <t>Mountain West</t>
        </is>
      </c>
      <c r="D231" s="42" t="inlineStr">
        <is>
          <t>Mountain West</t>
        </is>
      </c>
      <c r="E231" s="42" t="inlineStr">
        <is>
          <t>Wyoming</t>
        </is>
      </c>
      <c r="F231" s="42" t="inlineStr">
        <is>
          <t>San José State</t>
        </is>
      </c>
      <c r="G231" s="42" t="n">
        <v>-5</v>
      </c>
      <c r="H231" s="42" t="n">
        <v>-4.5</v>
      </c>
      <c r="I231" s="42" t="n">
        <v>0.5</v>
      </c>
      <c r="J231" s="42" t="n">
        <v>1.5</v>
      </c>
      <c r="K231" s="42" t="n">
        <v>-7.5</v>
      </c>
      <c r="L231" s="42" t="n">
        <v>45.6</v>
      </c>
      <c r="M231" s="42" t="n">
        <v>42.5</v>
      </c>
      <c r="N231" s="47" t="n">
        <v>3.1</v>
      </c>
      <c r="O231" s="42" t="n">
        <v>16</v>
      </c>
      <c r="P231" s="42" t="n">
        <v>13</v>
      </c>
      <c r="Q231" s="48" t="inlineStr">
        <is>
          <t>Loss</t>
        </is>
      </c>
      <c r="R231" s="42" t="n">
        <v>0.4</v>
      </c>
      <c r="S231" s="53" t="inlineStr">
        <is>
          <t>Loss</t>
        </is>
      </c>
      <c r="T231" s="52" t="inlineStr">
        <is>
          <t>Win</t>
        </is>
      </c>
      <c r="U231" s="52" t="inlineStr">
        <is>
          <t>Win</t>
        </is>
      </c>
      <c r="V231" s="53" t="inlineStr">
        <is>
          <t>Loss</t>
        </is>
      </c>
    </row>
    <row r="232">
      <c r="A232" s="42" t="n">
        <v>6</v>
      </c>
      <c r="B232" s="42" t="inlineStr">
        <is>
          <t>2026-10-10</t>
        </is>
      </c>
      <c r="C232" s="42" t="inlineStr">
        <is>
          <t>Mountain West</t>
        </is>
      </c>
      <c r="D232" s="42" t="inlineStr">
        <is>
          <t>Mountain West</t>
        </is>
      </c>
      <c r="E232" s="42" t="inlineStr">
        <is>
          <t>North Dakota State</t>
        </is>
      </c>
      <c r="F232" s="42" t="inlineStr">
        <is>
          <t>UNLV</t>
        </is>
      </c>
      <c r="G232" s="42" t="n">
        <v>12.1</v>
      </c>
      <c r="H232" s="42" t="n">
        <v>3</v>
      </c>
      <c r="I232" s="56" t="n">
        <v>-9.1</v>
      </c>
      <c r="J232" s="42" t="n">
        <v>8.1</v>
      </c>
      <c r="K232" s="42" t="n">
        <v>9.4</v>
      </c>
      <c r="L232" s="42" t="n">
        <v>43.9</v>
      </c>
      <c r="M232" s="42" t="n">
        <v>47.5</v>
      </c>
      <c r="N232" s="47" t="n">
        <v>-3.6</v>
      </c>
      <c r="O232" s="42" t="n">
        <v>7</v>
      </c>
      <c r="P232" s="42" t="n">
        <v>13</v>
      </c>
      <c r="Q232" s="48" t="inlineStr">
        <is>
          <t>Loss</t>
        </is>
      </c>
      <c r="R232" s="42" t="n">
        <v>4.3</v>
      </c>
      <c r="S232" s="53" t="inlineStr">
        <is>
          <t>Loss</t>
        </is>
      </c>
      <c r="T232" s="53" t="inlineStr">
        <is>
          <t>Loss</t>
        </is>
      </c>
      <c r="U232" s="53" t="inlineStr">
        <is>
          <t>Loss</t>
        </is>
      </c>
      <c r="V232" s="53" t="inlineStr">
        <is>
          <t>Loss</t>
        </is>
      </c>
    </row>
    <row r="233">
      <c r="A233" s="42" t="n">
        <v>6</v>
      </c>
      <c r="B233" s="42" t="inlineStr">
        <is>
          <t>2026-10-10</t>
        </is>
      </c>
      <c r="C233" s="42" t="inlineStr">
        <is>
          <t>Mountain West</t>
        </is>
      </c>
      <c r="D233" s="42" t="inlineStr">
        <is>
          <t>Mountain West</t>
        </is>
      </c>
      <c r="E233" s="42" t="inlineStr">
        <is>
          <t>Nevada</t>
        </is>
      </c>
      <c r="F233" s="42" t="inlineStr">
        <is>
          <t>UTEP</t>
        </is>
      </c>
      <c r="G233" s="42" t="n">
        <v>7.3</v>
      </c>
      <c r="H233" s="42" t="n">
        <v>9.800000000000001</v>
      </c>
      <c r="I233" s="47" t="n">
        <v>2.5</v>
      </c>
      <c r="J233" s="42" t="n">
        <v>5</v>
      </c>
      <c r="K233" s="42" t="n">
        <v>11.7</v>
      </c>
      <c r="L233" s="42" t="n">
        <v>45</v>
      </c>
      <c r="M233" s="42" t="n">
        <v>49.5</v>
      </c>
      <c r="N233" s="47" t="n">
        <v>-4.5</v>
      </c>
      <c r="O233" s="42" t="n">
        <v>30</v>
      </c>
      <c r="P233" s="42" t="n">
        <v>13</v>
      </c>
      <c r="Q233" s="47" t="inlineStr">
        <is>
          <t>Win</t>
        </is>
      </c>
      <c r="R233" s="42" t="n">
        <v>6.4</v>
      </c>
      <c r="S233" s="53" t="inlineStr">
        <is>
          <t>Loss</t>
        </is>
      </c>
      <c r="T233" s="53" t="inlineStr">
        <is>
          <t>Loss</t>
        </is>
      </c>
      <c r="U233" s="53" t="inlineStr">
        <is>
          <t>Loss</t>
        </is>
      </c>
      <c r="V233" s="52" t="inlineStr">
        <is>
          <t>Win</t>
        </is>
      </c>
    </row>
    <row r="234">
      <c r="A234" s="42" t="n">
        <v>6</v>
      </c>
      <c r="B234" s="42" t="inlineStr">
        <is>
          <t>2026-10-10</t>
        </is>
      </c>
      <c r="C234" s="42" t="inlineStr">
        <is>
          <t>Pac-12</t>
        </is>
      </c>
      <c r="D234" s="42" t="inlineStr">
        <is>
          <t>Pac-12</t>
        </is>
      </c>
      <c r="E234" s="42" t="inlineStr">
        <is>
          <t>San Diego State</t>
        </is>
      </c>
      <c r="F234" s="42" t="inlineStr">
        <is>
          <t>Oregon State</t>
        </is>
      </c>
      <c r="G234" s="42" t="n">
        <v>-6.7</v>
      </c>
      <c r="H234" s="42" t="n">
        <v>-15.5</v>
      </c>
      <c r="I234" s="56" t="n">
        <v>-8.800000000000001</v>
      </c>
      <c r="J234" s="42" t="n">
        <v>-1.6</v>
      </c>
      <c r="K234" s="42" t="n">
        <v>-14.4</v>
      </c>
      <c r="L234" s="42" t="n">
        <v>47.8</v>
      </c>
      <c r="M234" s="42" t="n">
        <v>53.2</v>
      </c>
      <c r="N234" s="47" t="n">
        <v>-5.5</v>
      </c>
      <c r="O234" s="42" t="n">
        <v>14</v>
      </c>
      <c r="P234" s="42" t="n">
        <v>66</v>
      </c>
      <c r="Q234" s="47" t="inlineStr">
        <is>
          <t>Win</t>
        </is>
      </c>
      <c r="R234" s="42" t="n">
        <v>0.4</v>
      </c>
      <c r="S234" s="53" t="inlineStr">
        <is>
          <t>Loss</t>
        </is>
      </c>
      <c r="T234" s="53" t="inlineStr">
        <is>
          <t>Loss</t>
        </is>
      </c>
      <c r="U234" s="53" t="inlineStr">
        <is>
          <t>Loss</t>
        </is>
      </c>
      <c r="V234" s="53" t="inlineStr">
        <is>
          <t>Loss</t>
        </is>
      </c>
    </row>
    <row r="235">
      <c r="A235" s="42" t="n">
        <v>6</v>
      </c>
      <c r="B235" s="42" t="inlineStr">
        <is>
          <t>2026-10-10</t>
        </is>
      </c>
      <c r="C235" s="42" t="inlineStr">
        <is>
          <t>Pac-12</t>
        </is>
      </c>
      <c r="D235" s="42" t="inlineStr">
        <is>
          <t>Pac-12</t>
        </is>
      </c>
      <c r="E235" s="42" t="inlineStr">
        <is>
          <t>Washington State</t>
        </is>
      </c>
      <c r="F235" s="42" t="inlineStr">
        <is>
          <t>Utah State</t>
        </is>
      </c>
      <c r="G235" s="42" t="n">
        <v>-1.5</v>
      </c>
      <c r="H235" s="42" t="n">
        <v>-5.5</v>
      </c>
      <c r="I235" s="56" t="n">
        <v>-4</v>
      </c>
      <c r="J235" s="42" t="n">
        <v>-0.2</v>
      </c>
      <c r="K235" s="42" t="n">
        <v>-3.6</v>
      </c>
      <c r="L235" s="42" t="n">
        <v>40.4</v>
      </c>
      <c r="M235" s="42" t="n">
        <v>43.5</v>
      </c>
      <c r="N235" s="47" t="n">
        <v>-3.1</v>
      </c>
      <c r="O235" s="42" t="n">
        <v>16</v>
      </c>
      <c r="P235" s="42" t="n">
        <v>17</v>
      </c>
      <c r="Q235" s="47" t="inlineStr">
        <is>
          <t>Win</t>
        </is>
      </c>
      <c r="R235" s="42" t="n">
        <v>-1.3</v>
      </c>
      <c r="S235" s="52" t="inlineStr">
        <is>
          <t>Win</t>
        </is>
      </c>
      <c r="T235" s="52" t="inlineStr">
        <is>
          <t>Win</t>
        </is>
      </c>
      <c r="U235" s="52" t="inlineStr">
        <is>
          <t>Win</t>
        </is>
      </c>
      <c r="V235" s="52" t="inlineStr">
        <is>
          <t>Win</t>
        </is>
      </c>
    </row>
    <row r="236">
      <c r="A236" s="42" t="n">
        <v>6</v>
      </c>
      <c r="B236" s="42" t="inlineStr">
        <is>
          <t>2026-10-11</t>
        </is>
      </c>
      <c r="C236" s="42" t="inlineStr">
        <is>
          <t>Pac-12</t>
        </is>
      </c>
      <c r="D236" s="42" t="inlineStr">
        <is>
          <t>Pac-12</t>
        </is>
      </c>
      <c r="E236" s="42" t="inlineStr">
        <is>
          <t>Boise State</t>
        </is>
      </c>
      <c r="F236" s="42" t="inlineStr">
        <is>
          <t>Fresno State</t>
        </is>
      </c>
      <c r="G236" s="42" t="n">
        <v>6.8</v>
      </c>
      <c r="H236" s="42" t="n">
        <v>6.5</v>
      </c>
      <c r="I236" s="42" t="n">
        <v>-0.3</v>
      </c>
      <c r="J236" s="42" t="n">
        <v>3.1</v>
      </c>
      <c r="K236" s="42" t="n">
        <v>3</v>
      </c>
      <c r="L236" s="42" t="n">
        <v>48.3</v>
      </c>
      <c r="M236" s="42" t="n">
        <v>48.2</v>
      </c>
      <c r="N236" s="42" t="n">
        <v>0.1</v>
      </c>
      <c r="O236" s="42" t="n">
        <v>38</v>
      </c>
      <c r="P236" s="42" t="n">
        <v>31</v>
      </c>
      <c r="Q236" s="47" t="inlineStr">
        <is>
          <t>Win</t>
        </is>
      </c>
      <c r="R236" s="42" t="n">
        <v>3.6</v>
      </c>
      <c r="S236" s="52" t="inlineStr">
        <is>
          <t>Win</t>
        </is>
      </c>
      <c r="T236" s="53" t="inlineStr">
        <is>
          <t>Loss</t>
        </is>
      </c>
      <c r="U236" s="53" t="inlineStr">
        <is>
          <t>Loss</t>
        </is>
      </c>
      <c r="V236" s="53" t="inlineStr">
        <is>
          <t>Loss</t>
        </is>
      </c>
    </row>
    <row r="237">
      <c r="A237" s="42" t="n">
        <v>6</v>
      </c>
      <c r="B237" s="42" t="inlineStr">
        <is>
          <t>2026-10-10</t>
        </is>
      </c>
      <c r="C237" s="42" t="inlineStr">
        <is>
          <t>SEC</t>
        </is>
      </c>
      <c r="D237" s="42" t="inlineStr">
        <is>
          <t>SEC</t>
        </is>
      </c>
      <c r="E237" s="42" t="inlineStr">
        <is>
          <t>Georgia</t>
        </is>
      </c>
      <c r="F237" s="42" t="inlineStr">
        <is>
          <t>Alabama</t>
        </is>
      </c>
      <c r="G237" s="42" t="n">
        <v>-0.2</v>
      </c>
      <c r="H237" s="42" t="n">
        <v>-2</v>
      </c>
      <c r="I237" s="42" t="n">
        <v>-1.8</v>
      </c>
      <c r="J237" s="42" t="n">
        <v>2.6</v>
      </c>
      <c r="K237" s="42" t="n">
        <v>-5.1</v>
      </c>
      <c r="L237" s="42" t="n">
        <v>52.3</v>
      </c>
      <c r="M237" s="42" t="n">
        <v>51.2</v>
      </c>
      <c r="N237" s="42" t="n">
        <v>1</v>
      </c>
      <c r="O237" s="42" t="n">
        <v>20</v>
      </c>
      <c r="P237" s="42" t="n">
        <v>17</v>
      </c>
      <c r="Q237" s="48" t="inlineStr">
        <is>
          <t>Loss</t>
        </is>
      </c>
      <c r="R237" s="42" t="n">
        <v>1.6</v>
      </c>
      <c r="S237" s="52" t="inlineStr">
        <is>
          <t>Win</t>
        </is>
      </c>
      <c r="T237" s="52" t="inlineStr">
        <is>
          <t>Win</t>
        </is>
      </c>
      <c r="U237" s="52" t="inlineStr">
        <is>
          <t>Win</t>
        </is>
      </c>
      <c r="V237" s="53" t="inlineStr">
        <is>
          <t>Loss</t>
        </is>
      </c>
    </row>
    <row r="238">
      <c r="A238" s="42" t="n">
        <v>6</v>
      </c>
      <c r="B238" s="42" t="inlineStr">
        <is>
          <t>2026-10-10</t>
        </is>
      </c>
      <c r="C238" s="42" t="inlineStr">
        <is>
          <t>SEC</t>
        </is>
      </c>
      <c r="D238" s="42" t="inlineStr">
        <is>
          <t>SEC</t>
        </is>
      </c>
      <c r="E238" s="42" t="inlineStr">
        <is>
          <t>Tennessee</t>
        </is>
      </c>
      <c r="F238" s="42" t="inlineStr">
        <is>
          <t>Arkansas</t>
        </is>
      </c>
      <c r="G238" s="42" t="n">
        <v>11.5</v>
      </c>
      <c r="H238" s="42" t="n">
        <v>13.5</v>
      </c>
      <c r="I238" s="47" t="n">
        <v>2</v>
      </c>
      <c r="J238" s="42" t="n">
        <v>14.4</v>
      </c>
      <c r="K238" s="42" t="n">
        <v>12.5</v>
      </c>
      <c r="L238" s="42" t="n">
        <v>52</v>
      </c>
      <c r="M238" s="42" t="n">
        <v>51.5</v>
      </c>
      <c r="N238" s="42" t="n">
        <v>0.5</v>
      </c>
      <c r="O238" s="42" t="n">
        <v>24</v>
      </c>
      <c r="P238" s="42" t="n">
        <v>17</v>
      </c>
      <c r="Q238" s="47" t="inlineStr">
        <is>
          <t>Win</t>
        </is>
      </c>
      <c r="R238" s="42" t="n">
        <v>17.2</v>
      </c>
      <c r="S238" s="52" t="inlineStr">
        <is>
          <t>Win</t>
        </is>
      </c>
      <c r="T238" s="53" t="inlineStr">
        <is>
          <t>Loss</t>
        </is>
      </c>
      <c r="U238" s="53" t="inlineStr">
        <is>
          <t>Loss</t>
        </is>
      </c>
      <c r="V238" s="52" t="inlineStr">
        <is>
          <t>Win</t>
        </is>
      </c>
    </row>
    <row r="239">
      <c r="A239" s="42" t="n">
        <v>6</v>
      </c>
      <c r="B239" s="42" t="inlineStr">
        <is>
          <t>2026-10-10</t>
        </is>
      </c>
      <c r="C239" s="42" t="inlineStr">
        <is>
          <t>SEC</t>
        </is>
      </c>
      <c r="D239" s="42" t="inlineStr">
        <is>
          <t>SEC</t>
        </is>
      </c>
      <c r="E239" s="42" t="inlineStr">
        <is>
          <t>South Carolina</t>
        </is>
      </c>
      <c r="F239" s="42" t="inlineStr">
        <is>
          <t>Florida</t>
        </is>
      </c>
      <c r="G239" s="42" t="n">
        <v>-10.5</v>
      </c>
      <c r="H239" s="42" t="n">
        <v>-11.2</v>
      </c>
      <c r="I239" s="42" t="n">
        <v>-0.7</v>
      </c>
      <c r="J239" s="42" t="n">
        <v>-9.199999999999999</v>
      </c>
      <c r="K239" s="42" t="n">
        <v>-9.1</v>
      </c>
      <c r="L239" s="42" t="n">
        <v>53.3</v>
      </c>
      <c r="M239" s="42" t="n">
        <v>59.5</v>
      </c>
      <c r="N239" s="47" t="n">
        <v>-6.2</v>
      </c>
      <c r="O239" s="42" t="n">
        <v>38</v>
      </c>
      <c r="P239" s="42" t="n">
        <v>19</v>
      </c>
      <c r="Q239" s="48" t="inlineStr">
        <is>
          <t>Loss</t>
        </is>
      </c>
      <c r="R239" s="42" t="n">
        <v>-9.4</v>
      </c>
      <c r="S239" s="53" t="inlineStr">
        <is>
          <t>Loss</t>
        </is>
      </c>
      <c r="T239" s="52" t="inlineStr">
        <is>
          <t>Win</t>
        </is>
      </c>
      <c r="U239" s="52" t="inlineStr">
        <is>
          <t>Win</t>
        </is>
      </c>
      <c r="V239" s="52" t="inlineStr">
        <is>
          <t>Win</t>
        </is>
      </c>
    </row>
    <row r="240">
      <c r="A240" s="42" t="n">
        <v>6</v>
      </c>
      <c r="B240" s="42" t="inlineStr">
        <is>
          <t>2026-10-10</t>
        </is>
      </c>
      <c r="C240" s="42" t="inlineStr">
        <is>
          <t>SEC</t>
        </is>
      </c>
      <c r="D240" s="42" t="inlineStr">
        <is>
          <t>SEC</t>
        </is>
      </c>
      <c r="E240" s="42" t="inlineStr">
        <is>
          <t>LSU</t>
        </is>
      </c>
      <c r="F240" s="42" t="inlineStr">
        <is>
          <t>Kentucky</t>
        </is>
      </c>
      <c r="G240" s="42" t="n">
        <v>7.3</v>
      </c>
      <c r="H240" s="42" t="n">
        <v>9</v>
      </c>
      <c r="I240" s="42" t="n">
        <v>1.7</v>
      </c>
      <c r="J240" s="42" t="n">
        <v>6.8</v>
      </c>
      <c r="K240" s="42" t="n">
        <v>8.300000000000001</v>
      </c>
      <c r="L240" s="42" t="n">
        <v>47.2</v>
      </c>
      <c r="M240" s="42" t="n">
        <v>51.8</v>
      </c>
      <c r="N240" s="47" t="n">
        <v>-4.6</v>
      </c>
      <c r="O240" s="42" t="n">
        <v>34</v>
      </c>
      <c r="P240" s="42" t="n">
        <v>35</v>
      </c>
      <c r="Q240" s="48" t="inlineStr">
        <is>
          <t>Loss</t>
        </is>
      </c>
      <c r="R240" s="42" t="n">
        <v>8.699999999999999</v>
      </c>
      <c r="S240" s="52" t="inlineStr">
        <is>
          <t>Win</t>
        </is>
      </c>
      <c r="T240" s="52" t="inlineStr">
        <is>
          <t>Win</t>
        </is>
      </c>
      <c r="U240" s="53" t="inlineStr">
        <is>
          <t>Loss</t>
        </is>
      </c>
      <c r="V240" s="53" t="inlineStr">
        <is>
          <t>Loss</t>
        </is>
      </c>
    </row>
    <row r="241">
      <c r="A241" s="42" t="n">
        <v>6</v>
      </c>
      <c r="B241" s="42" t="inlineStr">
        <is>
          <t>2026-10-10</t>
        </is>
      </c>
      <c r="C241" s="42" t="inlineStr">
        <is>
          <t>SEC</t>
        </is>
      </c>
      <c r="D241" s="42" t="inlineStr">
        <is>
          <t>SEC</t>
        </is>
      </c>
      <c r="E241" s="42" t="inlineStr">
        <is>
          <t>Texas A&amp;M</t>
        </is>
      </c>
      <c r="F241" s="42" t="inlineStr">
        <is>
          <t>Missouri</t>
        </is>
      </c>
      <c r="G241" s="42" t="n">
        <v>-0.9</v>
      </c>
      <c r="H241" s="42" t="n">
        <v>-3.5</v>
      </c>
      <c r="I241" s="47" t="n">
        <v>-2.6</v>
      </c>
      <c r="J241" s="42" t="n">
        <v>0.2</v>
      </c>
      <c r="K241" s="42" t="n">
        <v>-7.2</v>
      </c>
      <c r="L241" s="42" t="n">
        <v>46.4</v>
      </c>
      <c r="M241" s="42" t="n">
        <v>48.5</v>
      </c>
      <c r="N241" s="47" t="n">
        <v>-2.1</v>
      </c>
      <c r="O241" s="42" t="n">
        <v>6</v>
      </c>
      <c r="P241" s="42" t="n">
        <v>27</v>
      </c>
      <c r="Q241" s="47" t="inlineStr">
        <is>
          <t>Win</t>
        </is>
      </c>
      <c r="R241" s="42" t="n">
        <v>0.9</v>
      </c>
      <c r="S241" s="53" t="inlineStr">
        <is>
          <t>Loss</t>
        </is>
      </c>
      <c r="T241" s="53" t="inlineStr">
        <is>
          <t>Loss</t>
        </is>
      </c>
      <c r="U241" s="53" t="inlineStr">
        <is>
          <t>Loss</t>
        </is>
      </c>
      <c r="V241" s="52" t="inlineStr">
        <is>
          <t>Win</t>
        </is>
      </c>
    </row>
    <row r="242">
      <c r="A242" s="42" t="n">
        <v>6</v>
      </c>
      <c r="B242" s="42" t="inlineStr">
        <is>
          <t>2026-10-10</t>
        </is>
      </c>
      <c r="C242" s="42" t="inlineStr">
        <is>
          <t>SEC</t>
        </is>
      </c>
      <c r="D242" s="42" t="inlineStr">
        <is>
          <t>SEC</t>
        </is>
      </c>
      <c r="E242" s="42" t="inlineStr">
        <is>
          <t>Texas</t>
        </is>
      </c>
      <c r="F242" s="42" t="inlineStr">
        <is>
          <t>Oklahoma</t>
        </is>
      </c>
      <c r="G242" s="42" t="n">
        <v>8.6</v>
      </c>
      <c r="H242" s="42" t="n">
        <v>7.5</v>
      </c>
      <c r="I242" s="42" t="n">
        <v>-1.1</v>
      </c>
      <c r="J242" s="42" t="n">
        <v>16.9</v>
      </c>
      <c r="K242" s="42" t="n">
        <v>10.9</v>
      </c>
      <c r="L242" s="42" t="n">
        <v>35.5</v>
      </c>
      <c r="M242" s="42" t="n">
        <v>39.2</v>
      </c>
      <c r="N242" s="47" t="n">
        <v>-3.7</v>
      </c>
      <c r="O242" s="42" t="n">
        <v>24</v>
      </c>
      <c r="P242" s="42" t="n">
        <v>27</v>
      </c>
      <c r="Q242" s="48" t="inlineStr">
        <is>
          <t>Loss</t>
        </is>
      </c>
      <c r="R242" s="42" t="n">
        <v>13</v>
      </c>
      <c r="S242" s="53" t="inlineStr">
        <is>
          <t>Loss</t>
        </is>
      </c>
      <c r="T242" s="53" t="inlineStr">
        <is>
          <t>Loss</t>
        </is>
      </c>
      <c r="U242" s="53" t="inlineStr">
        <is>
          <t>Loss</t>
        </is>
      </c>
      <c r="V242" s="53" t="inlineStr">
        <is>
          <t>Loss</t>
        </is>
      </c>
    </row>
    <row r="243">
      <c r="A243" s="42" t="n">
        <v>6</v>
      </c>
      <c r="B243" s="42" t="inlineStr">
        <is>
          <t>2026-10-10</t>
        </is>
      </c>
      <c r="C243" s="42" t="inlineStr">
        <is>
          <t>SEC</t>
        </is>
      </c>
      <c r="D243" s="42" t="inlineStr">
        <is>
          <t>SEC</t>
        </is>
      </c>
      <c r="E243" s="42" t="inlineStr">
        <is>
          <t>Ole Miss</t>
        </is>
      </c>
      <c r="F243" s="42" t="inlineStr">
        <is>
          <t>Vanderbilt</t>
        </is>
      </c>
      <c r="G243" s="42" t="n">
        <v>8.300000000000001</v>
      </c>
      <c r="H243" s="42" t="n">
        <v>9.199999999999999</v>
      </c>
      <c r="I243" s="42" t="n">
        <v>0.9</v>
      </c>
      <c r="J243" s="42" t="n">
        <v>5.2</v>
      </c>
      <c r="K243" s="42" t="n">
        <v>0.5</v>
      </c>
      <c r="L243" s="42" t="n">
        <v>54.4</v>
      </c>
      <c r="M243" s="42" t="n">
        <v>54.8</v>
      </c>
      <c r="N243" s="42" t="n">
        <v>-0.3</v>
      </c>
      <c r="O243" s="42" t="n">
        <v>52</v>
      </c>
      <c r="P243" s="42" t="n">
        <v>17</v>
      </c>
      <c r="Q243" s="47" t="inlineStr">
        <is>
          <t>Win</t>
        </is>
      </c>
      <c r="R243" s="42" t="n">
        <v>10.6</v>
      </c>
      <c r="S243" s="52" t="inlineStr">
        <is>
          <t>Win</t>
        </is>
      </c>
      <c r="T243" s="53" t="inlineStr">
        <is>
          <t>Loss</t>
        </is>
      </c>
      <c r="U243" s="52" t="inlineStr">
        <is>
          <t>Win</t>
        </is>
      </c>
      <c r="V243" s="53" t="inlineStr">
        <is>
          <t>Loss</t>
        </is>
      </c>
    </row>
    <row r="244">
      <c r="A244" s="42" t="n">
        <v>6</v>
      </c>
      <c r="B244" s="42" t="inlineStr">
        <is>
          <t>2026-10-07</t>
        </is>
      </c>
      <c r="C244" s="42" t="inlineStr">
        <is>
          <t>Sun Belt</t>
        </is>
      </c>
      <c r="D244" s="42" t="inlineStr">
        <is>
          <t>Sun Belt</t>
        </is>
      </c>
      <c r="E244" s="42" t="inlineStr">
        <is>
          <t>Southern Miss</t>
        </is>
      </c>
      <c r="F244" s="42" t="inlineStr">
        <is>
          <t>Troy</t>
        </is>
      </c>
      <c r="G244" s="42" t="n">
        <v>-5.7</v>
      </c>
      <c r="H244" s="42" t="n">
        <v>-9.5</v>
      </c>
      <c r="I244" s="47" t="n">
        <v>-3.8</v>
      </c>
      <c r="J244" s="42" t="n">
        <v>-10.4</v>
      </c>
      <c r="K244" s="42" t="n">
        <v>-8.1</v>
      </c>
      <c r="L244" s="42" t="n">
        <v>49.5</v>
      </c>
      <c r="M244" s="42" t="n">
        <v>51.5</v>
      </c>
      <c r="N244" s="47" t="n">
        <v>-2</v>
      </c>
      <c r="O244" s="42" t="n">
        <v>34</v>
      </c>
      <c r="P244" s="42" t="n">
        <v>55</v>
      </c>
      <c r="Q244" s="47" t="inlineStr">
        <is>
          <t>Win</t>
        </is>
      </c>
      <c r="R244" s="42" t="n">
        <v>-8</v>
      </c>
      <c r="S244" s="53" t="inlineStr">
        <is>
          <t>Loss</t>
        </is>
      </c>
      <c r="T244" s="52" t="inlineStr">
        <is>
          <t>Win</t>
        </is>
      </c>
      <c r="U244" s="53" t="inlineStr">
        <is>
          <t>Loss</t>
        </is>
      </c>
      <c r="V244" s="53" t="inlineStr">
        <is>
          <t>Loss</t>
        </is>
      </c>
    </row>
    <row r="245">
      <c r="A245" s="42" t="n">
        <v>6</v>
      </c>
      <c r="B245" s="42" t="inlineStr">
        <is>
          <t>2026-10-08</t>
        </is>
      </c>
      <c r="C245" s="42" t="inlineStr">
        <is>
          <t>Sun Belt</t>
        </is>
      </c>
      <c r="D245" s="42" t="inlineStr">
        <is>
          <t>Sun Belt</t>
        </is>
      </c>
      <c r="E245" s="42" t="inlineStr">
        <is>
          <t>South Alabama</t>
        </is>
      </c>
      <c r="F245" s="42" t="inlineStr">
        <is>
          <t>Arkansas State</t>
        </is>
      </c>
      <c r="G245" s="42" t="n">
        <v>-4.3</v>
      </c>
      <c r="H245" s="42" t="n">
        <v>-3</v>
      </c>
      <c r="I245" s="42" t="n">
        <v>1.3</v>
      </c>
      <c r="J245" s="42" t="n">
        <v>-0.2</v>
      </c>
      <c r="K245" s="42" t="n">
        <v>-3.3</v>
      </c>
      <c r="L245" s="42" t="n">
        <v>60.5</v>
      </c>
      <c r="M245" s="42" t="n">
        <v>60.2</v>
      </c>
      <c r="N245" s="42" t="n">
        <v>0.2</v>
      </c>
      <c r="O245" s="42" t="n">
        <v>56</v>
      </c>
      <c r="P245" s="42" t="n">
        <v>49</v>
      </c>
      <c r="Q245" s="48" t="inlineStr">
        <is>
          <t>Loss</t>
        </is>
      </c>
      <c r="R245" s="42" t="n">
        <v>-0.6</v>
      </c>
      <c r="S245" s="53" t="inlineStr">
        <is>
          <t>Loss</t>
        </is>
      </c>
      <c r="T245" s="52" t="inlineStr">
        <is>
          <t>Win</t>
        </is>
      </c>
      <c r="U245" s="52" t="inlineStr">
        <is>
          <t>Win</t>
        </is>
      </c>
      <c r="V245" s="53" t="inlineStr">
        <is>
          <t>Loss</t>
        </is>
      </c>
    </row>
    <row r="246">
      <c r="A246" s="42" t="n">
        <v>6</v>
      </c>
      <c r="B246" s="42" t="inlineStr">
        <is>
          <t>2026-10-10</t>
        </is>
      </c>
      <c r="C246" s="42" t="inlineStr">
        <is>
          <t>Sun Belt</t>
        </is>
      </c>
      <c r="D246" s="42" t="inlineStr">
        <is>
          <t>Sun Belt</t>
        </is>
      </c>
      <c r="E246" s="42" t="inlineStr">
        <is>
          <t>Old Dominion</t>
        </is>
      </c>
      <c r="F246" s="42" t="inlineStr">
        <is>
          <t>App State</t>
        </is>
      </c>
      <c r="G246" s="42" t="n">
        <v>6.8</v>
      </c>
      <c r="H246" s="42" t="n">
        <v>-9.5</v>
      </c>
      <c r="I246" s="56" t="n">
        <v>-16.3</v>
      </c>
      <c r="J246" s="42" t="n">
        <v>-8.6</v>
      </c>
      <c r="K246" s="42" t="n">
        <v>-13.4</v>
      </c>
      <c r="L246" s="42" t="n">
        <v>48.7</v>
      </c>
      <c r="M246" s="42" t="n">
        <v>47.8</v>
      </c>
      <c r="N246" s="42" t="n">
        <v>0.9</v>
      </c>
      <c r="O246" s="42" t="n">
        <v>10</v>
      </c>
      <c r="P246" s="42" t="n">
        <v>3</v>
      </c>
      <c r="Q246" s="47" t="inlineStr">
        <is>
          <t>Win</t>
        </is>
      </c>
      <c r="R246" s="42" t="n">
        <v>-6.1</v>
      </c>
      <c r="S246" s="52" t="inlineStr">
        <is>
          <t>Win</t>
        </is>
      </c>
      <c r="T246" s="53" t="inlineStr">
        <is>
          <t>Loss</t>
        </is>
      </c>
      <c r="U246" s="52" t="inlineStr">
        <is>
          <t>Win</t>
        </is>
      </c>
      <c r="V246" s="53" t="inlineStr">
        <is>
          <t>Loss</t>
        </is>
      </c>
    </row>
    <row r="247">
      <c r="A247" s="42" t="n">
        <v>6</v>
      </c>
      <c r="B247" s="42" t="inlineStr">
        <is>
          <t>2026-10-10</t>
        </is>
      </c>
      <c r="C247" s="42" t="inlineStr">
        <is>
          <t>Sun Belt</t>
        </is>
      </c>
      <c r="D247" s="42" t="inlineStr">
        <is>
          <t>Sun Belt</t>
        </is>
      </c>
      <c r="E247" s="42" t="inlineStr">
        <is>
          <t>James Madison</t>
        </is>
      </c>
      <c r="F247" s="42" t="inlineStr">
        <is>
          <t>Georgia Southern</t>
        </is>
      </c>
      <c r="G247" s="42" t="n">
        <v>13.9</v>
      </c>
      <c r="H247" s="42" t="n">
        <v>7.5</v>
      </c>
      <c r="I247" s="56" t="n">
        <v>-6.4</v>
      </c>
      <c r="J247" s="42" t="n">
        <v>15.4</v>
      </c>
      <c r="K247" s="42" t="n">
        <v>12.1</v>
      </c>
      <c r="L247" s="42" t="n">
        <v>55.2</v>
      </c>
      <c r="M247" s="42" t="n">
        <v>51.8</v>
      </c>
      <c r="N247" s="47" t="n">
        <v>3.4</v>
      </c>
      <c r="O247" s="42" t="n">
        <v>27</v>
      </c>
      <c r="P247" s="42" t="n">
        <v>24</v>
      </c>
      <c r="Q247" s="47" t="inlineStr">
        <is>
          <t>Win</t>
        </is>
      </c>
      <c r="R247" s="42" t="n">
        <v>17</v>
      </c>
      <c r="S247" s="53" t="inlineStr">
        <is>
          <t>Loss</t>
        </is>
      </c>
      <c r="T247" s="53" t="inlineStr">
        <is>
          <t>Loss</t>
        </is>
      </c>
      <c r="U247" s="53" t="inlineStr">
        <is>
          <t>Loss</t>
        </is>
      </c>
      <c r="V247" s="53" t="inlineStr">
        <is>
          <t>Loss</t>
        </is>
      </c>
    </row>
    <row r="248">
      <c r="A248" s="42" t="n">
        <v>6</v>
      </c>
      <c r="B248" s="42" t="inlineStr">
        <is>
          <t>2026-10-10</t>
        </is>
      </c>
      <c r="C248" s="42" t="inlineStr">
        <is>
          <t>Sun Belt</t>
        </is>
      </c>
      <c r="D248" s="42" t="inlineStr">
        <is>
          <t>Sun Belt</t>
        </is>
      </c>
      <c r="E248" s="42" t="inlineStr">
        <is>
          <t>Louisiana</t>
        </is>
      </c>
      <c r="F248" s="42" t="inlineStr">
        <is>
          <t>Louisiana Tech</t>
        </is>
      </c>
      <c r="G248" s="42" t="n">
        <v>2.9</v>
      </c>
      <c r="H248" s="42" t="n">
        <v>-3</v>
      </c>
      <c r="I248" s="56" t="n">
        <v>-5.9</v>
      </c>
      <c r="J248" s="42" t="n">
        <v>4.3</v>
      </c>
      <c r="K248" s="42" t="n">
        <v>-6.6</v>
      </c>
      <c r="L248" s="42" t="n">
        <v>49.3</v>
      </c>
      <c r="M248" s="42" t="n">
        <v>46.8</v>
      </c>
      <c r="N248" s="47" t="n">
        <v>2.5</v>
      </c>
      <c r="O248" s="42" t="n">
        <v>31</v>
      </c>
      <c r="P248" s="42" t="n">
        <v>32</v>
      </c>
      <c r="Q248" s="48" t="inlineStr">
        <is>
          <t>Loss</t>
        </is>
      </c>
      <c r="R248" s="42" t="n">
        <v>6.6</v>
      </c>
      <c r="S248" s="52" t="inlineStr">
        <is>
          <t>Win</t>
        </is>
      </c>
      <c r="T248" s="52" t="inlineStr">
        <is>
          <t>Win</t>
        </is>
      </c>
      <c r="U248" s="52" t="inlineStr">
        <is>
          <t>Win</t>
        </is>
      </c>
      <c r="V248" s="53" t="inlineStr">
        <is>
          <t>Loss</t>
        </is>
      </c>
    </row>
    <row r="249">
      <c r="A249" s="42" t="n">
        <v>6</v>
      </c>
      <c r="B249" s="42" t="inlineStr">
        <is>
          <t>2026-10-10</t>
        </is>
      </c>
      <c r="C249" s="42" t="inlineStr">
        <is>
          <t>Sun Belt</t>
        </is>
      </c>
      <c r="D249" s="42" t="inlineStr">
        <is>
          <t>Sun Belt</t>
        </is>
      </c>
      <c r="E249" s="42" t="inlineStr">
        <is>
          <t>Coastal Carolina</t>
        </is>
      </c>
      <c r="F249" s="42" t="inlineStr">
        <is>
          <t>Marshall</t>
        </is>
      </c>
      <c r="G249" s="42" t="n">
        <v>-4</v>
      </c>
      <c r="H249" s="42" t="n">
        <v>-4</v>
      </c>
      <c r="I249" s="42" t="n">
        <v>0</v>
      </c>
      <c r="J249" s="42" t="n">
        <v>-15.7</v>
      </c>
      <c r="K249" s="42" t="n">
        <v>3.4</v>
      </c>
      <c r="L249" s="42" t="n">
        <v>60.7</v>
      </c>
      <c r="M249" s="42" t="n">
        <v>58.8</v>
      </c>
      <c r="N249" s="47" t="n">
        <v>2</v>
      </c>
      <c r="O249" s="42" t="n">
        <v>27</v>
      </c>
      <c r="P249" s="42" t="n">
        <v>21</v>
      </c>
      <c r="Q249" s="48" t="inlineStr">
        <is>
          <t>Loss</t>
        </is>
      </c>
      <c r="R249" s="42" t="n">
        <v>-13.8</v>
      </c>
      <c r="S249" s="53" t="inlineStr">
        <is>
          <t>Loss</t>
        </is>
      </c>
      <c r="T249" s="53" t="inlineStr">
        <is>
          <t>Loss</t>
        </is>
      </c>
      <c r="U249" s="53" t="inlineStr">
        <is>
          <t>Loss</t>
        </is>
      </c>
      <c r="V249" s="52" t="inlineStr">
        <is>
          <t>Win</t>
        </is>
      </c>
    </row>
    <row r="251">
      <c r="A251" s="41" t="inlineStr">
        <is>
          <t>Week 5</t>
        </is>
      </c>
    </row>
    <row r="252">
      <c r="A252" s="46" t="inlineStr">
        <is>
          <t>Week</t>
        </is>
      </c>
      <c r="B252" s="46" t="inlineStr">
        <is>
          <t>Date</t>
        </is>
      </c>
      <c r="C252" s="46" t="inlineStr">
        <is>
          <t>Home Conf</t>
        </is>
      </c>
      <c r="D252" s="46" t="inlineStr">
        <is>
          <t>Away Conf</t>
        </is>
      </c>
      <c r="E252" s="46" t="inlineStr">
        <is>
          <t>Away Team</t>
        </is>
      </c>
      <c r="F252" s="46" t="inlineStr">
        <is>
          <t>Home Team</t>
        </is>
      </c>
      <c r="G252" s="46" t="inlineStr">
        <is>
          <t>Model Line (Home)</t>
        </is>
      </c>
      <c r="H252" s="46" t="inlineStr">
        <is>
          <t>Market Line (Home)</t>
        </is>
      </c>
      <c r="I252" s="46" t="inlineStr">
        <is>
          <t>Spread Edge (pts)</t>
        </is>
      </c>
      <c r="J252" s="46" t="inlineStr">
        <is>
          <t>Ridge Line (Home)</t>
        </is>
      </c>
      <c r="K252" s="46" t="inlineStr">
        <is>
          <t>Massey Line (Home)</t>
        </is>
      </c>
      <c r="L252" s="46" t="inlineStr">
        <is>
          <t>Model Total</t>
        </is>
      </c>
      <c r="M252" s="46" t="inlineStr">
        <is>
          <t>Market Total</t>
        </is>
      </c>
      <c r="N252" s="46" t="inlineStr">
        <is>
          <t>Total Edge (pts)</t>
        </is>
      </c>
      <c r="O252" s="46" t="inlineStr">
        <is>
          <t>Away Pts</t>
        </is>
      </c>
      <c r="P252" s="46" t="inlineStr">
        <is>
          <t>Home Pts</t>
        </is>
      </c>
      <c r="Q252" s="46" t="inlineStr">
        <is>
          <t>Model Result (SU)</t>
        </is>
      </c>
      <c r="R252" s="46" t="inlineStr">
        <is>
          <t>XGBoost Line (Home)</t>
        </is>
      </c>
      <c r="S252" s="46" t="inlineStr">
        <is>
          <t>Gamma ATS</t>
        </is>
      </c>
      <c r="T252" s="46" t="inlineStr">
        <is>
          <t>Ridge ATS</t>
        </is>
      </c>
      <c r="U252" s="46" t="inlineStr">
        <is>
          <t>XGBoost ATS</t>
        </is>
      </c>
      <c r="V252" s="46" t="inlineStr">
        <is>
          <t>Massey ATS</t>
        </is>
      </c>
    </row>
    <row r="253">
      <c r="A253" s="42" t="n">
        <v>5</v>
      </c>
      <c r="B253" s="42" t="inlineStr">
        <is>
          <t>2026-10-02</t>
        </is>
      </c>
      <c r="C253" s="42" t="inlineStr">
        <is>
          <t>ACC</t>
        </is>
      </c>
      <c r="D253" s="42" t="inlineStr">
        <is>
          <t>ACC</t>
        </is>
      </c>
      <c r="E253" s="42" t="inlineStr">
        <is>
          <t>Pittsburgh</t>
        </is>
      </c>
      <c r="F253" s="42" t="inlineStr">
        <is>
          <t>Virginia Tech</t>
        </is>
      </c>
      <c r="G253" s="42" t="n">
        <v>-3.8</v>
      </c>
      <c r="H253" s="42" t="n">
        <v>-1.5</v>
      </c>
      <c r="I253" s="47" t="n">
        <v>2.3</v>
      </c>
      <c r="J253" s="42" t="n">
        <v>-1.3</v>
      </c>
      <c r="K253" s="42" t="n">
        <v>3.2</v>
      </c>
      <c r="L253" s="42" t="n">
        <v>51.2</v>
      </c>
      <c r="M253" s="42" t="n">
        <v>53.2</v>
      </c>
      <c r="N253" s="47" t="n">
        <v>-2.1</v>
      </c>
      <c r="O253" s="42" t="n">
        <v>35</v>
      </c>
      <c r="P253" s="42" t="n">
        <v>33</v>
      </c>
      <c r="Q253" s="48" t="inlineStr">
        <is>
          <t>Loss</t>
        </is>
      </c>
      <c r="R253" s="42" t="n">
        <v>-0.1</v>
      </c>
      <c r="S253" s="53" t="inlineStr">
        <is>
          <t>Loss</t>
        </is>
      </c>
      <c r="T253" s="53" t="inlineStr">
        <is>
          <t>Loss</t>
        </is>
      </c>
      <c r="U253" s="52" t="inlineStr">
        <is>
          <t>Win</t>
        </is>
      </c>
      <c r="V253" s="52" t="inlineStr">
        <is>
          <t>Win</t>
        </is>
      </c>
    </row>
    <row r="254">
      <c r="A254" s="42" t="n">
        <v>5</v>
      </c>
      <c r="B254" s="42" t="inlineStr">
        <is>
          <t>2026-10-03</t>
        </is>
      </c>
      <c r="C254" s="42" t="inlineStr">
        <is>
          <t>ACC</t>
        </is>
      </c>
      <c r="D254" s="42" t="inlineStr">
        <is>
          <t>ACC</t>
        </is>
      </c>
      <c r="E254" s="42" t="inlineStr">
        <is>
          <t>Miami</t>
        </is>
      </c>
      <c r="F254" s="42" t="inlineStr">
        <is>
          <t>Clemson</t>
        </is>
      </c>
      <c r="G254" s="42" t="n">
        <v>14</v>
      </c>
      <c r="H254" s="42" t="n">
        <v>14.8</v>
      </c>
      <c r="I254" s="42" t="n">
        <v>0.8</v>
      </c>
      <c r="J254" s="42" t="n">
        <v>8.199999999999999</v>
      </c>
      <c r="K254" s="42" t="n">
        <v>18.5</v>
      </c>
      <c r="L254" s="42" t="n">
        <v>47.3</v>
      </c>
      <c r="M254" s="42" t="n">
        <v>48.5</v>
      </c>
      <c r="N254" s="42" t="n">
        <v>-1.2</v>
      </c>
      <c r="O254" s="42" t="n">
        <v>41</v>
      </c>
      <c r="P254" s="42" t="n">
        <v>13</v>
      </c>
      <c r="Q254" s="47" t="inlineStr">
        <is>
          <t>Win</t>
        </is>
      </c>
      <c r="R254" s="42" t="n">
        <v>5.4</v>
      </c>
      <c r="S254" s="52" t="inlineStr">
        <is>
          <t>Win</t>
        </is>
      </c>
      <c r="T254" s="53" t="inlineStr">
        <is>
          <t>Loss</t>
        </is>
      </c>
      <c r="U254" s="53" t="inlineStr">
        <is>
          <t>Loss</t>
        </is>
      </c>
      <c r="V254" s="52" t="inlineStr">
        <is>
          <t>Win</t>
        </is>
      </c>
    </row>
    <row r="255">
      <c r="A255" s="42" t="n">
        <v>5</v>
      </c>
      <c r="B255" s="42" t="inlineStr">
        <is>
          <t>2026-10-03</t>
        </is>
      </c>
      <c r="C255" s="42" t="inlineStr">
        <is>
          <t>ACC</t>
        </is>
      </c>
      <c r="D255" s="42" t="inlineStr">
        <is>
          <t>ACC</t>
        </is>
      </c>
      <c r="E255" s="42" t="inlineStr">
        <is>
          <t>Virginia</t>
        </is>
      </c>
      <c r="F255" s="42" t="inlineStr">
        <is>
          <t>Florida State</t>
        </is>
      </c>
      <c r="G255" s="42" t="n">
        <v>5.2</v>
      </c>
      <c r="H255" s="42" t="n">
        <v>1.2</v>
      </c>
      <c r="I255" s="56" t="n">
        <v>-4</v>
      </c>
      <c r="J255" s="42" t="n">
        <v>-0.7</v>
      </c>
      <c r="K255" s="42" t="n">
        <v>8.9</v>
      </c>
      <c r="L255" s="42" t="n">
        <v>51.6</v>
      </c>
      <c r="M255" s="42" t="n">
        <v>51.5</v>
      </c>
      <c r="N255" s="42" t="n">
        <v>0.1</v>
      </c>
      <c r="O255" s="42" t="n">
        <v>7</v>
      </c>
      <c r="P255" s="42" t="n">
        <v>38</v>
      </c>
      <c r="Q255" s="48" t="inlineStr">
        <is>
          <t>Loss</t>
        </is>
      </c>
      <c r="R255" s="42" t="n">
        <v>0.6</v>
      </c>
      <c r="S255" s="53" t="inlineStr">
        <is>
          <t>Loss</t>
        </is>
      </c>
      <c r="T255" s="52" t="inlineStr">
        <is>
          <t>Win</t>
        </is>
      </c>
      <c r="U255" s="53" t="inlineStr">
        <is>
          <t>Loss</t>
        </is>
      </c>
      <c r="V255" s="53" t="inlineStr">
        <is>
          <t>Loss</t>
        </is>
      </c>
    </row>
    <row r="256">
      <c r="A256" s="42" t="n">
        <v>5</v>
      </c>
      <c r="B256" s="42" t="inlineStr">
        <is>
          <t>2026-10-03</t>
        </is>
      </c>
      <c r="C256" s="42" t="inlineStr">
        <is>
          <t>ACC</t>
        </is>
      </c>
      <c r="D256" s="42" t="inlineStr">
        <is>
          <t>ACC</t>
        </is>
      </c>
      <c r="E256" s="42" t="inlineStr">
        <is>
          <t>Louisville</t>
        </is>
      </c>
      <c r="F256" s="42" t="inlineStr">
        <is>
          <t>NC State</t>
        </is>
      </c>
      <c r="G256" s="42" t="n">
        <v>-2.6</v>
      </c>
      <c r="H256" s="42" t="n">
        <v>4.2</v>
      </c>
      <c r="I256" s="56" t="n">
        <v>6.8</v>
      </c>
      <c r="J256" s="42" t="n">
        <v>1.4</v>
      </c>
      <c r="K256" s="42" t="n">
        <v>-4.4</v>
      </c>
      <c r="L256" s="42" t="n">
        <v>57.3</v>
      </c>
      <c r="M256" s="42" t="n">
        <v>57</v>
      </c>
      <c r="N256" s="42" t="n">
        <v>0.3</v>
      </c>
      <c r="O256" s="42" t="n">
        <v>28</v>
      </c>
      <c r="P256" s="42" t="n">
        <v>31</v>
      </c>
      <c r="Q256" s="47" t="inlineStr">
        <is>
          <t>Win</t>
        </is>
      </c>
      <c r="R256" s="42" t="n">
        <v>-1.9</v>
      </c>
      <c r="S256" s="52" t="inlineStr">
        <is>
          <t>Win</t>
        </is>
      </c>
      <c r="T256" s="52" t="inlineStr">
        <is>
          <t>Win</t>
        </is>
      </c>
      <c r="U256" s="52" t="inlineStr">
        <is>
          <t>Win</t>
        </is>
      </c>
      <c r="V256" s="52" t="inlineStr">
        <is>
          <t>Win</t>
        </is>
      </c>
    </row>
    <row r="257">
      <c r="A257" s="42" t="n">
        <v>5</v>
      </c>
      <c r="B257" s="42" t="inlineStr">
        <is>
          <t>2026-10-03</t>
        </is>
      </c>
      <c r="C257" s="42" t="inlineStr">
        <is>
          <t>ACC</t>
        </is>
      </c>
      <c r="D257" s="42" t="inlineStr">
        <is>
          <t>FBS Independents</t>
        </is>
      </c>
      <c r="E257" s="42" t="inlineStr">
        <is>
          <t>Notre Dame</t>
        </is>
      </c>
      <c r="F257" s="42" t="inlineStr">
        <is>
          <t>North Carolina</t>
        </is>
      </c>
      <c r="G257" s="42" t="n">
        <v>21.5</v>
      </c>
      <c r="H257" s="42" t="n">
        <v>21</v>
      </c>
      <c r="I257" s="42" t="n">
        <v>-0.5</v>
      </c>
      <c r="J257" s="42" t="n">
        <v>11.2</v>
      </c>
      <c r="K257" s="42" t="n">
        <v>14.4</v>
      </c>
      <c r="L257" s="42" t="n">
        <v>48.3</v>
      </c>
      <c r="M257" s="42" t="n">
        <v>46.5</v>
      </c>
      <c r="N257" s="42" t="n">
        <v>1.8</v>
      </c>
      <c r="O257" s="42" t="n">
        <v>37</v>
      </c>
      <c r="P257" s="42" t="n">
        <v>26</v>
      </c>
      <c r="Q257" s="47" t="inlineStr">
        <is>
          <t>Win</t>
        </is>
      </c>
      <c r="R257" s="42" t="n">
        <v>17.1</v>
      </c>
      <c r="S257" s="53" t="inlineStr">
        <is>
          <t>Loss</t>
        </is>
      </c>
      <c r="T257" s="52" t="inlineStr">
        <is>
          <t>Win</t>
        </is>
      </c>
      <c r="U257" s="52" t="inlineStr">
        <is>
          <t>Win</t>
        </is>
      </c>
      <c r="V257" s="52" t="inlineStr">
        <is>
          <t>Win</t>
        </is>
      </c>
    </row>
    <row r="258">
      <c r="A258" s="42" t="n">
        <v>5</v>
      </c>
      <c r="B258" s="42" t="inlineStr">
        <is>
          <t>2026-10-03</t>
        </is>
      </c>
      <c r="C258" s="42" t="inlineStr">
        <is>
          <t>ACC</t>
        </is>
      </c>
      <c r="D258" s="42" t="inlineStr">
        <is>
          <t>ACC</t>
        </is>
      </c>
      <c r="E258" s="42" t="inlineStr">
        <is>
          <t>Boston College</t>
        </is>
      </c>
      <c r="F258" s="42" t="inlineStr">
        <is>
          <t>SMU</t>
        </is>
      </c>
      <c r="G258" s="42" t="n">
        <v>-16.5</v>
      </c>
      <c r="H258" s="42" t="n">
        <v>-21.5</v>
      </c>
      <c r="I258" s="56" t="n">
        <v>-5</v>
      </c>
      <c r="J258" s="42" t="n">
        <v>-19.4</v>
      </c>
      <c r="K258" s="42" t="n">
        <v>-10.1</v>
      </c>
      <c r="L258" s="42" t="n">
        <v>48.2</v>
      </c>
      <c r="M258" s="42" t="n">
        <v>55.2</v>
      </c>
      <c r="N258" s="47" t="n">
        <v>-7</v>
      </c>
      <c r="O258" s="42" t="n">
        <v>16</v>
      </c>
      <c r="P258" s="42" t="n">
        <v>25</v>
      </c>
      <c r="Q258" s="47" t="inlineStr">
        <is>
          <t>Win</t>
        </is>
      </c>
      <c r="R258" s="42" t="n">
        <v>-20.2</v>
      </c>
      <c r="S258" s="52" t="inlineStr">
        <is>
          <t>Win</t>
        </is>
      </c>
      <c r="T258" s="52" t="inlineStr">
        <is>
          <t>Win</t>
        </is>
      </c>
      <c r="U258" s="52" t="inlineStr">
        <is>
          <t>Win</t>
        </is>
      </c>
      <c r="V258" s="52" t="inlineStr">
        <is>
          <t>Win</t>
        </is>
      </c>
    </row>
    <row r="259">
      <c r="A259" s="42" t="n">
        <v>5</v>
      </c>
      <c r="B259" s="42" t="inlineStr">
        <is>
          <t>2026-10-03</t>
        </is>
      </c>
      <c r="C259" s="42" t="inlineStr">
        <is>
          <t>ACC</t>
        </is>
      </c>
      <c r="D259" s="42" t="inlineStr">
        <is>
          <t>ACC</t>
        </is>
      </c>
      <c r="E259" s="42" t="inlineStr">
        <is>
          <t>Stanford</t>
        </is>
      </c>
      <c r="F259" s="42" t="inlineStr">
        <is>
          <t>Wake Forest</t>
        </is>
      </c>
      <c r="G259" s="42" t="n">
        <v>-15.3</v>
      </c>
      <c r="H259" s="42" t="n">
        <v>-14.5</v>
      </c>
      <c r="I259" s="42" t="n">
        <v>0.8</v>
      </c>
      <c r="J259" s="42" t="n">
        <v>-7.6</v>
      </c>
      <c r="K259" s="42" t="n">
        <v>-13.5</v>
      </c>
      <c r="L259" s="42" t="n">
        <v>56.1</v>
      </c>
      <c r="M259" s="42" t="n">
        <v>54.2</v>
      </c>
      <c r="N259" s="42" t="n">
        <v>1.9</v>
      </c>
      <c r="O259" s="42" t="n">
        <v>3</v>
      </c>
      <c r="P259" s="42" t="n">
        <v>57</v>
      </c>
      <c r="Q259" s="47" t="inlineStr">
        <is>
          <t>Win</t>
        </is>
      </c>
      <c r="R259" s="42" t="n">
        <v>-5.9</v>
      </c>
      <c r="S259" s="52" t="inlineStr">
        <is>
          <t>Win</t>
        </is>
      </c>
      <c r="T259" s="53" t="inlineStr">
        <is>
          <t>Loss</t>
        </is>
      </c>
      <c r="U259" s="53" t="inlineStr">
        <is>
          <t>Loss</t>
        </is>
      </c>
      <c r="V259" s="53" t="inlineStr">
        <is>
          <t>Loss</t>
        </is>
      </c>
    </row>
    <row r="260">
      <c r="A260" s="42" t="n">
        <v>5</v>
      </c>
      <c r="B260" s="42" t="inlineStr">
        <is>
          <t>2026-10-02</t>
        </is>
      </c>
      <c r="C260" s="42" t="inlineStr">
        <is>
          <t>American Athletic</t>
        </is>
      </c>
      <c r="D260" s="42" t="inlineStr">
        <is>
          <t>American Athletic</t>
        </is>
      </c>
      <c r="E260" s="42" t="inlineStr">
        <is>
          <t>North Texas</t>
        </is>
      </c>
      <c r="F260" s="42" t="inlineStr">
        <is>
          <t>Tulsa</t>
        </is>
      </c>
      <c r="G260" s="42" t="n">
        <v>7.3</v>
      </c>
      <c r="H260" s="42" t="n">
        <v>2</v>
      </c>
      <c r="I260" s="56" t="n">
        <v>-5.3</v>
      </c>
      <c r="J260" s="42" t="n">
        <v>4.4</v>
      </c>
      <c r="K260" s="42" t="n">
        <v>-3.1</v>
      </c>
      <c r="L260" s="42" t="n">
        <v>56.4</v>
      </c>
      <c r="M260" s="42" t="n">
        <v>56.8</v>
      </c>
      <c r="N260" s="42" t="n">
        <v>-0.4</v>
      </c>
      <c r="O260" s="42" t="n">
        <v>45</v>
      </c>
      <c r="P260" s="42" t="n">
        <v>44</v>
      </c>
      <c r="Q260" s="47" t="inlineStr">
        <is>
          <t>Win</t>
        </is>
      </c>
      <c r="R260" s="42" t="n">
        <v>1.9</v>
      </c>
      <c r="S260" s="53" t="inlineStr">
        <is>
          <t>Loss</t>
        </is>
      </c>
      <c r="T260" s="53" t="inlineStr">
        <is>
          <t>Loss</t>
        </is>
      </c>
      <c r="U260" s="53" t="inlineStr">
        <is>
          <t>Loss</t>
        </is>
      </c>
      <c r="V260" s="52" t="inlineStr">
        <is>
          <t>Win</t>
        </is>
      </c>
    </row>
    <row r="261">
      <c r="A261" s="42" t="n">
        <v>5</v>
      </c>
      <c r="B261" s="42" t="inlineStr">
        <is>
          <t>2026-10-03</t>
        </is>
      </c>
      <c r="C261" s="42" t="inlineStr">
        <is>
          <t>American Athletic</t>
        </is>
      </c>
      <c r="D261" s="42" t="inlineStr">
        <is>
          <t>American Athletic</t>
        </is>
      </c>
      <c r="E261" s="42" t="inlineStr">
        <is>
          <t>Memphis</t>
        </is>
      </c>
      <c r="F261" s="42" t="inlineStr">
        <is>
          <t>Charlotte</t>
        </is>
      </c>
      <c r="G261" s="42" t="n">
        <v>20.3</v>
      </c>
      <c r="H261" s="42" t="n">
        <v>19.5</v>
      </c>
      <c r="I261" s="42" t="n">
        <v>-0.8</v>
      </c>
      <c r="J261" s="42" t="n">
        <v>17.4</v>
      </c>
      <c r="K261" s="42" t="n">
        <v>9.699999999999999</v>
      </c>
      <c r="L261" s="42" t="n">
        <v>54.4</v>
      </c>
      <c r="M261" s="42" t="n">
        <v>52.2</v>
      </c>
      <c r="N261" s="47" t="n">
        <v>2.2</v>
      </c>
      <c r="O261" s="42" t="n">
        <v>59</v>
      </c>
      <c r="P261" s="42" t="n">
        <v>8</v>
      </c>
      <c r="Q261" s="47" t="inlineStr">
        <is>
          <t>Win</t>
        </is>
      </c>
      <c r="R261" s="42" t="n">
        <v>19.1</v>
      </c>
      <c r="S261" s="52" t="inlineStr">
        <is>
          <t>Win</t>
        </is>
      </c>
      <c r="T261" s="53" t="inlineStr">
        <is>
          <t>Loss</t>
        </is>
      </c>
      <c r="U261" s="52" t="inlineStr">
        <is>
          <t>Win</t>
        </is>
      </c>
      <c r="V261" s="53" t="inlineStr">
        <is>
          <t>Loss</t>
        </is>
      </c>
    </row>
    <row r="262">
      <c r="A262" s="42" t="n">
        <v>5</v>
      </c>
      <c r="B262" s="42" t="inlineStr">
        <is>
          <t>2026-10-03</t>
        </is>
      </c>
      <c r="C262" s="42" t="inlineStr">
        <is>
          <t>American Athletic</t>
        </is>
      </c>
      <c r="D262" s="42" t="inlineStr">
        <is>
          <t>SWAC</t>
        </is>
      </c>
      <c r="E262" s="42" t="inlineStr">
        <is>
          <t>Texas Southern</t>
        </is>
      </c>
      <c r="F262" s="42" t="inlineStr">
        <is>
          <t>Florida Atlantic</t>
        </is>
      </c>
      <c r="G262" s="42" t="n">
        <v>-27.8</v>
      </c>
      <c r="H262" s="42" t="n">
        <v>-45.8</v>
      </c>
      <c r="I262" s="56" t="n">
        <v>-18</v>
      </c>
      <c r="J262" s="42" t="n">
        <v>-18.2</v>
      </c>
      <c r="K262" s="42" t="n">
        <v>-20.2</v>
      </c>
      <c r="L262" s="42" t="n">
        <v>56.5</v>
      </c>
      <c r="M262" s="42" t="n">
        <v>62</v>
      </c>
      <c r="N262" s="47" t="n">
        <v>-5.5</v>
      </c>
      <c r="O262" s="42" t="n">
        <v>10</v>
      </c>
      <c r="P262" s="42" t="n">
        <v>66</v>
      </c>
      <c r="Q262" s="47" t="inlineStr">
        <is>
          <t>Win</t>
        </is>
      </c>
      <c r="R262" s="42" t="n">
        <v>-31.9</v>
      </c>
      <c r="S262" s="53" t="inlineStr">
        <is>
          <t>Loss</t>
        </is>
      </c>
      <c r="T262" s="53" t="inlineStr">
        <is>
          <t>Loss</t>
        </is>
      </c>
      <c r="U262" s="53" t="inlineStr">
        <is>
          <t>Loss</t>
        </is>
      </c>
      <c r="V262" s="53" t="inlineStr">
        <is>
          <t>Loss</t>
        </is>
      </c>
    </row>
    <row r="263">
      <c r="A263" s="42" t="n">
        <v>5</v>
      </c>
      <c r="B263" s="42" t="inlineStr">
        <is>
          <t>2026-10-03</t>
        </is>
      </c>
      <c r="C263" s="42" t="inlineStr">
        <is>
          <t>American Athletic</t>
        </is>
      </c>
      <c r="D263" s="42" t="inlineStr">
        <is>
          <t>American Athletic</t>
        </is>
      </c>
      <c r="E263" s="42" t="inlineStr">
        <is>
          <t>UTSA</t>
        </is>
      </c>
      <c r="F263" s="42" t="inlineStr">
        <is>
          <t>Rice</t>
        </is>
      </c>
      <c r="G263" s="42" t="n">
        <v>13.7</v>
      </c>
      <c r="H263" s="42" t="n">
        <v>12</v>
      </c>
      <c r="I263" s="42" t="n">
        <v>-1.7</v>
      </c>
      <c r="J263" s="42" t="n">
        <v>10.3</v>
      </c>
      <c r="K263" s="42" t="n">
        <v>9.9</v>
      </c>
      <c r="L263" s="42" t="n">
        <v>55</v>
      </c>
      <c r="M263" s="42" t="n">
        <v>56.2</v>
      </c>
      <c r="N263" s="42" t="n">
        <v>-1.2</v>
      </c>
      <c r="O263" s="42" t="n">
        <v>16</v>
      </c>
      <c r="P263" s="42" t="n">
        <v>14</v>
      </c>
      <c r="Q263" s="47" t="inlineStr">
        <is>
          <t>Win</t>
        </is>
      </c>
      <c r="R263" s="42" t="n">
        <v>15.2</v>
      </c>
      <c r="S263" s="53" t="inlineStr">
        <is>
          <t>Loss</t>
        </is>
      </c>
      <c r="T263" s="52" t="inlineStr">
        <is>
          <t>Win</t>
        </is>
      </c>
      <c r="U263" s="53" t="inlineStr">
        <is>
          <t>Loss</t>
        </is>
      </c>
      <c r="V263" s="52" t="inlineStr">
        <is>
          <t>Win</t>
        </is>
      </c>
    </row>
    <row r="264">
      <c r="A264" s="42" t="n">
        <v>5</v>
      </c>
      <c r="B264" s="42" t="inlineStr">
        <is>
          <t>2026-10-03</t>
        </is>
      </c>
      <c r="C264" s="42" t="inlineStr">
        <is>
          <t>American Athletic</t>
        </is>
      </c>
      <c r="D264" s="42" t="inlineStr">
        <is>
          <t>American Athletic</t>
        </is>
      </c>
      <c r="E264" s="42" t="inlineStr">
        <is>
          <t>Temple</t>
        </is>
      </c>
      <c r="F264" s="42" t="inlineStr">
        <is>
          <t>South Florida</t>
        </is>
      </c>
      <c r="G264" s="42" t="n">
        <v>-11.6</v>
      </c>
      <c r="H264" s="42" t="n">
        <v>-5.5</v>
      </c>
      <c r="I264" s="56" t="n">
        <v>6.1</v>
      </c>
      <c r="J264" s="42" t="n">
        <v>-14.1</v>
      </c>
      <c r="K264" s="42" t="n">
        <v>-6.8</v>
      </c>
      <c r="L264" s="42" t="n">
        <v>58.3</v>
      </c>
      <c r="M264" s="42" t="n">
        <v>49.5</v>
      </c>
      <c r="N264" s="47" t="n">
        <v>8.800000000000001</v>
      </c>
      <c r="O264" s="42" t="n">
        <v>17</v>
      </c>
      <c r="P264" s="42" t="n">
        <v>13</v>
      </c>
      <c r="Q264" s="48" t="inlineStr">
        <is>
          <t>Loss</t>
        </is>
      </c>
      <c r="R264" s="42" t="n">
        <v>-11.2</v>
      </c>
      <c r="S264" s="53" t="inlineStr">
        <is>
          <t>Loss</t>
        </is>
      </c>
      <c r="T264" s="53" t="inlineStr">
        <is>
          <t>Loss</t>
        </is>
      </c>
      <c r="U264" s="53" t="inlineStr">
        <is>
          <t>Loss</t>
        </is>
      </c>
      <c r="V264" s="53" t="inlineStr">
        <is>
          <t>Loss</t>
        </is>
      </c>
    </row>
    <row r="265">
      <c r="A265" s="42" t="n">
        <v>5</v>
      </c>
      <c r="B265" s="42" t="inlineStr">
        <is>
          <t>2026-10-03</t>
        </is>
      </c>
      <c r="C265" s="42" t="inlineStr">
        <is>
          <t>American Athletic</t>
        </is>
      </c>
      <c r="D265" s="42" t="inlineStr">
        <is>
          <t>Southern</t>
        </is>
      </c>
      <c r="E265" s="42" t="inlineStr">
        <is>
          <t>Samford</t>
        </is>
      </c>
      <c r="F265" s="42" t="inlineStr">
        <is>
          <t>UAB</t>
        </is>
      </c>
      <c r="G265" s="42" t="n">
        <v>-31.3</v>
      </c>
      <c r="H265" s="42" t="n">
        <v>-30.5</v>
      </c>
      <c r="I265" s="42" t="n">
        <v>0.8</v>
      </c>
      <c r="J265" s="42" t="n">
        <v>-18</v>
      </c>
      <c r="K265" s="42" t="n">
        <v>-0.8</v>
      </c>
      <c r="L265" s="42" t="n">
        <v>57.5</v>
      </c>
      <c r="M265" s="42" t="n">
        <v>54.2</v>
      </c>
      <c r="N265" s="47" t="n">
        <v>3.2</v>
      </c>
      <c r="O265" s="42" t="n">
        <v>14</v>
      </c>
      <c r="P265" s="42" t="n">
        <v>33</v>
      </c>
      <c r="Q265" s="47" t="inlineStr">
        <is>
          <t>Win</t>
        </is>
      </c>
      <c r="R265" s="42" t="n">
        <v>-24.4</v>
      </c>
      <c r="S265" s="53" t="inlineStr">
        <is>
          <t>Loss</t>
        </is>
      </c>
      <c r="T265" s="52" t="inlineStr">
        <is>
          <t>Win</t>
        </is>
      </c>
      <c r="U265" s="52" t="inlineStr">
        <is>
          <t>Win</t>
        </is>
      </c>
      <c r="V265" s="52" t="inlineStr">
        <is>
          <t>Win</t>
        </is>
      </c>
    </row>
    <row r="266">
      <c r="A266" s="42" t="n">
        <v>5</v>
      </c>
      <c r="B266" s="42" t="inlineStr">
        <is>
          <t>2026-10-03</t>
        </is>
      </c>
      <c r="C266" s="42" t="inlineStr">
        <is>
          <t>Big 12</t>
        </is>
      </c>
      <c r="D266" s="42" t="inlineStr">
        <is>
          <t>Big 12</t>
        </is>
      </c>
      <c r="E266" s="42" t="inlineStr">
        <is>
          <t>Texas Tech</t>
        </is>
      </c>
      <c r="F266" s="42" t="inlineStr">
        <is>
          <t>Colorado</t>
        </is>
      </c>
      <c r="G266" s="42" t="n">
        <v>20.4</v>
      </c>
      <c r="H266" s="42" t="n">
        <v>13.5</v>
      </c>
      <c r="I266" s="56" t="n">
        <v>-6.9</v>
      </c>
      <c r="J266" s="42" t="n">
        <v>18.9</v>
      </c>
      <c r="K266" s="42" t="n">
        <v>11.2</v>
      </c>
      <c r="L266" s="42" t="n">
        <v>48.9</v>
      </c>
      <c r="M266" s="42" t="n">
        <v>50</v>
      </c>
      <c r="N266" s="42" t="n">
        <v>-1.1</v>
      </c>
      <c r="O266" s="42" t="n">
        <v>29</v>
      </c>
      <c r="P266" s="42" t="n">
        <v>7</v>
      </c>
      <c r="Q266" s="47" t="inlineStr">
        <is>
          <t>Win</t>
        </is>
      </c>
      <c r="R266" s="42" t="n">
        <v>19.2</v>
      </c>
      <c r="S266" s="52" t="inlineStr">
        <is>
          <t>Win</t>
        </is>
      </c>
      <c r="T266" s="52" t="inlineStr">
        <is>
          <t>Win</t>
        </is>
      </c>
      <c r="U266" s="52" t="inlineStr">
        <is>
          <t>Win</t>
        </is>
      </c>
      <c r="V266" s="53" t="inlineStr">
        <is>
          <t>Loss</t>
        </is>
      </c>
    </row>
    <row r="267">
      <c r="A267" s="42" t="n">
        <v>5</v>
      </c>
      <c r="B267" s="42" t="inlineStr">
        <is>
          <t>2026-10-03</t>
        </is>
      </c>
      <c r="C267" s="42" t="inlineStr">
        <is>
          <t>Big 12</t>
        </is>
      </c>
      <c r="D267" s="42" t="inlineStr">
        <is>
          <t>Big 12</t>
        </is>
      </c>
      <c r="E267" s="42" t="inlineStr">
        <is>
          <t>UCF</t>
        </is>
      </c>
      <c r="F267" s="42" t="inlineStr">
        <is>
          <t>Houston</t>
        </is>
      </c>
      <c r="G267" s="42" t="n">
        <v>-9.6</v>
      </c>
      <c r="H267" s="42" t="n">
        <v>-10.5</v>
      </c>
      <c r="I267" s="42" t="n">
        <v>-0.9</v>
      </c>
      <c r="J267" s="42" t="n">
        <v>-11.9</v>
      </c>
      <c r="K267" s="42" t="n">
        <v>-2</v>
      </c>
      <c r="L267" s="42" t="n">
        <v>53.8</v>
      </c>
      <c r="M267" s="42" t="n">
        <v>50.8</v>
      </c>
      <c r="N267" s="47" t="n">
        <v>3.1</v>
      </c>
      <c r="O267" s="42" t="n">
        <v>17</v>
      </c>
      <c r="P267" s="42" t="n">
        <v>27</v>
      </c>
      <c r="Q267" s="47" t="inlineStr">
        <is>
          <t>Win</t>
        </is>
      </c>
      <c r="R267" s="42" t="n">
        <v>-12</v>
      </c>
      <c r="S267" s="53" t="inlineStr">
        <is>
          <t>Loss</t>
        </is>
      </c>
      <c r="T267" s="53" t="inlineStr">
        <is>
          <t>Loss</t>
        </is>
      </c>
      <c r="U267" s="53" t="inlineStr">
        <is>
          <t>Loss</t>
        </is>
      </c>
      <c r="V267" s="52" t="inlineStr">
        <is>
          <t>Win</t>
        </is>
      </c>
    </row>
    <row r="268">
      <c r="A268" s="42" t="n">
        <v>5</v>
      </c>
      <c r="B268" s="42" t="inlineStr">
        <is>
          <t>2026-10-03</t>
        </is>
      </c>
      <c r="C268" s="42" t="inlineStr">
        <is>
          <t>Big 12</t>
        </is>
      </c>
      <c r="D268" s="42" t="inlineStr">
        <is>
          <t>Big 12</t>
        </is>
      </c>
      <c r="E268" s="42" t="inlineStr">
        <is>
          <t>West Virginia</t>
        </is>
      </c>
      <c r="F268" s="42" t="inlineStr">
        <is>
          <t>Iowa State</t>
        </is>
      </c>
      <c r="G268" s="42" t="n">
        <v>-13.7</v>
      </c>
      <c r="H268" s="42" t="n">
        <v>-3</v>
      </c>
      <c r="I268" s="56" t="n">
        <v>10.7</v>
      </c>
      <c r="J268" s="42" t="n">
        <v>-5.5</v>
      </c>
      <c r="K268" s="42" t="n">
        <v>-4.9</v>
      </c>
      <c r="L268" s="42" t="n">
        <v>49</v>
      </c>
      <c r="M268" s="42" t="n">
        <v>53.2</v>
      </c>
      <c r="N268" s="47" t="n">
        <v>-4.2</v>
      </c>
      <c r="O268" s="42" t="n">
        <v>42</v>
      </c>
      <c r="P268" s="42" t="n">
        <v>45</v>
      </c>
      <c r="Q268" s="47" t="inlineStr">
        <is>
          <t>Win</t>
        </is>
      </c>
      <c r="R268" s="42" t="n">
        <v>-4.9</v>
      </c>
      <c r="S268" s="54" t="inlineStr">
        <is>
          <t>Push</t>
        </is>
      </c>
      <c r="T268" s="54" t="inlineStr">
        <is>
          <t>Push</t>
        </is>
      </c>
      <c r="U268" s="54" t="inlineStr">
        <is>
          <t>Push</t>
        </is>
      </c>
      <c r="V268" s="54" t="inlineStr">
        <is>
          <t>Push</t>
        </is>
      </c>
    </row>
    <row r="269">
      <c r="A269" s="42" t="n">
        <v>5</v>
      </c>
      <c r="B269" s="42" t="inlineStr">
        <is>
          <t>2026-10-03</t>
        </is>
      </c>
      <c r="C269" s="42" t="inlineStr">
        <is>
          <t>Big 12</t>
        </is>
      </c>
      <c r="D269" s="42" t="inlineStr">
        <is>
          <t>Conference USA</t>
        </is>
      </c>
      <c r="E269" s="42" t="inlineStr">
        <is>
          <t>Middle Tennessee</t>
        </is>
      </c>
      <c r="F269" s="42" t="inlineStr">
        <is>
          <t>Kansas</t>
        </is>
      </c>
      <c r="G269" s="42" t="n">
        <v>-16.9</v>
      </c>
      <c r="H269" s="42" t="n">
        <v>-21</v>
      </c>
      <c r="I269" s="56" t="n">
        <v>-4.1</v>
      </c>
      <c r="J269" s="42" t="n">
        <v>-19.5</v>
      </c>
      <c r="K269" s="42" t="n">
        <v>-6.3</v>
      </c>
      <c r="L269" s="42" t="n">
        <v>54.2</v>
      </c>
      <c r="M269" s="42" t="n">
        <v>51</v>
      </c>
      <c r="N269" s="47" t="n">
        <v>3.2</v>
      </c>
      <c r="O269" s="42" t="n">
        <v>0</v>
      </c>
      <c r="P269" s="42" t="n">
        <v>55</v>
      </c>
      <c r="Q269" s="47" t="inlineStr">
        <is>
          <t>Win</t>
        </is>
      </c>
      <c r="R269" s="42" t="n">
        <v>-14.4</v>
      </c>
      <c r="S269" s="53" t="inlineStr">
        <is>
          <t>Loss</t>
        </is>
      </c>
      <c r="T269" s="53" t="inlineStr">
        <is>
          <t>Loss</t>
        </is>
      </c>
      <c r="U269" s="53" t="inlineStr">
        <is>
          <t>Loss</t>
        </is>
      </c>
      <c r="V269" s="53" t="inlineStr">
        <is>
          <t>Loss</t>
        </is>
      </c>
    </row>
    <row r="270">
      <c r="A270" s="42" t="n">
        <v>5</v>
      </c>
      <c r="B270" s="42" t="inlineStr">
        <is>
          <t>2026-10-03</t>
        </is>
      </c>
      <c r="C270" s="42" t="inlineStr">
        <is>
          <t>Big 12</t>
        </is>
      </c>
      <c r="D270" s="42" t="inlineStr">
        <is>
          <t>Big 12</t>
        </is>
      </c>
      <c r="E270" s="42" t="inlineStr">
        <is>
          <t>BYU</t>
        </is>
      </c>
      <c r="F270" s="42" t="inlineStr">
        <is>
          <t>TCU</t>
        </is>
      </c>
      <c r="G270" s="42" t="n">
        <v>8.199999999999999</v>
      </c>
      <c r="H270" s="42" t="n">
        <v>5.8</v>
      </c>
      <c r="I270" s="47" t="n">
        <v>-2.4</v>
      </c>
      <c r="J270" s="42" t="n">
        <v>8.800000000000001</v>
      </c>
      <c r="K270" s="42" t="n">
        <v>1.3</v>
      </c>
      <c r="L270" s="42" t="n">
        <v>52.3</v>
      </c>
      <c r="M270" s="42" t="n">
        <v>48.2</v>
      </c>
      <c r="N270" s="47" t="n">
        <v>4</v>
      </c>
      <c r="O270" s="42" t="n">
        <v>17</v>
      </c>
      <c r="P270" s="42" t="n">
        <v>10</v>
      </c>
      <c r="Q270" s="47" t="inlineStr">
        <is>
          <t>Win</t>
        </is>
      </c>
      <c r="R270" s="42" t="n">
        <v>7.2</v>
      </c>
      <c r="S270" s="52" t="inlineStr">
        <is>
          <t>Win</t>
        </is>
      </c>
      <c r="T270" s="52" t="inlineStr">
        <is>
          <t>Win</t>
        </is>
      </c>
      <c r="U270" s="52" t="inlineStr">
        <is>
          <t>Win</t>
        </is>
      </c>
      <c r="V270" s="53" t="inlineStr">
        <is>
          <t>Loss</t>
        </is>
      </c>
    </row>
    <row r="271">
      <c r="A271" s="42" t="n">
        <v>5</v>
      </c>
      <c r="B271" s="42" t="inlineStr">
        <is>
          <t>2026-10-04</t>
        </is>
      </c>
      <c r="C271" s="42" t="inlineStr">
        <is>
          <t>Big 12</t>
        </is>
      </c>
      <c r="D271" s="42" t="inlineStr">
        <is>
          <t>Big 12</t>
        </is>
      </c>
      <c r="E271" s="42" t="inlineStr">
        <is>
          <t>Cincinnati</t>
        </is>
      </c>
      <c r="F271" s="42" t="inlineStr">
        <is>
          <t>Arizona</t>
        </is>
      </c>
      <c r="G271" s="42" t="n">
        <v>-1.1</v>
      </c>
      <c r="H271" s="42" t="n">
        <v>-6.8</v>
      </c>
      <c r="I271" s="56" t="n">
        <v>-5.7</v>
      </c>
      <c r="J271" s="42" t="n">
        <v>-11</v>
      </c>
      <c r="K271" s="42" t="n">
        <v>0.5</v>
      </c>
      <c r="L271" s="42" t="n">
        <v>55.7</v>
      </c>
      <c r="M271" s="42" t="n">
        <v>56</v>
      </c>
      <c r="N271" s="42" t="n">
        <v>-0.3</v>
      </c>
      <c r="O271" s="42" t="n">
        <v>7</v>
      </c>
      <c r="P271" s="42" t="n">
        <v>34</v>
      </c>
      <c r="Q271" s="47" t="inlineStr">
        <is>
          <t>Win</t>
        </is>
      </c>
      <c r="R271" s="42" t="n">
        <v>-12.1</v>
      </c>
      <c r="S271" s="53" t="inlineStr">
        <is>
          <t>Loss</t>
        </is>
      </c>
      <c r="T271" s="52" t="inlineStr">
        <is>
          <t>Win</t>
        </is>
      </c>
      <c r="U271" s="52" t="inlineStr">
        <is>
          <t>Win</t>
        </is>
      </c>
      <c r="V271" s="53" t="inlineStr">
        <is>
          <t>Loss</t>
        </is>
      </c>
    </row>
    <row r="272">
      <c r="A272" s="42" t="n">
        <v>5</v>
      </c>
      <c r="B272" s="42" t="inlineStr">
        <is>
          <t>2026-10-04</t>
        </is>
      </c>
      <c r="C272" s="42" t="inlineStr">
        <is>
          <t>Big 12</t>
        </is>
      </c>
      <c r="D272" s="42" t="inlineStr">
        <is>
          <t>Big 12</t>
        </is>
      </c>
      <c r="E272" s="42" t="inlineStr">
        <is>
          <t>Baylor</t>
        </is>
      </c>
      <c r="F272" s="42" t="inlineStr">
        <is>
          <t>Arizona State</t>
        </is>
      </c>
      <c r="G272" s="42" t="n">
        <v>-2.6</v>
      </c>
      <c r="H272" s="42" t="n">
        <v>-3.5</v>
      </c>
      <c r="I272" s="42" t="n">
        <v>-0.9</v>
      </c>
      <c r="J272" s="42" t="n">
        <v>-3.9</v>
      </c>
      <c r="K272" s="42" t="n">
        <v>1</v>
      </c>
      <c r="L272" s="42" t="n">
        <v>46.7</v>
      </c>
      <c r="M272" s="42" t="n">
        <v>49</v>
      </c>
      <c r="N272" s="47" t="n">
        <v>-2.3</v>
      </c>
      <c r="O272" s="42" t="n">
        <v>55</v>
      </c>
      <c r="P272" s="42" t="n">
        <v>19</v>
      </c>
      <c r="Q272" s="48" t="inlineStr">
        <is>
          <t>Loss</t>
        </is>
      </c>
      <c r="R272" s="42" t="n">
        <v>-6.6</v>
      </c>
      <c r="S272" s="53" t="inlineStr">
        <is>
          <t>Loss</t>
        </is>
      </c>
      <c r="T272" s="53" t="inlineStr">
        <is>
          <t>Loss</t>
        </is>
      </c>
      <c r="U272" s="53" t="inlineStr">
        <is>
          <t>Loss</t>
        </is>
      </c>
      <c r="V272" s="52" t="inlineStr">
        <is>
          <t>Win</t>
        </is>
      </c>
    </row>
    <row r="273">
      <c r="A273" s="42" t="n">
        <v>5</v>
      </c>
      <c r="B273" s="42" t="inlineStr">
        <is>
          <t>2026-10-03</t>
        </is>
      </c>
      <c r="C273" s="42" t="inlineStr">
        <is>
          <t>Big Ten</t>
        </is>
      </c>
      <c r="D273" s="42" t="inlineStr">
        <is>
          <t>Big Ten</t>
        </is>
      </c>
      <c r="E273" s="42" t="inlineStr">
        <is>
          <t>Purdue</t>
        </is>
      </c>
      <c r="F273" s="42" t="inlineStr">
        <is>
          <t>Illinois</t>
        </is>
      </c>
      <c r="G273" s="42" t="n">
        <v>-14.4</v>
      </c>
      <c r="H273" s="42" t="n">
        <v>-9.800000000000001</v>
      </c>
      <c r="I273" s="56" t="n">
        <v>4.6</v>
      </c>
      <c r="J273" s="42" t="n">
        <v>-16.5</v>
      </c>
      <c r="K273" s="42" t="n">
        <v>-9.6</v>
      </c>
      <c r="L273" s="42" t="n">
        <v>60.4</v>
      </c>
      <c r="M273" s="42" t="n">
        <v>62.5</v>
      </c>
      <c r="N273" s="47" t="n">
        <v>-2.1</v>
      </c>
      <c r="O273" s="42" t="n">
        <v>24</v>
      </c>
      <c r="P273" s="42" t="n">
        <v>17</v>
      </c>
      <c r="Q273" s="48" t="inlineStr">
        <is>
          <t>Loss</t>
        </is>
      </c>
      <c r="R273" s="42" t="n">
        <v>-10.7</v>
      </c>
      <c r="S273" s="53" t="inlineStr">
        <is>
          <t>Loss</t>
        </is>
      </c>
      <c r="T273" s="53" t="inlineStr">
        <is>
          <t>Loss</t>
        </is>
      </c>
      <c r="U273" s="53" t="inlineStr">
        <is>
          <t>Loss</t>
        </is>
      </c>
      <c r="V273" s="53" t="inlineStr">
        <is>
          <t>Loss</t>
        </is>
      </c>
    </row>
    <row r="274">
      <c r="A274" s="42" t="n">
        <v>5</v>
      </c>
      <c r="B274" s="42" t="inlineStr">
        <is>
          <t>2026-10-03</t>
        </is>
      </c>
      <c r="C274" s="42" t="inlineStr">
        <is>
          <t>Big Ten</t>
        </is>
      </c>
      <c r="D274" s="42" t="inlineStr">
        <is>
          <t>Big Ten</t>
        </is>
      </c>
      <c r="E274" s="42" t="inlineStr">
        <is>
          <t>Ohio State</t>
        </is>
      </c>
      <c r="F274" s="42" t="inlineStr">
        <is>
          <t>Iowa</t>
        </is>
      </c>
      <c r="G274" s="42" t="n">
        <v>9.300000000000001</v>
      </c>
      <c r="H274" s="42" t="n">
        <v>14.2</v>
      </c>
      <c r="I274" s="56" t="n">
        <v>4.9</v>
      </c>
      <c r="J274" s="42" t="n">
        <v>7.1</v>
      </c>
      <c r="K274" s="42" t="n">
        <v>3.9</v>
      </c>
      <c r="L274" s="42" t="n">
        <v>45.9</v>
      </c>
      <c r="M274" s="42" t="n">
        <v>46</v>
      </c>
      <c r="N274" s="42" t="n">
        <v>-0.1</v>
      </c>
      <c r="O274" s="42" t="n">
        <v>31</v>
      </c>
      <c r="P274" s="42" t="n">
        <v>14</v>
      </c>
      <c r="Q274" s="47" t="inlineStr">
        <is>
          <t>Win</t>
        </is>
      </c>
      <c r="R274" s="42" t="n">
        <v>7.1</v>
      </c>
      <c r="S274" s="53" t="inlineStr">
        <is>
          <t>Loss</t>
        </is>
      </c>
      <c r="T274" s="53" t="inlineStr">
        <is>
          <t>Loss</t>
        </is>
      </c>
      <c r="U274" s="53" t="inlineStr">
        <is>
          <t>Loss</t>
        </is>
      </c>
      <c r="V274" s="53" t="inlineStr">
        <is>
          <t>Loss</t>
        </is>
      </c>
    </row>
    <row r="275">
      <c r="A275" s="42" t="n">
        <v>5</v>
      </c>
      <c r="B275" s="42" t="inlineStr">
        <is>
          <t>2026-10-03</t>
        </is>
      </c>
      <c r="C275" s="42" t="inlineStr">
        <is>
          <t>Big Ten</t>
        </is>
      </c>
      <c r="D275" s="42" t="inlineStr">
        <is>
          <t>Big Ten</t>
        </is>
      </c>
      <c r="E275" s="42" t="inlineStr">
        <is>
          <t>Michigan</t>
        </is>
      </c>
      <c r="F275" s="42" t="inlineStr">
        <is>
          <t>Minnesota</t>
        </is>
      </c>
      <c r="G275" s="42" t="n">
        <v>0.8</v>
      </c>
      <c r="H275" s="42" t="n">
        <v>6.2</v>
      </c>
      <c r="I275" s="56" t="n">
        <v>5.4</v>
      </c>
      <c r="J275" s="42" t="n">
        <v>4.9</v>
      </c>
      <c r="K275" s="42" t="n">
        <v>-4.6</v>
      </c>
      <c r="L275" s="42" t="n">
        <v>43.8</v>
      </c>
      <c r="M275" s="42" t="n">
        <v>42.2</v>
      </c>
      <c r="N275" s="42" t="n">
        <v>1.6</v>
      </c>
      <c r="O275" s="42" t="n">
        <v>14</v>
      </c>
      <c r="P275" s="42" t="n">
        <v>20</v>
      </c>
      <c r="Q275" s="48" t="inlineStr">
        <is>
          <t>Loss</t>
        </is>
      </c>
      <c r="R275" s="42" t="n">
        <v>4.2</v>
      </c>
      <c r="S275" s="52" t="inlineStr">
        <is>
          <t>Win</t>
        </is>
      </c>
      <c r="T275" s="52" t="inlineStr">
        <is>
          <t>Win</t>
        </is>
      </c>
      <c r="U275" s="52" t="inlineStr">
        <is>
          <t>Win</t>
        </is>
      </c>
      <c r="V275" s="52" t="inlineStr">
        <is>
          <t>Win</t>
        </is>
      </c>
    </row>
    <row r="276">
      <c r="A276" s="42" t="n">
        <v>5</v>
      </c>
      <c r="B276" s="42" t="inlineStr">
        <is>
          <t>2026-10-03</t>
        </is>
      </c>
      <c r="C276" s="42" t="inlineStr">
        <is>
          <t>Big Ten</t>
        </is>
      </c>
      <c r="D276" s="42" t="inlineStr">
        <is>
          <t>Big Ten</t>
        </is>
      </c>
      <c r="E276" s="42" t="inlineStr">
        <is>
          <t>Maryland</t>
        </is>
      </c>
      <c r="F276" s="42" t="inlineStr">
        <is>
          <t>Nebraska</t>
        </is>
      </c>
      <c r="G276" s="42" t="n">
        <v>-13.5</v>
      </c>
      <c r="H276" s="42" t="n">
        <v>-15</v>
      </c>
      <c r="I276" s="42" t="n">
        <v>-1.5</v>
      </c>
      <c r="J276" s="42" t="n">
        <v>-12.9</v>
      </c>
      <c r="K276" s="42" t="n">
        <v>-13.6</v>
      </c>
      <c r="L276" s="42" t="n">
        <v>52.2</v>
      </c>
      <c r="M276" s="42" t="n">
        <v>52.5</v>
      </c>
      <c r="N276" s="42" t="n">
        <v>-0.3</v>
      </c>
      <c r="O276" s="42" t="n">
        <v>23</v>
      </c>
      <c r="P276" s="42" t="n">
        <v>48</v>
      </c>
      <c r="Q276" s="47" t="inlineStr">
        <is>
          <t>Win</t>
        </is>
      </c>
      <c r="R276" s="42" t="n">
        <v>-12.3</v>
      </c>
      <c r="S276" s="53" t="inlineStr">
        <is>
          <t>Loss</t>
        </is>
      </c>
      <c r="T276" s="53" t="inlineStr">
        <is>
          <t>Loss</t>
        </is>
      </c>
      <c r="U276" s="53" t="inlineStr">
        <is>
          <t>Loss</t>
        </is>
      </c>
      <c r="V276" s="53" t="inlineStr">
        <is>
          <t>Loss</t>
        </is>
      </c>
    </row>
    <row r="277">
      <c r="A277" s="42" t="n">
        <v>5</v>
      </c>
      <c r="B277" s="42" t="inlineStr">
        <is>
          <t>2026-10-03</t>
        </is>
      </c>
      <c r="C277" s="42" t="inlineStr">
        <is>
          <t>Big Ten</t>
        </is>
      </c>
      <c r="D277" s="42" t="inlineStr">
        <is>
          <t>Big Ten</t>
        </is>
      </c>
      <c r="E277" s="42" t="inlineStr">
        <is>
          <t>Penn State</t>
        </is>
      </c>
      <c r="F277" s="42" t="inlineStr">
        <is>
          <t>Northwestern</t>
        </is>
      </c>
      <c r="G277" s="42" t="n">
        <v>1.3</v>
      </c>
      <c r="H277" s="42" t="n">
        <v>2.8</v>
      </c>
      <c r="I277" s="42" t="n">
        <v>1.5</v>
      </c>
      <c r="J277" s="42" t="n">
        <v>0.7</v>
      </c>
      <c r="K277" s="42" t="n">
        <v>1.9</v>
      </c>
      <c r="L277" s="42" t="n">
        <v>49.9</v>
      </c>
      <c r="M277" s="42" t="n">
        <v>46.8</v>
      </c>
      <c r="N277" s="47" t="n">
        <v>3.1</v>
      </c>
      <c r="O277" s="42" t="n">
        <v>13</v>
      </c>
      <c r="P277" s="42" t="n">
        <v>34</v>
      </c>
      <c r="Q277" s="48" t="inlineStr">
        <is>
          <t>Loss</t>
        </is>
      </c>
      <c r="R277" s="42" t="n">
        <v>1.7</v>
      </c>
      <c r="S277" s="52" t="inlineStr">
        <is>
          <t>Win</t>
        </is>
      </c>
      <c r="T277" s="52" t="inlineStr">
        <is>
          <t>Win</t>
        </is>
      </c>
      <c r="U277" s="52" t="inlineStr">
        <is>
          <t>Win</t>
        </is>
      </c>
      <c r="V277" s="53" t="inlineStr">
        <is>
          <t>Loss</t>
        </is>
      </c>
    </row>
    <row r="278">
      <c r="A278" s="42" t="n">
        <v>5</v>
      </c>
      <c r="B278" s="42" t="inlineStr">
        <is>
          <t>2026-10-03</t>
        </is>
      </c>
      <c r="C278" s="42" t="inlineStr">
        <is>
          <t>Big Ten</t>
        </is>
      </c>
      <c r="D278" s="42" t="inlineStr">
        <is>
          <t>Big Ten</t>
        </is>
      </c>
      <c r="E278" s="42" t="inlineStr">
        <is>
          <t>Washington</t>
        </is>
      </c>
      <c r="F278" s="42" t="inlineStr">
        <is>
          <t>USC</t>
        </is>
      </c>
      <c r="G278" s="42" t="n">
        <v>1.5</v>
      </c>
      <c r="H278" s="42" t="n">
        <v>-8.199999999999999</v>
      </c>
      <c r="I278" s="56" t="n">
        <v>-9.699999999999999</v>
      </c>
      <c r="J278" s="42" t="n">
        <v>-5.4</v>
      </c>
      <c r="K278" s="42" t="n">
        <v>-10</v>
      </c>
      <c r="L278" s="42" t="n">
        <v>51.4</v>
      </c>
      <c r="M278" s="42" t="n">
        <v>58.2</v>
      </c>
      <c r="N278" s="47" t="n">
        <v>-6.8</v>
      </c>
      <c r="O278" s="42" t="n">
        <v>21</v>
      </c>
      <c r="P278" s="42" t="n">
        <v>25</v>
      </c>
      <c r="Q278" s="48" t="inlineStr">
        <is>
          <t>Loss</t>
        </is>
      </c>
      <c r="R278" s="42" t="n">
        <v>-5.8</v>
      </c>
      <c r="S278" s="52" t="inlineStr">
        <is>
          <t>Win</t>
        </is>
      </c>
      <c r="T278" s="52" t="inlineStr">
        <is>
          <t>Win</t>
        </is>
      </c>
      <c r="U278" s="52" t="inlineStr">
        <is>
          <t>Win</t>
        </is>
      </c>
      <c r="V278" s="53" t="inlineStr">
        <is>
          <t>Loss</t>
        </is>
      </c>
    </row>
    <row r="279">
      <c r="A279" s="42" t="n">
        <v>5</v>
      </c>
      <c r="B279" s="42" t="inlineStr">
        <is>
          <t>2026-10-03</t>
        </is>
      </c>
      <c r="C279" s="42" t="inlineStr">
        <is>
          <t>Big Ten</t>
        </is>
      </c>
      <c r="D279" s="42" t="inlineStr">
        <is>
          <t>Big Ten</t>
        </is>
      </c>
      <c r="E279" s="42" t="inlineStr">
        <is>
          <t>Michigan State</t>
        </is>
      </c>
      <c r="F279" s="42" t="inlineStr">
        <is>
          <t>Wisconsin</t>
        </is>
      </c>
      <c r="G279" s="42" t="n">
        <v>-3.7</v>
      </c>
      <c r="H279" s="42" t="n">
        <v>-8.800000000000001</v>
      </c>
      <c r="I279" s="56" t="n">
        <v>-5.1</v>
      </c>
      <c r="J279" s="42" t="n">
        <v>-9.5</v>
      </c>
      <c r="K279" s="42" t="n">
        <v>-7.8</v>
      </c>
      <c r="L279" s="42" t="n">
        <v>44.8</v>
      </c>
      <c r="M279" s="42" t="n">
        <v>43.2</v>
      </c>
      <c r="N279" s="42" t="n">
        <v>1.5</v>
      </c>
      <c r="O279" s="42" t="n">
        <v>3</v>
      </c>
      <c r="P279" s="42" t="n">
        <v>31</v>
      </c>
      <c r="Q279" s="47" t="inlineStr">
        <is>
          <t>Win</t>
        </is>
      </c>
      <c r="R279" s="42" t="n">
        <v>-7.2</v>
      </c>
      <c r="S279" s="53" t="inlineStr">
        <is>
          <t>Loss</t>
        </is>
      </c>
      <c r="T279" s="52" t="inlineStr">
        <is>
          <t>Win</t>
        </is>
      </c>
      <c r="U279" s="53" t="inlineStr">
        <is>
          <t>Loss</t>
        </is>
      </c>
      <c r="V279" s="53" t="inlineStr">
        <is>
          <t>Loss</t>
        </is>
      </c>
    </row>
    <row r="280">
      <c r="A280" s="42" t="n">
        <v>5</v>
      </c>
      <c r="B280" s="42" t="inlineStr">
        <is>
          <t>2026-10-04</t>
        </is>
      </c>
      <c r="C280" s="42" t="inlineStr">
        <is>
          <t>Big Ten</t>
        </is>
      </c>
      <c r="D280" s="42" t="inlineStr">
        <is>
          <t>Big Ten</t>
        </is>
      </c>
      <c r="E280" s="42" t="inlineStr">
        <is>
          <t>Indiana</t>
        </is>
      </c>
      <c r="F280" s="42" t="inlineStr">
        <is>
          <t>Rutgers</t>
        </is>
      </c>
      <c r="G280" s="42" t="n">
        <v>33.3</v>
      </c>
      <c r="H280" s="42" t="n">
        <v>24.2</v>
      </c>
      <c r="I280" s="56" t="n">
        <v>-9.1</v>
      </c>
      <c r="J280" s="42" t="n">
        <v>18.7</v>
      </c>
      <c r="K280" s="42" t="n">
        <v>12.6</v>
      </c>
      <c r="L280" s="42" t="n">
        <v>53.8</v>
      </c>
      <c r="M280" s="42" t="n">
        <v>56.8</v>
      </c>
      <c r="N280" s="47" t="n">
        <v>-2.9</v>
      </c>
      <c r="O280" s="42" t="n">
        <v>47</v>
      </c>
      <c r="P280" s="42" t="n">
        <v>15</v>
      </c>
      <c r="Q280" s="47" t="inlineStr">
        <is>
          <t>Win</t>
        </is>
      </c>
      <c r="R280" s="42" t="n">
        <v>18.4</v>
      </c>
      <c r="S280" s="52" t="inlineStr">
        <is>
          <t>Win</t>
        </is>
      </c>
      <c r="T280" s="53" t="inlineStr">
        <is>
          <t>Loss</t>
        </is>
      </c>
      <c r="U280" s="53" t="inlineStr">
        <is>
          <t>Loss</t>
        </is>
      </c>
      <c r="V280" s="53" t="inlineStr">
        <is>
          <t>Loss</t>
        </is>
      </c>
    </row>
    <row r="281">
      <c r="A281" s="42" t="n">
        <v>5</v>
      </c>
      <c r="B281" s="42" t="inlineStr">
        <is>
          <t>2026-10-02</t>
        </is>
      </c>
      <c r="C281" s="42" t="inlineStr">
        <is>
          <t>Conference USA</t>
        </is>
      </c>
      <c r="D281" s="42" t="inlineStr">
        <is>
          <t>Conference USA</t>
        </is>
      </c>
      <c r="E281" s="42" t="inlineStr">
        <is>
          <t>Liberty</t>
        </is>
      </c>
      <c r="F281" s="42" t="inlineStr">
        <is>
          <t>Delaware</t>
        </is>
      </c>
      <c r="G281" s="42" t="n">
        <v>5.8</v>
      </c>
      <c r="H281" s="42" t="n">
        <v>7</v>
      </c>
      <c r="I281" s="42" t="n">
        <v>1.2</v>
      </c>
      <c r="J281" s="42" t="n">
        <v>-0.5</v>
      </c>
      <c r="K281" s="42" t="n">
        <v>5.2</v>
      </c>
      <c r="L281" s="42" t="n">
        <v>50.9</v>
      </c>
      <c r="M281" s="42" t="n">
        <v>51.5</v>
      </c>
      <c r="N281" s="42" t="n">
        <v>-0.6</v>
      </c>
      <c r="O281" s="42" t="n">
        <v>30</v>
      </c>
      <c r="P281" s="42" t="n">
        <v>14</v>
      </c>
      <c r="Q281" s="47" t="inlineStr">
        <is>
          <t>Win</t>
        </is>
      </c>
      <c r="R281" s="42" t="n">
        <v>0.6</v>
      </c>
      <c r="S281" s="53" t="inlineStr">
        <is>
          <t>Loss</t>
        </is>
      </c>
      <c r="T281" s="53" t="inlineStr">
        <is>
          <t>Loss</t>
        </is>
      </c>
      <c r="U281" s="53" t="inlineStr">
        <is>
          <t>Loss</t>
        </is>
      </c>
      <c r="V281" s="53" t="inlineStr">
        <is>
          <t>Loss</t>
        </is>
      </c>
    </row>
    <row r="282">
      <c r="A282" s="42" t="n">
        <v>5</v>
      </c>
      <c r="B282" s="42" t="inlineStr">
        <is>
          <t>2026-10-02</t>
        </is>
      </c>
      <c r="C282" s="42" t="inlineStr">
        <is>
          <t>Conference USA</t>
        </is>
      </c>
      <c r="D282" s="42" t="inlineStr">
        <is>
          <t>Conference USA</t>
        </is>
      </c>
      <c r="E282" s="42" t="inlineStr">
        <is>
          <t>Western Kentucky</t>
        </is>
      </c>
      <c r="F282" s="42" t="inlineStr">
        <is>
          <t>New Mexico State</t>
        </is>
      </c>
      <c r="G282" s="42" t="n">
        <v>5.5</v>
      </c>
      <c r="H282" s="42" t="n">
        <v>-1.5</v>
      </c>
      <c r="I282" s="56" t="n">
        <v>-7</v>
      </c>
      <c r="J282" s="42" t="n">
        <v>9.800000000000001</v>
      </c>
      <c r="K282" s="42" t="n">
        <v>-6.9</v>
      </c>
      <c r="L282" s="42" t="n">
        <v>55.6</v>
      </c>
      <c r="M282" s="42" t="n">
        <v>55.8</v>
      </c>
      <c r="N282" s="42" t="n">
        <v>-0.2</v>
      </c>
      <c r="O282" s="42" t="n">
        <v>13</v>
      </c>
      <c r="P282" s="42" t="n">
        <v>34</v>
      </c>
      <c r="Q282" s="48" t="inlineStr">
        <is>
          <t>Loss</t>
        </is>
      </c>
      <c r="R282" s="42" t="n">
        <v>12.2</v>
      </c>
      <c r="S282" s="53" t="inlineStr">
        <is>
          <t>Loss</t>
        </is>
      </c>
      <c r="T282" s="53" t="inlineStr">
        <is>
          <t>Loss</t>
        </is>
      </c>
      <c r="U282" s="53" t="inlineStr">
        <is>
          <t>Loss</t>
        </is>
      </c>
      <c r="V282" s="52" t="inlineStr">
        <is>
          <t>Win</t>
        </is>
      </c>
    </row>
    <row r="283">
      <c r="A283" s="42" t="n">
        <v>5</v>
      </c>
      <c r="B283" s="42" t="inlineStr">
        <is>
          <t>2026-10-03</t>
        </is>
      </c>
      <c r="C283" s="42" t="inlineStr">
        <is>
          <t>FBS Independents</t>
        </is>
      </c>
      <c r="D283" s="42" t="inlineStr">
        <is>
          <t>ACC</t>
        </is>
      </c>
      <c r="E283" s="42" t="inlineStr">
        <is>
          <t>Syracuse</t>
        </is>
      </c>
      <c r="F283" s="42" t="inlineStr">
        <is>
          <t>UConn</t>
        </is>
      </c>
      <c r="G283" s="42" t="n">
        <v>-2.2</v>
      </c>
      <c r="H283" s="42" t="n">
        <v>6.5</v>
      </c>
      <c r="I283" s="56" t="n">
        <v>8.699999999999999</v>
      </c>
      <c r="J283" s="42" t="n">
        <v>-9.9</v>
      </c>
      <c r="K283" s="42" t="n">
        <v>-0.2</v>
      </c>
      <c r="L283" s="42" t="n">
        <v>47.9</v>
      </c>
      <c r="M283" s="42" t="n">
        <v>51</v>
      </c>
      <c r="N283" s="47" t="n">
        <v>-3.1</v>
      </c>
      <c r="O283" s="42" t="n">
        <v>42</v>
      </c>
      <c r="P283" s="42" t="n">
        <v>41</v>
      </c>
      <c r="Q283" s="48" t="inlineStr">
        <is>
          <t>Loss</t>
        </is>
      </c>
      <c r="R283" s="42" t="n">
        <v>-3.3</v>
      </c>
      <c r="S283" s="52" t="inlineStr">
        <is>
          <t>Win</t>
        </is>
      </c>
      <c r="T283" s="52" t="inlineStr">
        <is>
          <t>Win</t>
        </is>
      </c>
      <c r="U283" s="52" t="inlineStr">
        <is>
          <t>Win</t>
        </is>
      </c>
      <c r="V283" s="52" t="inlineStr">
        <is>
          <t>Win</t>
        </is>
      </c>
    </row>
    <row r="284">
      <c r="A284" s="42" t="n">
        <v>5</v>
      </c>
      <c r="B284" s="42" t="inlineStr">
        <is>
          <t>2026-10-03</t>
        </is>
      </c>
      <c r="C284" s="42" t="inlineStr">
        <is>
          <t>Mid-American</t>
        </is>
      </c>
      <c r="D284" s="42" t="inlineStr">
        <is>
          <t>Mid-American</t>
        </is>
      </c>
      <c r="E284" s="42" t="inlineStr">
        <is>
          <t>Toledo</t>
        </is>
      </c>
      <c r="F284" s="42" t="inlineStr">
        <is>
          <t>Ball State</t>
        </is>
      </c>
      <c r="G284" s="42" t="n">
        <v>21.5</v>
      </c>
      <c r="H284" s="42" t="n">
        <v>20.8</v>
      </c>
      <c r="I284" s="42" t="n">
        <v>-0.7</v>
      </c>
      <c r="J284" s="42" t="n">
        <v>12</v>
      </c>
      <c r="K284" s="42" t="n">
        <v>18</v>
      </c>
      <c r="L284" s="42" t="n">
        <v>52.3</v>
      </c>
      <c r="M284" s="42" t="n">
        <v>52.2</v>
      </c>
      <c r="N284" s="42" t="n">
        <v>0.1</v>
      </c>
      <c r="O284" s="42" t="n">
        <v>39</v>
      </c>
      <c r="P284" s="42" t="n">
        <v>24</v>
      </c>
      <c r="Q284" s="47" t="inlineStr">
        <is>
          <t>Win</t>
        </is>
      </c>
      <c r="R284" s="42" t="n">
        <v>14.4</v>
      </c>
      <c r="S284" s="53" t="inlineStr">
        <is>
          <t>Loss</t>
        </is>
      </c>
      <c r="T284" s="52" t="inlineStr">
        <is>
          <t>Win</t>
        </is>
      </c>
      <c r="U284" s="52" t="inlineStr">
        <is>
          <t>Win</t>
        </is>
      </c>
      <c r="V284" s="52" t="inlineStr">
        <is>
          <t>Win</t>
        </is>
      </c>
    </row>
    <row r="285">
      <c r="A285" s="42" t="n">
        <v>5</v>
      </c>
      <c r="B285" s="42" t="inlineStr">
        <is>
          <t>2026-10-03</t>
        </is>
      </c>
      <c r="C285" s="42" t="inlineStr">
        <is>
          <t>Mid-American</t>
        </is>
      </c>
      <c r="D285" s="42" t="inlineStr">
        <is>
          <t>Mid-American</t>
        </is>
      </c>
      <c r="E285" s="42" t="inlineStr">
        <is>
          <t>Western Michigan</t>
        </is>
      </c>
      <c r="F285" s="42" t="inlineStr">
        <is>
          <t>Buffalo</t>
        </is>
      </c>
      <c r="G285" s="42" t="n">
        <v>12.7</v>
      </c>
      <c r="H285" s="42" t="n">
        <v>13.2</v>
      </c>
      <c r="I285" s="42" t="n">
        <v>0.5</v>
      </c>
      <c r="J285" s="42" t="n">
        <v>10.3</v>
      </c>
      <c r="K285" s="42" t="n">
        <v>8.800000000000001</v>
      </c>
      <c r="L285" s="42" t="n">
        <v>45.3</v>
      </c>
      <c r="M285" s="42" t="n">
        <v>46.2</v>
      </c>
      <c r="N285" s="42" t="n">
        <v>-0.9</v>
      </c>
      <c r="O285" s="42" t="n">
        <v>20</v>
      </c>
      <c r="P285" s="42" t="n">
        <v>17</v>
      </c>
      <c r="Q285" s="47" t="inlineStr">
        <is>
          <t>Win</t>
        </is>
      </c>
      <c r="R285" s="42" t="n">
        <v>6.4</v>
      </c>
      <c r="S285" s="53" t="inlineStr">
        <is>
          <t>Loss</t>
        </is>
      </c>
      <c r="T285" s="52" t="inlineStr">
        <is>
          <t>Win</t>
        </is>
      </c>
      <c r="U285" s="52" t="inlineStr">
        <is>
          <t>Win</t>
        </is>
      </c>
      <c r="V285" s="52" t="inlineStr">
        <is>
          <t>Win</t>
        </is>
      </c>
    </row>
    <row r="286">
      <c r="A286" s="42" t="n">
        <v>5</v>
      </c>
      <c r="B286" s="42" t="inlineStr">
        <is>
          <t>2026-10-03</t>
        </is>
      </c>
      <c r="C286" s="42" t="inlineStr">
        <is>
          <t>Mid-American</t>
        </is>
      </c>
      <c r="D286" s="42" t="inlineStr">
        <is>
          <t>Mid-American</t>
        </is>
      </c>
      <c r="E286" s="42" t="inlineStr">
        <is>
          <t>Akron</t>
        </is>
      </c>
      <c r="F286" s="42" t="inlineStr">
        <is>
          <t>Central Michigan</t>
        </is>
      </c>
      <c r="G286" s="42" t="n">
        <v>-12.1</v>
      </c>
      <c r="H286" s="42" t="n">
        <v>-6.8</v>
      </c>
      <c r="I286" s="56" t="n">
        <v>5.3</v>
      </c>
      <c r="J286" s="42" t="n">
        <v>-6.3</v>
      </c>
      <c r="K286" s="42" t="n">
        <v>-5.1</v>
      </c>
      <c r="L286" s="42" t="n">
        <v>47</v>
      </c>
      <c r="M286" s="42" t="n">
        <v>47.2</v>
      </c>
      <c r="N286" s="42" t="n">
        <v>-0.3</v>
      </c>
      <c r="O286" s="42" t="n">
        <v>17</v>
      </c>
      <c r="P286" s="42" t="n">
        <v>41</v>
      </c>
      <c r="Q286" s="47" t="inlineStr">
        <is>
          <t>Win</t>
        </is>
      </c>
      <c r="R286" s="42" t="n">
        <v>-6.7</v>
      </c>
      <c r="S286" s="52" t="inlineStr">
        <is>
          <t>Win</t>
        </is>
      </c>
      <c r="T286" s="52" t="inlineStr">
        <is>
          <t>Win</t>
        </is>
      </c>
      <c r="U286" s="52" t="inlineStr">
        <is>
          <t>Win</t>
        </is>
      </c>
      <c r="V286" s="53" t="inlineStr">
        <is>
          <t>Loss</t>
        </is>
      </c>
    </row>
    <row r="287">
      <c r="A287" s="42" t="n">
        <v>5</v>
      </c>
      <c r="B287" s="42" t="inlineStr">
        <is>
          <t>2026-10-03</t>
        </is>
      </c>
      <c r="C287" s="42" t="inlineStr">
        <is>
          <t>Mid-American</t>
        </is>
      </c>
      <c r="D287" s="42" t="inlineStr">
        <is>
          <t>Mid-American</t>
        </is>
      </c>
      <c r="E287" s="42" t="inlineStr">
        <is>
          <t>Ohio</t>
        </is>
      </c>
      <c r="F287" s="42" t="inlineStr">
        <is>
          <t>Kent State</t>
        </is>
      </c>
      <c r="G287" s="42" t="n">
        <v>5.5</v>
      </c>
      <c r="H287" s="42" t="n">
        <v>3.5</v>
      </c>
      <c r="I287" s="47" t="n">
        <v>-2</v>
      </c>
      <c r="J287" s="42" t="n">
        <v>10.9</v>
      </c>
      <c r="K287" s="42" t="n">
        <v>10.7</v>
      </c>
      <c r="L287" s="42" t="n">
        <v>53.3</v>
      </c>
      <c r="M287" s="42" t="n">
        <v>50.8</v>
      </c>
      <c r="N287" s="47" t="n">
        <v>2.6</v>
      </c>
      <c r="O287" s="42" t="n">
        <v>13</v>
      </c>
      <c r="P287" s="42" t="n">
        <v>10</v>
      </c>
      <c r="Q287" s="47" t="inlineStr">
        <is>
          <t>Win</t>
        </is>
      </c>
      <c r="R287" s="42" t="n">
        <v>15.5</v>
      </c>
      <c r="S287" s="53" t="inlineStr">
        <is>
          <t>Loss</t>
        </is>
      </c>
      <c r="T287" s="53" t="inlineStr">
        <is>
          <t>Loss</t>
        </is>
      </c>
      <c r="U287" s="53" t="inlineStr">
        <is>
          <t>Loss</t>
        </is>
      </c>
      <c r="V287" s="53" t="inlineStr">
        <is>
          <t>Loss</t>
        </is>
      </c>
    </row>
    <row r="288">
      <c r="A288" s="42" t="n">
        <v>5</v>
      </c>
      <c r="B288" s="42" t="inlineStr">
        <is>
          <t>2026-10-03</t>
        </is>
      </c>
      <c r="C288" s="42" t="inlineStr">
        <is>
          <t>Mid-American</t>
        </is>
      </c>
      <c r="D288" s="42" t="inlineStr">
        <is>
          <t>Mid-American</t>
        </is>
      </c>
      <c r="E288" s="42" t="inlineStr">
        <is>
          <t>Eastern Michigan</t>
        </is>
      </c>
      <c r="F288" s="42" t="inlineStr">
        <is>
          <t>Massachusetts</t>
        </is>
      </c>
      <c r="G288" s="42" t="n">
        <v>-1.7</v>
      </c>
      <c r="H288" s="42" t="n">
        <v>-5.8</v>
      </c>
      <c r="I288" s="56" t="n">
        <v>-4.1</v>
      </c>
      <c r="J288" s="42" t="n">
        <v>1.4</v>
      </c>
      <c r="K288" s="42" t="n">
        <v>-22.9</v>
      </c>
      <c r="L288" s="42" t="n">
        <v>48.3</v>
      </c>
      <c r="M288" s="42" t="n">
        <v>49.2</v>
      </c>
      <c r="N288" s="42" t="n">
        <v>-1</v>
      </c>
      <c r="O288" s="42" t="n">
        <v>38</v>
      </c>
      <c r="P288" s="42" t="n">
        <v>14</v>
      </c>
      <c r="Q288" s="48" t="inlineStr">
        <is>
          <t>Loss</t>
        </is>
      </c>
      <c r="R288" s="42" t="n">
        <v>0.1</v>
      </c>
      <c r="S288" s="52" t="inlineStr">
        <is>
          <t>Win</t>
        </is>
      </c>
      <c r="T288" s="52" t="inlineStr">
        <is>
          <t>Win</t>
        </is>
      </c>
      <c r="U288" s="52" t="inlineStr">
        <is>
          <t>Win</t>
        </is>
      </c>
      <c r="V288" s="53" t="inlineStr">
        <is>
          <t>Loss</t>
        </is>
      </c>
    </row>
    <row r="289">
      <c r="A289" s="42" t="n">
        <v>5</v>
      </c>
      <c r="B289" s="42" t="inlineStr">
        <is>
          <t>2026-10-03</t>
        </is>
      </c>
      <c r="C289" s="42" t="inlineStr">
        <is>
          <t>Mid-American</t>
        </is>
      </c>
      <c r="D289" s="42" t="inlineStr">
        <is>
          <t>Mid-American</t>
        </is>
      </c>
      <c r="E289" s="42" t="inlineStr">
        <is>
          <t>Bowling Green</t>
        </is>
      </c>
      <c r="F289" s="42" t="inlineStr">
        <is>
          <t>Miami (OH)</t>
        </is>
      </c>
      <c r="G289" s="42" t="n">
        <v>-5.8</v>
      </c>
      <c r="H289" s="42" t="n">
        <v>-11.2</v>
      </c>
      <c r="I289" s="56" t="n">
        <v>-5.4</v>
      </c>
      <c r="J289" s="42" t="n">
        <v>-13.7</v>
      </c>
      <c r="K289" s="42" t="n">
        <v>-18.8</v>
      </c>
      <c r="L289" s="42" t="n">
        <v>48.6</v>
      </c>
      <c r="M289" s="42" t="n">
        <v>42.2</v>
      </c>
      <c r="N289" s="47" t="n">
        <v>6.4</v>
      </c>
      <c r="O289" s="42" t="n">
        <v>24</v>
      </c>
      <c r="P289" s="42" t="n">
        <v>20</v>
      </c>
      <c r="Q289" s="48" t="inlineStr">
        <is>
          <t>Loss</t>
        </is>
      </c>
      <c r="R289" s="42" t="n">
        <v>-13.1</v>
      </c>
      <c r="S289" s="52" t="inlineStr">
        <is>
          <t>Win</t>
        </is>
      </c>
      <c r="T289" s="53" t="inlineStr">
        <is>
          <t>Loss</t>
        </is>
      </c>
      <c r="U289" s="53" t="inlineStr">
        <is>
          <t>Loss</t>
        </is>
      </c>
      <c r="V289" s="53" t="inlineStr">
        <is>
          <t>Loss</t>
        </is>
      </c>
    </row>
    <row r="290">
      <c r="A290" s="42" t="n">
        <v>5</v>
      </c>
      <c r="B290" s="42" t="inlineStr">
        <is>
          <t>2026-10-03</t>
        </is>
      </c>
      <c r="C290" s="42" t="inlineStr">
        <is>
          <t>Mountain West</t>
        </is>
      </c>
      <c r="D290" s="42" t="inlineStr">
        <is>
          <t>American Athletic</t>
        </is>
      </c>
      <c r="E290" s="42" t="inlineStr">
        <is>
          <t>Navy</t>
        </is>
      </c>
      <c r="F290" s="42" t="inlineStr">
        <is>
          <t>Air Force</t>
        </is>
      </c>
      <c r="G290" s="42" t="n">
        <v>4.5</v>
      </c>
      <c r="H290" s="42" t="n">
        <v>-2.8</v>
      </c>
      <c r="I290" s="56" t="n">
        <v>-7.3</v>
      </c>
      <c r="J290" s="42" t="n">
        <v>-8.5</v>
      </c>
      <c r="K290" s="42" t="n">
        <v>-7</v>
      </c>
      <c r="L290" s="42" t="n">
        <v>55.1</v>
      </c>
      <c r="M290" s="42" t="n">
        <v>45.2</v>
      </c>
      <c r="N290" s="47" t="n">
        <v>9.800000000000001</v>
      </c>
      <c r="O290" s="42" t="n">
        <v>9</v>
      </c>
      <c r="P290" s="42" t="n">
        <v>14</v>
      </c>
      <c r="Q290" s="48" t="inlineStr">
        <is>
          <t>Loss</t>
        </is>
      </c>
      <c r="R290" s="42" t="n">
        <v>-4.4</v>
      </c>
      <c r="S290" s="53" t="inlineStr">
        <is>
          <t>Loss</t>
        </is>
      </c>
      <c r="T290" s="52" t="inlineStr">
        <is>
          <t>Win</t>
        </is>
      </c>
      <c r="U290" s="52" t="inlineStr">
        <is>
          <t>Win</t>
        </is>
      </c>
      <c r="V290" s="52" t="inlineStr">
        <is>
          <t>Win</t>
        </is>
      </c>
    </row>
    <row r="291">
      <c r="A291" s="42" t="n">
        <v>5</v>
      </c>
      <c r="B291" s="42" t="inlineStr">
        <is>
          <t>2026-10-03</t>
        </is>
      </c>
      <c r="C291" s="42" t="inlineStr">
        <is>
          <t>Mountain West</t>
        </is>
      </c>
      <c r="D291" s="42" t="inlineStr">
        <is>
          <t>Mountain West</t>
        </is>
      </c>
      <c r="E291" s="42" t="inlineStr">
        <is>
          <t>UTEP</t>
        </is>
      </c>
      <c r="F291" s="42" t="inlineStr">
        <is>
          <t>New Mexico</t>
        </is>
      </c>
      <c r="G291" s="42" t="n">
        <v>-27.6</v>
      </c>
      <c r="H291" s="42" t="n">
        <v>-23.2</v>
      </c>
      <c r="I291" s="56" t="n">
        <v>4.4</v>
      </c>
      <c r="J291" s="42" t="n">
        <v>-22.1</v>
      </c>
      <c r="K291" s="42" t="n">
        <v>-26.6</v>
      </c>
      <c r="L291" s="42" t="n">
        <v>43.7</v>
      </c>
      <c r="M291" s="42" t="n">
        <v>47.8</v>
      </c>
      <c r="N291" s="47" t="n">
        <v>-4.1</v>
      </c>
      <c r="O291" s="42" t="n">
        <v>7</v>
      </c>
      <c r="P291" s="42" t="n">
        <v>61</v>
      </c>
      <c r="Q291" s="47" t="inlineStr">
        <is>
          <t>Win</t>
        </is>
      </c>
      <c r="R291" s="42" t="n">
        <v>-23.9</v>
      </c>
      <c r="S291" s="52" t="inlineStr">
        <is>
          <t>Win</t>
        </is>
      </c>
      <c r="T291" s="53" t="inlineStr">
        <is>
          <t>Loss</t>
        </is>
      </c>
      <c r="U291" s="52" t="inlineStr">
        <is>
          <t>Win</t>
        </is>
      </c>
      <c r="V291" s="52" t="inlineStr">
        <is>
          <t>Win</t>
        </is>
      </c>
    </row>
    <row r="292">
      <c r="A292" s="42" t="n">
        <v>5</v>
      </c>
      <c r="B292" s="42" t="inlineStr">
        <is>
          <t>2026-10-03</t>
        </is>
      </c>
      <c r="C292" s="42" t="inlineStr">
        <is>
          <t>Mountain West</t>
        </is>
      </c>
      <c r="D292" s="42" t="inlineStr">
        <is>
          <t>Mountain West</t>
        </is>
      </c>
      <c r="E292" s="42" t="inlineStr">
        <is>
          <t>Wyoming</t>
        </is>
      </c>
      <c r="F292" s="42" t="inlineStr">
        <is>
          <t>North Dakota State</t>
        </is>
      </c>
      <c r="G292" s="42" t="n">
        <v>-29.3</v>
      </c>
      <c r="H292" s="42" t="n">
        <v>-17.2</v>
      </c>
      <c r="I292" s="56" t="n">
        <v>12.1</v>
      </c>
      <c r="J292" s="42" t="n">
        <v>-22</v>
      </c>
      <c r="K292" s="42" t="n">
        <v>-19.5</v>
      </c>
      <c r="L292" s="42" t="n">
        <v>46.7</v>
      </c>
      <c r="M292" s="42" t="n">
        <v>44.5</v>
      </c>
      <c r="N292" s="47" t="n">
        <v>2.2</v>
      </c>
      <c r="O292" s="42" t="n">
        <v>0</v>
      </c>
      <c r="P292" s="42" t="n">
        <v>28</v>
      </c>
      <c r="Q292" s="47" t="inlineStr">
        <is>
          <t>Win</t>
        </is>
      </c>
      <c r="R292" s="42" t="n">
        <v>-23.1</v>
      </c>
      <c r="S292" s="52" t="inlineStr">
        <is>
          <t>Win</t>
        </is>
      </c>
      <c r="T292" s="52" t="inlineStr">
        <is>
          <t>Win</t>
        </is>
      </c>
      <c r="U292" s="52" t="inlineStr">
        <is>
          <t>Win</t>
        </is>
      </c>
      <c r="V292" s="52" t="inlineStr">
        <is>
          <t>Win</t>
        </is>
      </c>
    </row>
    <row r="293">
      <c r="A293" s="42" t="n">
        <v>5</v>
      </c>
      <c r="B293" s="42" t="inlineStr">
        <is>
          <t>2026-10-03</t>
        </is>
      </c>
      <c r="C293" s="42" t="inlineStr">
        <is>
          <t>Mountain West</t>
        </is>
      </c>
      <c r="D293" s="42" t="inlineStr">
        <is>
          <t>ACC</t>
        </is>
      </c>
      <c r="E293" s="42" t="inlineStr">
        <is>
          <t>California</t>
        </is>
      </c>
      <c r="F293" s="42" t="inlineStr">
        <is>
          <t>UNLV</t>
        </is>
      </c>
      <c r="G293" s="42" t="n">
        <v>-3.3</v>
      </c>
      <c r="H293" s="42" t="n">
        <v>-1.8</v>
      </c>
      <c r="I293" s="42" t="n">
        <v>1.5</v>
      </c>
      <c r="J293" s="42" t="n">
        <v>-15.5</v>
      </c>
      <c r="K293" s="42" t="n">
        <v>-0.8</v>
      </c>
      <c r="L293" s="42" t="n">
        <v>45.6</v>
      </c>
      <c r="M293" s="42" t="n">
        <v>52.2</v>
      </c>
      <c r="N293" s="47" t="n">
        <v>-6.7</v>
      </c>
      <c r="O293" s="42" t="n">
        <v>31</v>
      </c>
      <c r="P293" s="42" t="n">
        <v>39</v>
      </c>
      <c r="Q293" s="47" t="inlineStr">
        <is>
          <t>Win</t>
        </is>
      </c>
      <c r="R293" s="42" t="n">
        <v>-7.9</v>
      </c>
      <c r="S293" s="52" t="inlineStr">
        <is>
          <t>Win</t>
        </is>
      </c>
      <c r="T293" s="52" t="inlineStr">
        <is>
          <t>Win</t>
        </is>
      </c>
      <c r="U293" s="52" t="inlineStr">
        <is>
          <t>Win</t>
        </is>
      </c>
      <c r="V293" s="53" t="inlineStr">
        <is>
          <t>Loss</t>
        </is>
      </c>
    </row>
    <row r="294">
      <c r="A294" s="42" t="n">
        <v>5</v>
      </c>
      <c r="B294" s="42" t="inlineStr">
        <is>
          <t>2026-10-04</t>
        </is>
      </c>
      <c r="C294" s="42" t="inlineStr">
        <is>
          <t>Mountain West</t>
        </is>
      </c>
      <c r="D294" s="42" t="inlineStr">
        <is>
          <t>Mountain West</t>
        </is>
      </c>
      <c r="E294" s="42" t="inlineStr">
        <is>
          <t>San José State</t>
        </is>
      </c>
      <c r="F294" s="42" t="inlineStr">
        <is>
          <t>Hawai'i</t>
        </is>
      </c>
      <c r="G294" s="42" t="n">
        <v>-5.2</v>
      </c>
      <c r="H294" s="42" t="n">
        <v>-2.8</v>
      </c>
      <c r="I294" s="47" t="n">
        <v>2.4</v>
      </c>
      <c r="J294" s="42" t="n">
        <v>-6.7</v>
      </c>
      <c r="K294" s="42" t="n">
        <v>3.5</v>
      </c>
      <c r="L294" s="42" t="n">
        <v>48.5</v>
      </c>
      <c r="M294" s="42" t="n">
        <v>51.2</v>
      </c>
      <c r="N294" s="47" t="n">
        <v>-2.7</v>
      </c>
      <c r="O294" s="42" t="n">
        <v>20</v>
      </c>
      <c r="P294" s="42" t="n">
        <v>16</v>
      </c>
      <c r="Q294" s="48" t="inlineStr">
        <is>
          <t>Loss</t>
        </is>
      </c>
      <c r="R294" s="42" t="n">
        <v>-6.4</v>
      </c>
      <c r="S294" s="53" t="inlineStr">
        <is>
          <t>Loss</t>
        </is>
      </c>
      <c r="T294" s="53" t="inlineStr">
        <is>
          <t>Loss</t>
        </is>
      </c>
      <c r="U294" s="53" t="inlineStr">
        <is>
          <t>Loss</t>
        </is>
      </c>
      <c r="V294" s="52" t="inlineStr">
        <is>
          <t>Win</t>
        </is>
      </c>
    </row>
    <row r="295">
      <c r="A295" s="42" t="n">
        <v>5</v>
      </c>
      <c r="B295" s="42" t="inlineStr">
        <is>
          <t>2026-10-03</t>
        </is>
      </c>
      <c r="C295" s="42" t="inlineStr">
        <is>
          <t>Pac-12</t>
        </is>
      </c>
      <c r="D295" s="42" t="inlineStr">
        <is>
          <t>Pac-12</t>
        </is>
      </c>
      <c r="E295" s="42" t="inlineStr">
        <is>
          <t>Utah State</t>
        </is>
      </c>
      <c r="F295" s="42" t="inlineStr">
        <is>
          <t>Boise State</t>
        </is>
      </c>
      <c r="G295" s="42" t="n">
        <v>-13.2</v>
      </c>
      <c r="H295" s="42" t="n">
        <v>-19.5</v>
      </c>
      <c r="I295" s="56" t="n">
        <v>-6.3</v>
      </c>
      <c r="J295" s="42" t="n">
        <v>-18.4</v>
      </c>
      <c r="K295" s="42" t="n">
        <v>-16</v>
      </c>
      <c r="L295" s="42" t="n">
        <v>49.5</v>
      </c>
      <c r="M295" s="42" t="n">
        <v>51</v>
      </c>
      <c r="N295" s="42" t="n">
        <v>-1.5</v>
      </c>
      <c r="O295" s="42" t="n">
        <v>18</v>
      </c>
      <c r="P295" s="42" t="n">
        <v>37</v>
      </c>
      <c r="Q295" s="47" t="inlineStr">
        <is>
          <t>Win</t>
        </is>
      </c>
      <c r="R295" s="42" t="n">
        <v>-15.8</v>
      </c>
      <c r="S295" s="52" t="inlineStr">
        <is>
          <t>Win</t>
        </is>
      </c>
      <c r="T295" s="52" t="inlineStr">
        <is>
          <t>Win</t>
        </is>
      </c>
      <c r="U295" s="52" t="inlineStr">
        <is>
          <t>Win</t>
        </is>
      </c>
      <c r="V295" s="52" t="inlineStr">
        <is>
          <t>Win</t>
        </is>
      </c>
    </row>
    <row r="296">
      <c r="A296" s="42" t="n">
        <v>5</v>
      </c>
      <c r="B296" s="42" t="inlineStr">
        <is>
          <t>2026-10-03</t>
        </is>
      </c>
      <c r="C296" s="42" t="inlineStr">
        <is>
          <t>Pac-12</t>
        </is>
      </c>
      <c r="D296" s="42" t="inlineStr">
        <is>
          <t>Pac-12</t>
        </is>
      </c>
      <c r="E296" s="42" t="inlineStr">
        <is>
          <t>Oregon State</t>
        </is>
      </c>
      <c r="F296" s="42" t="inlineStr">
        <is>
          <t>Colorado State</t>
        </is>
      </c>
      <c r="G296" s="42" t="n">
        <v>6.8</v>
      </c>
      <c r="H296" s="42" t="n">
        <v>7</v>
      </c>
      <c r="I296" s="42" t="n">
        <v>0.2</v>
      </c>
      <c r="J296" s="42" t="n">
        <v>-1.3</v>
      </c>
      <c r="K296" s="42" t="n">
        <v>0.8</v>
      </c>
      <c r="L296" s="42" t="n">
        <v>56.2</v>
      </c>
      <c r="M296" s="42" t="n">
        <v>61.5</v>
      </c>
      <c r="N296" s="47" t="n">
        <v>-5.3</v>
      </c>
      <c r="O296" s="42" t="n">
        <v>56</v>
      </c>
      <c r="P296" s="42" t="n">
        <v>26</v>
      </c>
      <c r="Q296" s="47" t="inlineStr">
        <is>
          <t>Win</t>
        </is>
      </c>
      <c r="R296" s="42" t="n">
        <v>-2.1</v>
      </c>
      <c r="S296" s="52" t="inlineStr">
        <is>
          <t>Win</t>
        </is>
      </c>
      <c r="T296" s="53" t="inlineStr">
        <is>
          <t>Loss</t>
        </is>
      </c>
      <c r="U296" s="53" t="inlineStr">
        <is>
          <t>Loss</t>
        </is>
      </c>
      <c r="V296" s="53" t="inlineStr">
        <is>
          <t>Loss</t>
        </is>
      </c>
    </row>
    <row r="297">
      <c r="A297" s="42" t="n">
        <v>5</v>
      </c>
      <c r="B297" s="42" t="inlineStr">
        <is>
          <t>2026-10-04</t>
        </is>
      </c>
      <c r="C297" s="42" t="inlineStr">
        <is>
          <t>Pac-12</t>
        </is>
      </c>
      <c r="D297" s="42" t="inlineStr">
        <is>
          <t>Pac-12</t>
        </is>
      </c>
      <c r="E297" s="42" t="inlineStr">
        <is>
          <t>Texas State</t>
        </is>
      </c>
      <c r="F297" s="42" t="inlineStr">
        <is>
          <t>San Diego State</t>
        </is>
      </c>
      <c r="G297" s="42" t="n">
        <v>2.1</v>
      </c>
      <c r="H297" s="42" t="n">
        <v>9.800000000000001</v>
      </c>
      <c r="I297" s="56" t="n">
        <v>7.7</v>
      </c>
      <c r="J297" s="42" t="n">
        <v>2.8</v>
      </c>
      <c r="K297" s="42" t="n">
        <v>1.1</v>
      </c>
      <c r="L297" s="42" t="n">
        <v>53.5</v>
      </c>
      <c r="M297" s="42" t="n">
        <v>57.5</v>
      </c>
      <c r="N297" s="47" t="n">
        <v>-4</v>
      </c>
      <c r="O297" s="42" t="n">
        <v>29</v>
      </c>
      <c r="P297" s="42" t="n">
        <v>31</v>
      </c>
      <c r="Q297" s="48" t="inlineStr">
        <is>
          <t>Loss</t>
        </is>
      </c>
      <c r="R297" s="42" t="n">
        <v>0.6</v>
      </c>
      <c r="S297" s="52" t="inlineStr">
        <is>
          <t>Win</t>
        </is>
      </c>
      <c r="T297" s="52" t="inlineStr">
        <is>
          <t>Win</t>
        </is>
      </c>
      <c r="U297" s="52" t="inlineStr">
        <is>
          <t>Win</t>
        </is>
      </c>
      <c r="V297" s="52" t="inlineStr">
        <is>
          <t>Win</t>
        </is>
      </c>
    </row>
    <row r="298">
      <c r="A298" s="42" t="n">
        <v>5</v>
      </c>
      <c r="B298" s="42" t="inlineStr">
        <is>
          <t>2026-10-04</t>
        </is>
      </c>
      <c r="C298" s="42" t="inlineStr">
        <is>
          <t>Pac-12</t>
        </is>
      </c>
      <c r="D298" s="42" t="inlineStr">
        <is>
          <t>Pac-12</t>
        </is>
      </c>
      <c r="E298" s="42" t="inlineStr">
        <is>
          <t>Fresno State</t>
        </is>
      </c>
      <c r="F298" s="42" t="inlineStr">
        <is>
          <t>Washington State</t>
        </is>
      </c>
      <c r="G298" s="42" t="n">
        <v>-7.2</v>
      </c>
      <c r="H298" s="42" t="n">
        <v>-2.2</v>
      </c>
      <c r="I298" s="56" t="n">
        <v>5</v>
      </c>
      <c r="J298" s="42" t="n">
        <v>2.5</v>
      </c>
      <c r="K298" s="42" t="n">
        <v>3</v>
      </c>
      <c r="L298" s="42" t="n">
        <v>41.4</v>
      </c>
      <c r="M298" s="42" t="n">
        <v>45</v>
      </c>
      <c r="N298" s="47" t="n">
        <v>-3.6</v>
      </c>
      <c r="O298" s="42" t="n">
        <v>26</v>
      </c>
      <c r="P298" s="42" t="n">
        <v>6</v>
      </c>
      <c r="Q298" s="48" t="inlineStr">
        <is>
          <t>Loss</t>
        </is>
      </c>
      <c r="R298" s="42" t="n">
        <v>-0.3</v>
      </c>
      <c r="S298" s="53" t="inlineStr">
        <is>
          <t>Loss</t>
        </is>
      </c>
      <c r="T298" s="52" t="inlineStr">
        <is>
          <t>Win</t>
        </is>
      </c>
      <c r="U298" s="52" t="inlineStr">
        <is>
          <t>Win</t>
        </is>
      </c>
      <c r="V298" s="52" t="inlineStr">
        <is>
          <t>Win</t>
        </is>
      </c>
    </row>
    <row r="299">
      <c r="A299" s="42" t="n">
        <v>5</v>
      </c>
      <c r="B299" s="42" t="inlineStr">
        <is>
          <t>2026-10-03</t>
        </is>
      </c>
      <c r="C299" s="42" t="inlineStr">
        <is>
          <t>SEC</t>
        </is>
      </c>
      <c r="D299" s="42" t="inlineStr">
        <is>
          <t>SEC</t>
        </is>
      </c>
      <c r="E299" s="42" t="inlineStr">
        <is>
          <t>Vanderbilt</t>
        </is>
      </c>
      <c r="F299" s="42" t="inlineStr">
        <is>
          <t>Georgia</t>
        </is>
      </c>
      <c r="G299" s="42" t="n">
        <v>-19.6</v>
      </c>
      <c r="H299" s="42" t="n">
        <v>-25.5</v>
      </c>
      <c r="I299" s="56" t="n">
        <v>-5.9</v>
      </c>
      <c r="J299" s="42" t="n">
        <v>-20.6</v>
      </c>
      <c r="K299" s="42" t="n">
        <v>-21.9</v>
      </c>
      <c r="L299" s="42" t="n">
        <v>48.9</v>
      </c>
      <c r="M299" s="42" t="n">
        <v>50.2</v>
      </c>
      <c r="N299" s="42" t="n">
        <v>-1.4</v>
      </c>
      <c r="O299" s="42" t="n">
        <v>14</v>
      </c>
      <c r="P299" s="42" t="n">
        <v>38</v>
      </c>
      <c r="Q299" s="47" t="inlineStr">
        <is>
          <t>Win</t>
        </is>
      </c>
      <c r="R299" s="42" t="n">
        <v>-16.3</v>
      </c>
      <c r="S299" s="52" t="inlineStr">
        <is>
          <t>Win</t>
        </is>
      </c>
      <c r="T299" s="52" t="inlineStr">
        <is>
          <t>Win</t>
        </is>
      </c>
      <c r="U299" s="52" t="inlineStr">
        <is>
          <t>Win</t>
        </is>
      </c>
      <c r="V299" s="52" t="inlineStr">
        <is>
          <t>Win</t>
        </is>
      </c>
    </row>
    <row r="300">
      <c r="A300" s="42" t="n">
        <v>5</v>
      </c>
      <c r="B300" s="42" t="inlineStr">
        <is>
          <t>2026-10-03</t>
        </is>
      </c>
      <c r="C300" s="42" t="inlineStr">
        <is>
          <t>SEC</t>
        </is>
      </c>
      <c r="D300" s="42" t="inlineStr">
        <is>
          <t>Southland</t>
        </is>
      </c>
      <c r="E300" s="42" t="inlineStr">
        <is>
          <t>McNeese</t>
        </is>
      </c>
      <c r="F300" s="42" t="inlineStr">
        <is>
          <t>LSU</t>
        </is>
      </c>
      <c r="G300" s="42" t="n">
        <v>-59.9</v>
      </c>
      <c r="H300" s="42" t="n">
        <v>-53.2</v>
      </c>
      <c r="I300" s="56" t="n">
        <v>6.7</v>
      </c>
      <c r="J300" s="42" t="n">
        <v>-39</v>
      </c>
      <c r="K300" s="42" t="n">
        <v>-23</v>
      </c>
      <c r="L300" s="42" t="n">
        <v>57.7</v>
      </c>
      <c r="M300" s="42" t="n">
        <v>62</v>
      </c>
      <c r="N300" s="47" t="n">
        <v>-4.3</v>
      </c>
      <c r="O300" s="42" t="n">
        <v>14</v>
      </c>
      <c r="P300" s="42" t="n">
        <v>63</v>
      </c>
      <c r="Q300" s="47" t="inlineStr">
        <is>
          <t>Win</t>
        </is>
      </c>
      <c r="R300" s="42" t="n">
        <v>-41</v>
      </c>
      <c r="S300" s="53" t="inlineStr">
        <is>
          <t>Loss</t>
        </is>
      </c>
      <c r="T300" s="52" t="inlineStr">
        <is>
          <t>Win</t>
        </is>
      </c>
      <c r="U300" s="52" t="inlineStr">
        <is>
          <t>Win</t>
        </is>
      </c>
      <c r="V300" s="52" t="inlineStr">
        <is>
          <t>Win</t>
        </is>
      </c>
    </row>
    <row r="301">
      <c r="A301" s="42" t="n">
        <v>5</v>
      </c>
      <c r="B301" s="42" t="inlineStr">
        <is>
          <t>2026-10-03</t>
        </is>
      </c>
      <c r="C301" s="42" t="inlineStr">
        <is>
          <t>SEC</t>
        </is>
      </c>
      <c r="D301" s="42" t="inlineStr">
        <is>
          <t>SEC</t>
        </is>
      </c>
      <c r="E301" s="42" t="inlineStr">
        <is>
          <t>Alabama</t>
        </is>
      </c>
      <c r="F301" s="42" t="inlineStr">
        <is>
          <t>Mississippi State</t>
        </is>
      </c>
      <c r="G301" s="42" t="n">
        <v>8.300000000000001</v>
      </c>
      <c r="H301" s="42" t="n">
        <v>5.5</v>
      </c>
      <c r="I301" s="47" t="n">
        <v>-2.8</v>
      </c>
      <c r="J301" s="42" t="n">
        <v>12.2</v>
      </c>
      <c r="K301" s="42" t="n">
        <v>1.7</v>
      </c>
      <c r="L301" s="42" t="n">
        <v>55.3</v>
      </c>
      <c r="M301" s="42" t="n">
        <v>62</v>
      </c>
      <c r="N301" s="47" t="n">
        <v>-6.7</v>
      </c>
      <c r="O301" s="42" t="n">
        <v>56</v>
      </c>
      <c r="P301" s="42" t="n">
        <v>23</v>
      </c>
      <c r="Q301" s="47" t="inlineStr">
        <is>
          <t>Win</t>
        </is>
      </c>
      <c r="R301" s="42" t="n">
        <v>19.1</v>
      </c>
      <c r="S301" s="52" t="inlineStr">
        <is>
          <t>Win</t>
        </is>
      </c>
      <c r="T301" s="52" t="inlineStr">
        <is>
          <t>Win</t>
        </is>
      </c>
      <c r="U301" s="52" t="inlineStr">
        <is>
          <t>Win</t>
        </is>
      </c>
      <c r="V301" s="53" t="inlineStr">
        <is>
          <t>Loss</t>
        </is>
      </c>
    </row>
    <row r="302">
      <c r="A302" s="42" t="n">
        <v>5</v>
      </c>
      <c r="B302" s="42" t="inlineStr">
        <is>
          <t>2026-10-03</t>
        </is>
      </c>
      <c r="C302" s="42" t="inlineStr">
        <is>
          <t>SEC</t>
        </is>
      </c>
      <c r="D302" s="42" t="inlineStr">
        <is>
          <t>SEC</t>
        </is>
      </c>
      <c r="E302" s="42" t="inlineStr">
        <is>
          <t>Florida</t>
        </is>
      </c>
      <c r="F302" s="42" t="inlineStr">
        <is>
          <t>Missouri</t>
        </is>
      </c>
      <c r="G302" s="42" t="n">
        <v>0.6</v>
      </c>
      <c r="H302" s="42" t="n">
        <v>5.5</v>
      </c>
      <c r="I302" s="56" t="n">
        <v>4.9</v>
      </c>
      <c r="J302" s="42" t="n">
        <v>0.9</v>
      </c>
      <c r="K302" s="42" t="n">
        <v>6.6</v>
      </c>
      <c r="L302" s="42" t="n">
        <v>51</v>
      </c>
      <c r="M302" s="42" t="n">
        <v>57.8</v>
      </c>
      <c r="N302" s="47" t="n">
        <v>-6.7</v>
      </c>
      <c r="O302" s="42" t="n">
        <v>17</v>
      </c>
      <c r="P302" s="42" t="n">
        <v>45</v>
      </c>
      <c r="Q302" s="48" t="inlineStr">
        <is>
          <t>Loss</t>
        </is>
      </c>
      <c r="R302" s="42" t="n">
        <v>-0.2</v>
      </c>
      <c r="S302" s="52" t="inlineStr">
        <is>
          <t>Win</t>
        </is>
      </c>
      <c r="T302" s="52" t="inlineStr">
        <is>
          <t>Win</t>
        </is>
      </c>
      <c r="U302" s="52" t="inlineStr">
        <is>
          <t>Win</t>
        </is>
      </c>
      <c r="V302" s="53" t="inlineStr">
        <is>
          <t>Loss</t>
        </is>
      </c>
    </row>
    <row r="303">
      <c r="A303" s="42" t="n">
        <v>5</v>
      </c>
      <c r="B303" s="42" t="inlineStr">
        <is>
          <t>2026-10-03</t>
        </is>
      </c>
      <c r="C303" s="42" t="inlineStr">
        <is>
          <t>SEC</t>
        </is>
      </c>
      <c r="D303" s="42" t="inlineStr">
        <is>
          <t>SEC</t>
        </is>
      </c>
      <c r="E303" s="42" t="inlineStr">
        <is>
          <t>Kentucky</t>
        </is>
      </c>
      <c r="F303" s="42" t="inlineStr">
        <is>
          <t>South Carolina</t>
        </is>
      </c>
      <c r="G303" s="42" t="n">
        <v>-1.1</v>
      </c>
      <c r="H303" s="42" t="n">
        <v>-2.5</v>
      </c>
      <c r="I303" s="42" t="n">
        <v>-1.4</v>
      </c>
      <c r="J303" s="42" t="n">
        <v>-4</v>
      </c>
      <c r="K303" s="42" t="n">
        <v>-3.8</v>
      </c>
      <c r="L303" s="42" t="n">
        <v>51.8</v>
      </c>
      <c r="M303" s="42" t="n">
        <v>53</v>
      </c>
      <c r="N303" s="42" t="n">
        <v>-1.2</v>
      </c>
      <c r="O303" s="42" t="n">
        <v>35</v>
      </c>
      <c r="P303" s="42" t="n">
        <v>34</v>
      </c>
      <c r="Q303" s="48" t="inlineStr">
        <is>
          <t>Loss</t>
        </is>
      </c>
      <c r="R303" s="42" t="n">
        <v>-4.1</v>
      </c>
      <c r="S303" s="52" t="inlineStr">
        <is>
          <t>Win</t>
        </is>
      </c>
      <c r="T303" s="53" t="inlineStr">
        <is>
          <t>Loss</t>
        </is>
      </c>
      <c r="U303" s="53" t="inlineStr">
        <is>
          <t>Loss</t>
        </is>
      </c>
      <c r="V303" s="53" t="inlineStr">
        <is>
          <t>Loss</t>
        </is>
      </c>
    </row>
    <row r="304">
      <c r="A304" s="42" t="n">
        <v>5</v>
      </c>
      <c r="B304" s="42" t="inlineStr">
        <is>
          <t>2026-10-03</t>
        </is>
      </c>
      <c r="C304" s="42" t="inlineStr">
        <is>
          <t>SEC</t>
        </is>
      </c>
      <c r="D304" s="42" t="inlineStr">
        <is>
          <t>SEC</t>
        </is>
      </c>
      <c r="E304" s="42" t="inlineStr">
        <is>
          <t>Auburn</t>
        </is>
      </c>
      <c r="F304" s="42" t="inlineStr">
        <is>
          <t>Tennessee</t>
        </is>
      </c>
      <c r="G304" s="42" t="n">
        <v>-10</v>
      </c>
      <c r="H304" s="42" t="n">
        <v>-6.2</v>
      </c>
      <c r="I304" s="47" t="n">
        <v>3.8</v>
      </c>
      <c r="J304" s="42" t="n">
        <v>-14.1</v>
      </c>
      <c r="K304" s="42" t="n">
        <v>-9.300000000000001</v>
      </c>
      <c r="L304" s="42" t="n">
        <v>48</v>
      </c>
      <c r="M304" s="42" t="n">
        <v>54.2</v>
      </c>
      <c r="N304" s="47" t="n">
        <v>-6.3</v>
      </c>
      <c r="O304" s="42" t="n">
        <v>14</v>
      </c>
      <c r="P304" s="42" t="n">
        <v>24</v>
      </c>
      <c r="Q304" s="47" t="inlineStr">
        <is>
          <t>Win</t>
        </is>
      </c>
      <c r="R304" s="42" t="n">
        <v>-13.8</v>
      </c>
      <c r="S304" s="52" t="inlineStr">
        <is>
          <t>Win</t>
        </is>
      </c>
      <c r="T304" s="52" t="inlineStr">
        <is>
          <t>Win</t>
        </is>
      </c>
      <c r="U304" s="52" t="inlineStr">
        <is>
          <t>Win</t>
        </is>
      </c>
      <c r="V304" s="52" t="inlineStr">
        <is>
          <t>Win</t>
        </is>
      </c>
    </row>
    <row r="305">
      <c r="A305" s="42" t="n">
        <v>5</v>
      </c>
      <c r="B305" s="42" t="inlineStr">
        <is>
          <t>2026-10-03</t>
        </is>
      </c>
      <c r="C305" s="42" t="inlineStr">
        <is>
          <t>SEC</t>
        </is>
      </c>
      <c r="D305" s="42" t="inlineStr">
        <is>
          <t>SEC</t>
        </is>
      </c>
      <c r="E305" s="42" t="inlineStr">
        <is>
          <t>Arkansas</t>
        </is>
      </c>
      <c r="F305" s="42" t="inlineStr">
        <is>
          <t>Texas A&amp;M</t>
        </is>
      </c>
      <c r="G305" s="42" t="n">
        <v>-12.4</v>
      </c>
      <c r="H305" s="42" t="n">
        <v>-13.8</v>
      </c>
      <c r="I305" s="42" t="n">
        <v>-1.4</v>
      </c>
      <c r="J305" s="42" t="n">
        <v>-17</v>
      </c>
      <c r="K305" s="42" t="n">
        <v>-8.5</v>
      </c>
      <c r="L305" s="42" t="n">
        <v>48.9</v>
      </c>
      <c r="M305" s="42" t="n">
        <v>50.8</v>
      </c>
      <c r="N305" s="42" t="n">
        <v>-1.8</v>
      </c>
      <c r="O305" s="42" t="n">
        <v>7</v>
      </c>
      <c r="P305" s="42" t="n">
        <v>34</v>
      </c>
      <c r="Q305" s="47" t="inlineStr">
        <is>
          <t>Win</t>
        </is>
      </c>
      <c r="R305" s="42" t="n">
        <v>-13.3</v>
      </c>
      <c r="S305" s="53" t="inlineStr">
        <is>
          <t>Loss</t>
        </is>
      </c>
      <c r="T305" s="52" t="inlineStr">
        <is>
          <t>Win</t>
        </is>
      </c>
      <c r="U305" s="52" t="inlineStr">
        <is>
          <t>Win</t>
        </is>
      </c>
      <c r="V305" s="53" t="inlineStr">
        <is>
          <t>Loss</t>
        </is>
      </c>
    </row>
    <row r="306">
      <c r="A306" s="42" t="n">
        <v>5</v>
      </c>
      <c r="B306" s="42" t="inlineStr">
        <is>
          <t>2026-10-03</t>
        </is>
      </c>
      <c r="C306" s="42" t="inlineStr">
        <is>
          <t>Sun Belt</t>
        </is>
      </c>
      <c r="D306" s="42" t="inlineStr">
        <is>
          <t>Sun Belt</t>
        </is>
      </c>
      <c r="E306" s="42" t="inlineStr">
        <is>
          <t>Georgia Southern</t>
        </is>
      </c>
      <c r="F306" s="42" t="inlineStr">
        <is>
          <t>Coastal Carolina</t>
        </is>
      </c>
      <c r="G306" s="42" t="n">
        <v>0.5</v>
      </c>
      <c r="H306" s="42" t="n">
        <v>2.2</v>
      </c>
      <c r="I306" s="42" t="n">
        <v>1.7</v>
      </c>
      <c r="J306" s="42" t="n">
        <v>0.4</v>
      </c>
      <c r="K306" s="42" t="n">
        <v>-2.4</v>
      </c>
      <c r="L306" s="42" t="n">
        <v>55.6</v>
      </c>
      <c r="M306" s="42" t="n">
        <v>53.5</v>
      </c>
      <c r="N306" s="47" t="n">
        <v>2.1</v>
      </c>
      <c r="O306" s="42" t="n">
        <v>31</v>
      </c>
      <c r="P306" s="42" t="n">
        <v>24</v>
      </c>
      <c r="Q306" s="47" t="inlineStr">
        <is>
          <t>Win</t>
        </is>
      </c>
      <c r="R306" s="42" t="n">
        <v>1.8</v>
      </c>
      <c r="S306" s="53" t="inlineStr">
        <is>
          <t>Loss</t>
        </is>
      </c>
      <c r="T306" s="53" t="inlineStr">
        <is>
          <t>Loss</t>
        </is>
      </c>
      <c r="U306" s="52" t="inlineStr">
        <is>
          <t>Win</t>
        </is>
      </c>
      <c r="V306" s="53" t="inlineStr">
        <is>
          <t>Loss</t>
        </is>
      </c>
    </row>
    <row r="307">
      <c r="A307" s="42" t="n">
        <v>5</v>
      </c>
      <c r="B307" s="42" t="inlineStr">
        <is>
          <t>2026-10-03</t>
        </is>
      </c>
      <c r="C307" s="42" t="inlineStr">
        <is>
          <t>Sun Belt</t>
        </is>
      </c>
      <c r="D307" s="42" t="inlineStr">
        <is>
          <t>Sun Belt</t>
        </is>
      </c>
      <c r="E307" s="42" t="inlineStr">
        <is>
          <t>Old Dominion</t>
        </is>
      </c>
      <c r="F307" s="42" t="inlineStr">
        <is>
          <t>Georgia State</t>
        </is>
      </c>
      <c r="G307" s="42" t="n">
        <v>11.3</v>
      </c>
      <c r="H307" s="42" t="n">
        <v>-2</v>
      </c>
      <c r="I307" s="56" t="n">
        <v>-13.3</v>
      </c>
      <c r="J307" s="42" t="n">
        <v>-0.2</v>
      </c>
      <c r="K307" s="42" t="n">
        <v>-16.4</v>
      </c>
      <c r="L307" s="42" t="n">
        <v>48.5</v>
      </c>
      <c r="M307" s="42" t="n">
        <v>51.5</v>
      </c>
      <c r="N307" s="47" t="n">
        <v>-3</v>
      </c>
      <c r="O307" s="42" t="n">
        <v>10</v>
      </c>
      <c r="P307" s="42" t="n">
        <v>42</v>
      </c>
      <c r="Q307" s="48" t="inlineStr">
        <is>
          <t>Loss</t>
        </is>
      </c>
      <c r="R307" s="42" t="n">
        <v>0.2</v>
      </c>
      <c r="S307" s="53" t="inlineStr">
        <is>
          <t>Loss</t>
        </is>
      </c>
      <c r="T307" s="53" t="inlineStr">
        <is>
          <t>Loss</t>
        </is>
      </c>
      <c r="U307" s="53" t="inlineStr">
        <is>
          <t>Loss</t>
        </is>
      </c>
      <c r="V307" s="52" t="inlineStr">
        <is>
          <t>Win</t>
        </is>
      </c>
    </row>
    <row r="308">
      <c r="A308" s="42" t="n">
        <v>5</v>
      </c>
      <c r="B308" s="42" t="inlineStr">
        <is>
          <t>2026-10-03</t>
        </is>
      </c>
      <c r="C308" s="42" t="inlineStr">
        <is>
          <t>Sun Belt</t>
        </is>
      </c>
      <c r="D308" s="42" t="inlineStr">
        <is>
          <t>Sun Belt</t>
        </is>
      </c>
      <c r="E308" s="42" t="inlineStr">
        <is>
          <t>Marshall</t>
        </is>
      </c>
      <c r="F308" s="42" t="inlineStr">
        <is>
          <t>James Madison</t>
        </is>
      </c>
      <c r="G308" s="42" t="n">
        <v>-20.8</v>
      </c>
      <c r="H308" s="42" t="n">
        <v>-16.2</v>
      </c>
      <c r="I308" s="56" t="n">
        <v>4.6</v>
      </c>
      <c r="J308" s="42" t="n">
        <v>-12.3</v>
      </c>
      <c r="K308" s="42" t="n">
        <v>-25.1</v>
      </c>
      <c r="L308" s="42" t="n">
        <v>56.1</v>
      </c>
      <c r="M308" s="42" t="n">
        <v>55.8</v>
      </c>
      <c r="N308" s="42" t="n">
        <v>0.4</v>
      </c>
      <c r="O308" s="42" t="n">
        <v>17</v>
      </c>
      <c r="P308" s="42" t="n">
        <v>45</v>
      </c>
      <c r="Q308" s="47" t="inlineStr">
        <is>
          <t>Win</t>
        </is>
      </c>
      <c r="R308" s="42" t="n">
        <v>-15.6</v>
      </c>
      <c r="S308" s="52" t="inlineStr">
        <is>
          <t>Win</t>
        </is>
      </c>
      <c r="T308" s="53" t="inlineStr">
        <is>
          <t>Loss</t>
        </is>
      </c>
      <c r="U308" s="52" t="inlineStr">
        <is>
          <t>Win</t>
        </is>
      </c>
      <c r="V308" s="52" t="inlineStr">
        <is>
          <t>Win</t>
        </is>
      </c>
    </row>
    <row r="309">
      <c r="A309" s="42" t="n">
        <v>5</v>
      </c>
      <c r="B309" s="42" t="inlineStr">
        <is>
          <t>2026-10-03</t>
        </is>
      </c>
      <c r="C309" s="42" t="inlineStr">
        <is>
          <t>Sun Belt</t>
        </is>
      </c>
      <c r="D309" s="42" t="inlineStr">
        <is>
          <t>American Athletic</t>
        </is>
      </c>
      <c r="E309" s="42" t="inlineStr">
        <is>
          <t>Army</t>
        </is>
      </c>
      <c r="F309" s="42" t="inlineStr">
        <is>
          <t>Louisiana Tech</t>
        </is>
      </c>
      <c r="G309" s="42" t="n">
        <v>9.199999999999999</v>
      </c>
      <c r="H309" s="42" t="n">
        <v>-0.2</v>
      </c>
      <c r="I309" s="56" t="n">
        <v>-9.4</v>
      </c>
      <c r="J309" s="42" t="n">
        <v>-8.1</v>
      </c>
      <c r="K309" s="42" t="n">
        <v>-0.1</v>
      </c>
      <c r="L309" s="42" t="n">
        <v>53.3</v>
      </c>
      <c r="M309" s="42" t="n">
        <v>46.8</v>
      </c>
      <c r="N309" s="47" t="n">
        <v>6.5</v>
      </c>
      <c r="O309" s="42" t="n">
        <v>29</v>
      </c>
      <c r="P309" s="42" t="n">
        <v>31</v>
      </c>
      <c r="Q309" s="48" t="inlineStr">
        <is>
          <t>Loss</t>
        </is>
      </c>
      <c r="R309" s="42" t="n">
        <v>-5.4</v>
      </c>
      <c r="S309" s="53" t="inlineStr">
        <is>
          <t>Loss</t>
        </is>
      </c>
      <c r="T309" s="52" t="inlineStr">
        <is>
          <t>Win</t>
        </is>
      </c>
      <c r="U309" s="52" t="inlineStr">
        <is>
          <t>Win</t>
        </is>
      </c>
      <c r="V309" s="52" t="inlineStr">
        <is>
          <t>Win</t>
        </is>
      </c>
    </row>
    <row r="310">
      <c r="A310" s="42" t="n">
        <v>5</v>
      </c>
      <c r="B310" s="42" t="inlineStr">
        <is>
          <t>2026-10-03</t>
        </is>
      </c>
      <c r="C310" s="42" t="inlineStr">
        <is>
          <t>Sun Belt</t>
        </is>
      </c>
      <c r="D310" s="42" t="inlineStr">
        <is>
          <t>Sun Belt</t>
        </is>
      </c>
      <c r="E310" s="42" t="inlineStr">
        <is>
          <t>UL Monroe</t>
        </is>
      </c>
      <c r="F310" s="42" t="inlineStr">
        <is>
          <t>South Alabama</t>
        </is>
      </c>
      <c r="G310" s="42" t="n">
        <v>-14.4</v>
      </c>
      <c r="H310" s="42" t="n">
        <v>-13.2</v>
      </c>
      <c r="I310" s="42" t="n">
        <v>1.2</v>
      </c>
      <c r="J310" s="42" t="n">
        <v>-21</v>
      </c>
      <c r="K310" s="42" t="n">
        <v>-16.8</v>
      </c>
      <c r="L310" s="42" t="n">
        <v>56.6</v>
      </c>
      <c r="M310" s="42" t="n">
        <v>57</v>
      </c>
      <c r="N310" s="42" t="n">
        <v>-0.4</v>
      </c>
      <c r="O310" s="42" t="n">
        <v>35</v>
      </c>
      <c r="P310" s="42" t="n">
        <v>52</v>
      </c>
      <c r="Q310" s="47" t="inlineStr">
        <is>
          <t>Win</t>
        </is>
      </c>
      <c r="R310" s="42" t="n">
        <v>-21.5</v>
      </c>
      <c r="S310" s="52" t="inlineStr">
        <is>
          <t>Win</t>
        </is>
      </c>
      <c r="T310" s="52" t="inlineStr">
        <is>
          <t>Win</t>
        </is>
      </c>
      <c r="U310" s="52" t="inlineStr">
        <is>
          <t>Win</t>
        </is>
      </c>
      <c r="V310" s="52" t="inlineStr">
        <is>
          <t>Win</t>
        </is>
      </c>
    </row>
    <row r="311">
      <c r="A311" s="42" t="n">
        <v>5</v>
      </c>
      <c r="B311" s="42" t="inlineStr">
        <is>
          <t>2026-10-04</t>
        </is>
      </c>
      <c r="C311" s="42" t="inlineStr">
        <is>
          <t>Sun Belt</t>
        </is>
      </c>
      <c r="D311" s="42" t="inlineStr">
        <is>
          <t>Sun Belt</t>
        </is>
      </c>
      <c r="E311" s="42" t="inlineStr">
        <is>
          <t>Arkansas State</t>
        </is>
      </c>
      <c r="F311" s="42" t="inlineStr">
        <is>
          <t>Louisiana</t>
        </is>
      </c>
      <c r="G311" s="42" t="n">
        <v>-6.1</v>
      </c>
      <c r="H311" s="42" t="n">
        <v>-5.2</v>
      </c>
      <c r="I311" s="42" t="n">
        <v>0.9</v>
      </c>
      <c r="J311" s="42" t="n">
        <v>-7.4</v>
      </c>
      <c r="K311" s="42" t="n">
        <v>-9.300000000000001</v>
      </c>
      <c r="L311" s="42" t="n">
        <v>51.4</v>
      </c>
      <c r="M311" s="42" t="n">
        <v>49</v>
      </c>
      <c r="N311" s="47" t="n">
        <v>2.4</v>
      </c>
      <c r="O311" s="42" t="n">
        <v>20</v>
      </c>
      <c r="P311" s="42" t="n">
        <v>23</v>
      </c>
      <c r="Q311" s="47" t="inlineStr">
        <is>
          <t>Win</t>
        </is>
      </c>
      <c r="R311" s="42" t="n">
        <v>-6.1</v>
      </c>
      <c r="S311" s="53" t="inlineStr">
        <is>
          <t>Loss</t>
        </is>
      </c>
      <c r="T311" s="53" t="inlineStr">
        <is>
          <t>Loss</t>
        </is>
      </c>
      <c r="U311" s="53" t="inlineStr">
        <is>
          <t>Loss</t>
        </is>
      </c>
      <c r="V311" s="53" t="inlineStr">
        <is>
          <t>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0"/>
  <sheetViews>
    <sheetView showGridLines="0" workbookViewId="0">
      <selection activeCell="F38" sqref="F38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ACC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45-38-2</t>
        </is>
      </c>
      <c r="C3" s="45" t="n">
        <v>0.542</v>
      </c>
    </row>
    <row r="4">
      <c r="A4" s="42" t="inlineStr">
        <is>
          <t>Weekly ATS (Wk 8)</t>
        </is>
      </c>
      <c r="B4" s="42" t="inlineStr">
        <is>
          <t>4-3-0</t>
        </is>
      </c>
      <c r="C4" s="45" t="n">
        <v>0.571</v>
      </c>
    </row>
    <row r="5">
      <c r="A5" s="42" t="inlineStr">
        <is>
          <t>Model pick W-L, straight-up (Wk 8)</t>
        </is>
      </c>
      <c r="B5" s="42" t="inlineStr">
        <is>
          <t>3-4</t>
        </is>
      </c>
      <c r="C5" s="45" t="n">
        <v>0.429</v>
      </c>
    </row>
    <row r="6" ht="15.65" customHeight="1"/>
    <row r="7" ht="15.65" customHeight="1">
      <c r="A7" s="41" t="inlineStr">
        <is>
          <t>ACC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Miami</t>
        </is>
      </c>
      <c r="B9" s="42" t="n">
        <v>5</v>
      </c>
      <c r="C9" s="42" t="n">
        <v>0</v>
      </c>
      <c r="D9" s="42" t="n">
        <v>1</v>
      </c>
      <c r="E9" s="42" t="n">
        <v>7</v>
      </c>
      <c r="F9" s="42" t="n">
        <v>0</v>
      </c>
    </row>
    <row r="10">
      <c r="A10" s="42" t="inlineStr">
        <is>
          <t>SMU</t>
        </is>
      </c>
      <c r="B10" s="42" t="n">
        <v>4</v>
      </c>
      <c r="C10" s="42" t="n">
        <v>1</v>
      </c>
      <c r="D10" s="42" t="n">
        <v>0.8</v>
      </c>
      <c r="E10" s="42" t="n">
        <v>6</v>
      </c>
      <c r="F10" s="42" t="n">
        <v>1</v>
      </c>
    </row>
    <row r="11">
      <c r="A11" s="42" t="inlineStr">
        <is>
          <t>Wake Forest</t>
        </is>
      </c>
      <c r="B11" s="42" t="n">
        <v>4</v>
      </c>
      <c r="C11" s="42" t="n">
        <v>1</v>
      </c>
      <c r="D11" s="42" t="n">
        <v>0.8</v>
      </c>
      <c r="E11" s="42" t="n">
        <v>6</v>
      </c>
      <c r="F11" s="42" t="n">
        <v>1</v>
      </c>
    </row>
    <row r="12">
      <c r="A12" s="42" t="inlineStr">
        <is>
          <t>Virginia Tech</t>
        </is>
      </c>
      <c r="B12" s="42" t="n">
        <v>3</v>
      </c>
      <c r="C12" s="42" t="n">
        <v>2</v>
      </c>
      <c r="D12" s="42" t="n">
        <v>0.6</v>
      </c>
      <c r="E12" s="42" t="n">
        <v>6</v>
      </c>
      <c r="F12" s="42" t="n">
        <v>2</v>
      </c>
    </row>
    <row r="13">
      <c r="A13" s="42" t="inlineStr">
        <is>
          <t>Louisville</t>
        </is>
      </c>
      <c r="B13" s="42" t="n">
        <v>3</v>
      </c>
      <c r="C13" s="42" t="n">
        <v>2</v>
      </c>
      <c r="D13" s="42" t="n">
        <v>0.6</v>
      </c>
      <c r="E13" s="42" t="n">
        <v>4</v>
      </c>
      <c r="F13" s="42" t="n">
        <v>3</v>
      </c>
    </row>
    <row r="14">
      <c r="A14" s="42" t="inlineStr">
        <is>
          <t>Duke</t>
        </is>
      </c>
      <c r="B14" s="42" t="n">
        <v>2</v>
      </c>
      <c r="C14" s="42" t="n">
        <v>2</v>
      </c>
      <c r="D14" s="42" t="n">
        <v>0.5</v>
      </c>
      <c r="E14" s="42" t="n">
        <v>5</v>
      </c>
      <c r="F14" s="42" t="n">
        <v>2</v>
      </c>
    </row>
    <row r="15">
      <c r="A15" s="42" t="inlineStr">
        <is>
          <t>Boston College</t>
        </is>
      </c>
      <c r="B15" s="42" t="n">
        <v>2</v>
      </c>
      <c r="C15" s="42" t="n">
        <v>2</v>
      </c>
      <c r="D15" s="42" t="n">
        <v>0.5</v>
      </c>
      <c r="E15" s="42" t="n">
        <v>4</v>
      </c>
      <c r="F15" s="42" t="n">
        <v>3</v>
      </c>
    </row>
    <row r="16">
      <c r="A16" s="42" t="inlineStr">
        <is>
          <t>Clemson</t>
        </is>
      </c>
      <c r="B16" s="42" t="n">
        <v>2</v>
      </c>
      <c r="C16" s="42" t="n">
        <v>2</v>
      </c>
      <c r="D16" s="42" t="n">
        <v>0.5</v>
      </c>
      <c r="E16" s="42" t="n">
        <v>4</v>
      </c>
      <c r="F16" s="42" t="n">
        <v>3</v>
      </c>
    </row>
    <row r="17">
      <c r="A17" s="42" t="inlineStr">
        <is>
          <t>North Carolina</t>
        </is>
      </c>
      <c r="B17" s="42" t="n">
        <v>2</v>
      </c>
      <c r="C17" s="42" t="n">
        <v>2</v>
      </c>
      <c r="D17" s="42" t="n">
        <v>0.5</v>
      </c>
      <c r="E17" s="42" t="n">
        <v>4</v>
      </c>
      <c r="F17" s="42" t="n">
        <v>3</v>
      </c>
    </row>
    <row r="18">
      <c r="A18" s="42" t="inlineStr">
        <is>
          <t>Pittsburgh</t>
        </is>
      </c>
      <c r="B18" s="42" t="n">
        <v>2</v>
      </c>
      <c r="C18" s="42" t="n">
        <v>3</v>
      </c>
      <c r="D18" s="42" t="n">
        <v>0.4</v>
      </c>
      <c r="E18" s="42" t="n">
        <v>5</v>
      </c>
      <c r="F18" s="42" t="n">
        <v>3</v>
      </c>
    </row>
    <row r="19">
      <c r="A19" s="42" t="inlineStr">
        <is>
          <t>Stanford</t>
        </is>
      </c>
      <c r="B19" s="42" t="n">
        <v>2</v>
      </c>
      <c r="C19" s="42" t="n">
        <v>3</v>
      </c>
      <c r="D19" s="42" t="n">
        <v>0.4</v>
      </c>
      <c r="E19" s="42" t="n">
        <v>4</v>
      </c>
      <c r="F19" s="42" t="n">
        <v>4</v>
      </c>
    </row>
    <row r="20">
      <c r="A20" s="42" t="inlineStr">
        <is>
          <t>Virginia</t>
        </is>
      </c>
      <c r="B20" s="42" t="n">
        <v>2</v>
      </c>
      <c r="C20" s="42" t="n">
        <v>3</v>
      </c>
      <c r="D20" s="42" t="n">
        <v>0.4</v>
      </c>
      <c r="E20" s="42" t="n">
        <v>4</v>
      </c>
      <c r="F20" s="42" t="n">
        <v>4</v>
      </c>
    </row>
    <row r="21" ht="26.5" customHeight="1">
      <c r="A21" s="42" t="inlineStr">
        <is>
          <t>California</t>
        </is>
      </c>
      <c r="B21" s="42" t="n">
        <v>2</v>
      </c>
      <c r="C21" s="42" t="n">
        <v>3</v>
      </c>
      <c r="D21" s="42" t="n">
        <v>0.4</v>
      </c>
      <c r="E21" s="42" t="n">
        <v>3</v>
      </c>
      <c r="F21" s="42" t="n">
        <v>5</v>
      </c>
    </row>
    <row r="22">
      <c r="A22" s="42" t="inlineStr">
        <is>
          <t>Florida State</t>
        </is>
      </c>
      <c r="B22" s="42" t="n">
        <v>1</v>
      </c>
      <c r="C22" s="42" t="n">
        <v>3</v>
      </c>
      <c r="D22" s="42" t="n">
        <v>0.25</v>
      </c>
      <c r="E22" s="42" t="n">
        <v>3</v>
      </c>
      <c r="F22" s="42" t="n">
        <v>4</v>
      </c>
    </row>
    <row r="23">
      <c r="A23" s="42" t="inlineStr">
        <is>
          <t>NC State</t>
        </is>
      </c>
      <c r="B23" s="42" t="n">
        <v>1</v>
      </c>
      <c r="C23" s="42" t="n">
        <v>3</v>
      </c>
      <c r="D23" s="42" t="n">
        <v>0.25</v>
      </c>
      <c r="E23" s="42" t="n">
        <v>3</v>
      </c>
      <c r="F23" s="42" t="n">
        <v>4</v>
      </c>
    </row>
    <row r="24">
      <c r="A24" s="42" t="inlineStr">
        <is>
          <t>Georgia Tech</t>
        </is>
      </c>
      <c r="B24" s="42" t="n">
        <v>1</v>
      </c>
      <c r="C24" s="42" t="n">
        <v>3</v>
      </c>
      <c r="D24" s="42" t="n">
        <v>0.25</v>
      </c>
      <c r="E24" s="42" t="n">
        <v>2</v>
      </c>
      <c r="F24" s="42" t="n">
        <v>5</v>
      </c>
    </row>
    <row r="25">
      <c r="A25" s="42" t="inlineStr">
        <is>
          <t>Syracuse</t>
        </is>
      </c>
      <c r="B25" s="42" t="n">
        <v>1</v>
      </c>
      <c r="C25" s="42" t="n">
        <v>4</v>
      </c>
      <c r="D25" s="42" t="n">
        <v>0.2</v>
      </c>
      <c r="E25" s="42" t="n">
        <v>3</v>
      </c>
      <c r="F25" s="42" t="n">
        <v>4</v>
      </c>
    </row>
    <row r="26" ht="26.5" customHeight="1"/>
    <row r="27" ht="26.25" customHeight="1">
      <c r="A27" s="41" t="inlineStr">
        <is>
          <t>Week 9</t>
        </is>
      </c>
    </row>
    <row r="28" ht="26.5" customHeight="1">
      <c r="A28" s="46" t="inlineStr">
        <is>
          <t>Week</t>
        </is>
      </c>
      <c r="B28" s="46" t="inlineStr">
        <is>
          <t>Date</t>
        </is>
      </c>
      <c r="C28" s="46" t="inlineStr">
        <is>
          <t>Home Conf</t>
        </is>
      </c>
      <c r="D28" s="46" t="inlineStr">
        <is>
          <t>Away Conf</t>
        </is>
      </c>
      <c r="E28" s="46" t="inlineStr">
        <is>
          <t>Away Team</t>
        </is>
      </c>
      <c r="F28" s="46" t="inlineStr">
        <is>
          <t>Home Team</t>
        </is>
      </c>
      <c r="G28" s="46" t="inlineStr">
        <is>
          <t>Model Line (Home)</t>
        </is>
      </c>
      <c r="H28" s="46" t="inlineStr">
        <is>
          <t>Market Line (Home)</t>
        </is>
      </c>
      <c r="I28" s="46" t="inlineStr">
        <is>
          <t>Spread Edge (pts)</t>
        </is>
      </c>
      <c r="J28" s="46" t="inlineStr">
        <is>
          <t>Ridge Line (Home)</t>
        </is>
      </c>
      <c r="K28" s="46" t="inlineStr">
        <is>
          <t>Massey Line (Home)</t>
        </is>
      </c>
      <c r="L28" s="46" t="inlineStr">
        <is>
          <t>Model Total</t>
        </is>
      </c>
      <c r="M28" s="46" t="inlineStr">
        <is>
          <t>Market Total</t>
        </is>
      </c>
      <c r="N28" s="46" t="inlineStr">
        <is>
          <t>Total Edge (pts)</t>
        </is>
      </c>
      <c r="O28" s="46" t="inlineStr">
        <is>
          <t>Away Pts</t>
        </is>
      </c>
      <c r="P28" s="46" t="inlineStr">
        <is>
          <t>Home Pts</t>
        </is>
      </c>
      <c r="Q28" s="46" t="inlineStr">
        <is>
          <t>Model Result (SU)</t>
        </is>
      </c>
      <c r="R28" s="46" t="inlineStr">
        <is>
          <t>XGBoost Line (Home)</t>
        </is>
      </c>
      <c r="S28" s="46" t="inlineStr">
        <is>
          <t>Gamma ATS</t>
        </is>
      </c>
      <c r="T28" s="46" t="inlineStr">
        <is>
          <t>Ridge ATS</t>
        </is>
      </c>
      <c r="U28" s="46" t="inlineStr">
        <is>
          <t>XGBoost ATS</t>
        </is>
      </c>
      <c r="V28" s="46" t="inlineStr">
        <is>
          <t>Massey ATS</t>
        </is>
      </c>
    </row>
    <row r="29">
      <c r="A29" s="42" t="n">
        <v>9</v>
      </c>
      <c r="B29" s="42" t="inlineStr">
        <is>
          <t>2026-10-31</t>
        </is>
      </c>
      <c r="C29" s="42" t="inlineStr">
        <is>
          <t>ACC</t>
        </is>
      </c>
      <c r="D29" s="42" t="inlineStr">
        <is>
          <t>ACC</t>
        </is>
      </c>
      <c r="E29" s="42" t="inlineStr">
        <is>
          <t>Boston College</t>
        </is>
      </c>
      <c r="F29" s="42" t="inlineStr">
        <is>
          <t>Duke</t>
        </is>
      </c>
      <c r="G29" s="42" t="n">
        <v>-14.4</v>
      </c>
      <c r="H29" s="42" t="n">
        <v>-7</v>
      </c>
      <c r="I29" s="56" t="n">
        <v>7.4</v>
      </c>
      <c r="J29" s="42" t="n">
        <v>-11.3</v>
      </c>
      <c r="K29" s="42" t="n">
        <v>-9.800000000000001</v>
      </c>
      <c r="L29" s="42" t="n">
        <v>51.3</v>
      </c>
      <c r="M29" s="42" t="n">
        <v>49.5</v>
      </c>
      <c r="N29" s="42" t="n">
        <v>1.8</v>
      </c>
      <c r="O29" s="42" t="n"/>
      <c r="P29" s="42" t="n"/>
      <c r="Q29" s="42" t="n"/>
      <c r="R29" s="42" t="n">
        <v>-12.3</v>
      </c>
      <c r="S29" s="51" t="n"/>
      <c r="T29" s="51" t="n"/>
      <c r="U29" s="51" t="n"/>
      <c r="V29" s="51" t="n"/>
    </row>
    <row r="30">
      <c r="A30" s="42" t="n">
        <v>9</v>
      </c>
      <c r="B30" s="42" t="inlineStr">
        <is>
          <t>2026-10-31</t>
        </is>
      </c>
      <c r="C30" s="42" t="inlineStr">
        <is>
          <t>ACC</t>
        </is>
      </c>
      <c r="D30" s="42" t="inlineStr">
        <is>
          <t>ACC</t>
        </is>
      </c>
      <c r="E30" s="42" t="inlineStr">
        <is>
          <t>Clemson</t>
        </is>
      </c>
      <c r="F30" s="42" t="inlineStr">
        <is>
          <t>Florida State</t>
        </is>
      </c>
      <c r="G30" s="42" t="n">
        <v>-4.9</v>
      </c>
      <c r="H30" s="42" t="n">
        <v>-6</v>
      </c>
      <c r="I30" s="42" t="n">
        <v>-1.1</v>
      </c>
      <c r="J30" s="42" t="n">
        <v>2.2</v>
      </c>
      <c r="K30" s="42" t="n">
        <v>-8</v>
      </c>
      <c r="L30" s="42" t="n">
        <v>46</v>
      </c>
      <c r="M30" s="42" t="n">
        <v>49.5</v>
      </c>
      <c r="N30" s="47" t="n">
        <v>-3.5</v>
      </c>
      <c r="O30" s="42" t="n"/>
      <c r="P30" s="42" t="n"/>
      <c r="Q30" s="42" t="n"/>
      <c r="R30" s="42" t="n">
        <v>0.9</v>
      </c>
      <c r="S30" s="51" t="n"/>
      <c r="T30" s="51" t="n"/>
      <c r="U30" s="51" t="n"/>
      <c r="V30" s="51" t="n"/>
    </row>
    <row r="31">
      <c r="A31" s="42" t="n">
        <v>9</v>
      </c>
      <c r="B31" s="42" t="inlineStr">
        <is>
          <t>2026-10-31</t>
        </is>
      </c>
      <c r="C31" s="42" t="inlineStr">
        <is>
          <t>ACC</t>
        </is>
      </c>
      <c r="D31" s="42" t="inlineStr">
        <is>
          <t>ACC</t>
        </is>
      </c>
      <c r="E31" s="42" t="inlineStr">
        <is>
          <t>Stanford</t>
        </is>
      </c>
      <c r="F31" s="42" t="inlineStr">
        <is>
          <t>Louisville</t>
        </is>
      </c>
      <c r="G31" s="42" t="n">
        <v>-19.6</v>
      </c>
      <c r="H31" s="42" t="n">
        <v>-22.5</v>
      </c>
      <c r="I31" s="47" t="n">
        <v>-2.9</v>
      </c>
      <c r="J31" s="42" t="n">
        <v>-14.9</v>
      </c>
      <c r="K31" s="42" t="n">
        <v>-23.4</v>
      </c>
      <c r="L31" s="42" t="n">
        <v>56.2</v>
      </c>
      <c r="M31" s="42" t="n">
        <v>61.5</v>
      </c>
      <c r="N31" s="47" t="n">
        <v>-5.3</v>
      </c>
      <c r="O31" s="42" t="n"/>
      <c r="P31" s="42" t="n"/>
      <c r="Q31" s="42" t="n"/>
      <c r="R31" s="42" t="n">
        <v>-18</v>
      </c>
      <c r="S31" s="51" t="n"/>
      <c r="T31" s="51" t="n"/>
      <c r="U31" s="51" t="n"/>
      <c r="V31" s="51" t="n"/>
    </row>
    <row r="32">
      <c r="A32" s="42" t="n">
        <v>9</v>
      </c>
      <c r="B32" s="42" t="inlineStr">
        <is>
          <t>2026-10-31</t>
        </is>
      </c>
      <c r="C32" s="42" t="inlineStr">
        <is>
          <t>ACC</t>
        </is>
      </c>
      <c r="D32" s="42" t="inlineStr">
        <is>
          <t>ACC</t>
        </is>
      </c>
      <c r="E32" s="42" t="inlineStr">
        <is>
          <t>California</t>
        </is>
      </c>
      <c r="F32" s="42" t="inlineStr">
        <is>
          <t>NC State</t>
        </is>
      </c>
      <c r="G32" s="42" t="n">
        <v>-11.5</v>
      </c>
      <c r="H32" s="42" t="n">
        <v>-8.5</v>
      </c>
      <c r="I32" s="47" t="n">
        <v>3</v>
      </c>
      <c r="J32" s="42" t="n">
        <v>-9</v>
      </c>
      <c r="K32" s="42" t="n">
        <v>-9.699999999999999</v>
      </c>
      <c r="L32" s="42" t="n">
        <v>51.3</v>
      </c>
      <c r="M32" s="42" t="n">
        <v>57.5</v>
      </c>
      <c r="N32" s="47" t="n">
        <v>-6.2</v>
      </c>
      <c r="O32" s="42" t="n"/>
      <c r="P32" s="42" t="n"/>
      <c r="Q32" s="42" t="n"/>
      <c r="R32" s="42" t="n">
        <v>-10.2</v>
      </c>
      <c r="S32" s="51" t="n"/>
      <c r="T32" s="51" t="n"/>
      <c r="U32" s="51" t="n"/>
      <c r="V32" s="51" t="n"/>
    </row>
    <row r="33">
      <c r="A33" s="42" t="n">
        <v>9</v>
      </c>
      <c r="B33" s="42" t="inlineStr">
        <is>
          <t>2026-10-31</t>
        </is>
      </c>
      <c r="C33" s="42" t="inlineStr">
        <is>
          <t>ACC</t>
        </is>
      </c>
      <c r="D33" s="42" t="inlineStr">
        <is>
          <t>ACC</t>
        </is>
      </c>
      <c r="E33" s="42" t="inlineStr">
        <is>
          <t>Miami</t>
        </is>
      </c>
      <c r="F33" s="42" t="inlineStr">
        <is>
          <t>North Carolina</t>
        </is>
      </c>
      <c r="G33" s="42" t="n">
        <v>18.7</v>
      </c>
      <c r="H33" s="42" t="n">
        <v>14.5</v>
      </c>
      <c r="I33" s="56" t="n">
        <v>-4.2</v>
      </c>
      <c r="J33" s="42" t="n">
        <v>18</v>
      </c>
      <c r="K33" s="42" t="n">
        <v>15.5</v>
      </c>
      <c r="L33" s="42" t="n">
        <v>48.9</v>
      </c>
      <c r="M33" s="42" t="n">
        <v>52.5</v>
      </c>
      <c r="N33" s="47" t="n">
        <v>-3.6</v>
      </c>
      <c r="O33" s="42" t="n"/>
      <c r="P33" s="42" t="n"/>
      <c r="Q33" s="42" t="n"/>
      <c r="R33" s="42" t="n">
        <v>16.9</v>
      </c>
      <c r="S33" s="51" t="n"/>
      <c r="T33" s="51" t="n"/>
      <c r="U33" s="51" t="n"/>
      <c r="V33" s="51" t="n"/>
    </row>
    <row r="34">
      <c r="A34" s="42" t="n">
        <v>9</v>
      </c>
      <c r="B34" s="42" t="inlineStr">
        <is>
          <t>2026-10-31</t>
        </is>
      </c>
      <c r="C34" s="42" t="inlineStr">
        <is>
          <t>ACC</t>
        </is>
      </c>
      <c r="D34" s="42" t="inlineStr">
        <is>
          <t>ACC</t>
        </is>
      </c>
      <c r="E34" s="42" t="inlineStr">
        <is>
          <t>Georgia Tech</t>
        </is>
      </c>
      <c r="F34" s="42" t="inlineStr">
        <is>
          <t>Pittsburgh</t>
        </is>
      </c>
      <c r="G34" s="42" t="n">
        <v>-11</v>
      </c>
      <c r="H34" s="42" t="n">
        <v>-7.5</v>
      </c>
      <c r="I34" s="47" t="n">
        <v>3.5</v>
      </c>
      <c r="J34" s="42" t="n">
        <v>-10.6</v>
      </c>
      <c r="K34" s="42" t="n">
        <v>-17.8</v>
      </c>
      <c r="L34" s="42" t="n">
        <v>52.8</v>
      </c>
      <c r="M34" s="42" t="n">
        <v>53.5</v>
      </c>
      <c r="N34" s="42" t="n">
        <v>-0.7</v>
      </c>
      <c r="O34" s="42" t="n"/>
      <c r="P34" s="42" t="n"/>
      <c r="Q34" s="42" t="n"/>
      <c r="R34" s="42" t="n">
        <v>-6.9</v>
      </c>
      <c r="S34" s="51" t="n"/>
      <c r="T34" s="51" t="n"/>
      <c r="U34" s="51" t="n"/>
      <c r="V34" s="51" t="n"/>
    </row>
    <row r="35">
      <c r="A35" s="42" t="n">
        <v>9</v>
      </c>
      <c r="B35" s="42" t="inlineStr">
        <is>
          <t>2026-10-31</t>
        </is>
      </c>
      <c r="C35" s="42" t="inlineStr">
        <is>
          <t>ACC</t>
        </is>
      </c>
      <c r="D35" s="42" t="inlineStr">
        <is>
          <t>ACC</t>
        </is>
      </c>
      <c r="E35" s="42" t="inlineStr">
        <is>
          <t>SMU</t>
        </is>
      </c>
      <c r="F35" s="42" t="inlineStr">
        <is>
          <t>Syracuse</t>
        </is>
      </c>
      <c r="G35" s="42" t="n">
        <v>10.5</v>
      </c>
      <c r="H35" s="42" t="n">
        <v>8.5</v>
      </c>
      <c r="I35" s="47" t="n">
        <v>-2</v>
      </c>
      <c r="J35" s="42" t="n">
        <v>12.8</v>
      </c>
      <c r="K35" s="42" t="n">
        <v>1.8</v>
      </c>
      <c r="L35" s="42" t="n">
        <v>49.3</v>
      </c>
      <c r="M35" s="42" t="n">
        <v>58.5</v>
      </c>
      <c r="N35" s="47" t="n">
        <v>-9.199999999999999</v>
      </c>
      <c r="O35" s="42" t="n"/>
      <c r="P35" s="42" t="n"/>
      <c r="Q35" s="42" t="n"/>
      <c r="R35" s="42" t="n">
        <v>15.9</v>
      </c>
      <c r="S35" s="51" t="n"/>
      <c r="T35" s="51" t="n"/>
      <c r="U35" s="51" t="n"/>
      <c r="V35" s="51" t="n"/>
    </row>
    <row r="36" ht="15.75" customHeight="1">
      <c r="A36" s="42" t="n">
        <v>9</v>
      </c>
      <c r="B36" s="42" t="inlineStr">
        <is>
          <t>2026-10-31</t>
        </is>
      </c>
      <c r="C36" s="42" t="inlineStr">
        <is>
          <t>ACC</t>
        </is>
      </c>
      <c r="D36" s="42" t="inlineStr">
        <is>
          <t>ACC</t>
        </is>
      </c>
      <c r="E36" s="42" t="inlineStr">
        <is>
          <t>Virginia</t>
        </is>
      </c>
      <c r="F36" s="42" t="inlineStr">
        <is>
          <t>Wake Forest</t>
        </is>
      </c>
      <c r="G36" s="42" t="n">
        <v>-9.5</v>
      </c>
      <c r="H36" s="42" t="n">
        <v>-14</v>
      </c>
      <c r="I36" s="56" t="n">
        <v>-4.5</v>
      </c>
      <c r="J36" s="42" t="n">
        <v>-11.2</v>
      </c>
      <c r="K36" s="42" t="n">
        <v>-11</v>
      </c>
      <c r="L36" s="42" t="n">
        <v>51.2</v>
      </c>
      <c r="M36" s="42" t="n">
        <v>49.5</v>
      </c>
      <c r="N36" s="42" t="n">
        <v>1.7</v>
      </c>
      <c r="O36" s="42" t="n"/>
      <c r="P36" s="42" t="n"/>
      <c r="Q36" s="42" t="n"/>
      <c r="R36" s="42" t="n">
        <v>-9.199999999999999</v>
      </c>
      <c r="S36" s="51" t="n"/>
      <c r="T36" s="51" t="n"/>
      <c r="U36" s="51" t="n"/>
      <c r="V36" s="51" t="n"/>
    </row>
    <row r="37" ht="26.25" customHeight="1"/>
    <row r="38" ht="26.5" customHeight="1">
      <c r="A38" s="41" t="inlineStr">
        <is>
          <t>Week 8</t>
        </is>
      </c>
    </row>
    <row r="39" ht="15.75" customHeight="1">
      <c r="A39" s="46" t="inlineStr">
        <is>
          <t>Week</t>
        </is>
      </c>
      <c r="B39" s="46" t="inlineStr">
        <is>
          <t>Date</t>
        </is>
      </c>
      <c r="C39" s="46" t="inlineStr">
        <is>
          <t>Home Conf</t>
        </is>
      </c>
      <c r="D39" s="46" t="inlineStr">
        <is>
          <t>Away Conf</t>
        </is>
      </c>
      <c r="E39" s="46" t="inlineStr">
        <is>
          <t>Away Team</t>
        </is>
      </c>
      <c r="F39" s="46" t="inlineStr">
        <is>
          <t>Home Team</t>
        </is>
      </c>
      <c r="G39" s="46" t="inlineStr">
        <is>
          <t>Model Line (Home)</t>
        </is>
      </c>
      <c r="H39" s="46" t="inlineStr">
        <is>
          <t>Market Line (Home)</t>
        </is>
      </c>
      <c r="I39" s="46" t="inlineStr">
        <is>
          <t>Spread Edge (pts)</t>
        </is>
      </c>
      <c r="J39" s="46" t="inlineStr">
        <is>
          <t>Ridge Line (Home)</t>
        </is>
      </c>
      <c r="K39" s="46" t="inlineStr">
        <is>
          <t>Massey Line (Home)</t>
        </is>
      </c>
      <c r="L39" s="46" t="inlineStr">
        <is>
          <t>Model Total</t>
        </is>
      </c>
      <c r="M39" s="46" t="inlineStr">
        <is>
          <t>Market Total</t>
        </is>
      </c>
      <c r="N39" s="46" t="inlineStr">
        <is>
          <t>Total Edge (pts)</t>
        </is>
      </c>
      <c r="O39" s="46" t="inlineStr">
        <is>
          <t>Away Pts</t>
        </is>
      </c>
      <c r="P39" s="46" t="inlineStr">
        <is>
          <t>Home Pts</t>
        </is>
      </c>
      <c r="Q39" s="46" t="inlineStr">
        <is>
          <t>Model Result (SU)</t>
        </is>
      </c>
      <c r="R39" s="46" t="inlineStr">
        <is>
          <t>XGBoost Line (Home)</t>
        </is>
      </c>
      <c r="S39" s="46" t="inlineStr">
        <is>
          <t>Gamma ATS</t>
        </is>
      </c>
      <c r="T39" s="46" t="inlineStr">
        <is>
          <t>Ridge ATS</t>
        </is>
      </c>
      <c r="U39" s="46" t="inlineStr">
        <is>
          <t>XGBoost ATS</t>
        </is>
      </c>
      <c r="V39" s="46" t="inlineStr">
        <is>
          <t>Massey ATS</t>
        </is>
      </c>
    </row>
    <row r="40" ht="26.25" customHeight="1">
      <c r="A40" s="42" t="n">
        <v>8</v>
      </c>
      <c r="B40" s="42" t="inlineStr">
        <is>
          <t>2026-10-23</t>
        </is>
      </c>
      <c r="C40" s="42" t="inlineStr">
        <is>
          <t>ACC</t>
        </is>
      </c>
      <c r="D40" s="42" t="inlineStr">
        <is>
          <t>ACC</t>
        </is>
      </c>
      <c r="E40" s="42" t="inlineStr">
        <is>
          <t>Duke</t>
        </is>
      </c>
      <c r="F40" s="42" t="inlineStr">
        <is>
          <t>Virginia</t>
        </is>
      </c>
      <c r="G40" s="42" t="n">
        <v>1.1</v>
      </c>
      <c r="H40" s="42" t="n">
        <v>-2.5</v>
      </c>
      <c r="I40" s="47" t="n">
        <v>-3.6</v>
      </c>
      <c r="J40" s="42" t="n">
        <v>4</v>
      </c>
      <c r="K40" s="42" t="n">
        <v>-1</v>
      </c>
      <c r="L40" s="42" t="n">
        <v>52</v>
      </c>
      <c r="M40" s="42" t="n">
        <v>46.8</v>
      </c>
      <c r="N40" s="47" t="n">
        <v>5.3</v>
      </c>
      <c r="O40" s="42" t="n">
        <v>19</v>
      </c>
      <c r="P40" s="42" t="n">
        <v>16</v>
      </c>
      <c r="Q40" s="47" t="inlineStr">
        <is>
          <t>Win</t>
        </is>
      </c>
      <c r="R40" s="42" t="n">
        <v>5</v>
      </c>
      <c r="S40" s="52" t="inlineStr">
        <is>
          <t>Win</t>
        </is>
      </c>
      <c r="T40" s="52" t="inlineStr">
        <is>
          <t>Win</t>
        </is>
      </c>
      <c r="U40" s="52" t="inlineStr">
        <is>
          <t>Win</t>
        </is>
      </c>
      <c r="V40" s="52" t="inlineStr">
        <is>
          <t>Win</t>
        </is>
      </c>
    </row>
    <row r="41">
      <c r="A41" s="42" t="n">
        <v>8</v>
      </c>
      <c r="B41" s="42" t="inlineStr">
        <is>
          <t>2026-10-24</t>
        </is>
      </c>
      <c r="C41" s="42" t="inlineStr">
        <is>
          <t>ACC</t>
        </is>
      </c>
      <c r="D41" s="42" t="inlineStr">
        <is>
          <t>ACC</t>
        </is>
      </c>
      <c r="E41" s="42" t="inlineStr">
        <is>
          <t>Virginia Tech</t>
        </is>
      </c>
      <c r="F41" s="42" t="inlineStr">
        <is>
          <t>Clemson</t>
        </is>
      </c>
      <c r="G41" s="42" t="n">
        <v>-3.1</v>
      </c>
      <c r="H41" s="42" t="n">
        <v>-2.5</v>
      </c>
      <c r="I41" s="42" t="n">
        <v>0.6</v>
      </c>
      <c r="J41" s="42" t="n">
        <v>-6</v>
      </c>
      <c r="K41" s="42" t="n">
        <v>2.4</v>
      </c>
      <c r="L41" s="42" t="n">
        <v>45.1</v>
      </c>
      <c r="M41" s="42" t="n">
        <v>49.2</v>
      </c>
      <c r="N41" s="47" t="n">
        <v>-4.1</v>
      </c>
      <c r="O41" s="42" t="n">
        <v>20</v>
      </c>
      <c r="P41" s="42" t="n">
        <v>16</v>
      </c>
      <c r="Q41" s="48" t="inlineStr">
        <is>
          <t>Loss</t>
        </is>
      </c>
      <c r="R41" s="42" t="n">
        <v>-9.1</v>
      </c>
      <c r="S41" s="53" t="inlineStr">
        <is>
          <t>Loss</t>
        </is>
      </c>
      <c r="T41" s="53" t="inlineStr">
        <is>
          <t>Loss</t>
        </is>
      </c>
      <c r="U41" s="53" t="inlineStr">
        <is>
          <t>Loss</t>
        </is>
      </c>
      <c r="V41" s="52" t="inlineStr">
        <is>
          <t>Win</t>
        </is>
      </c>
    </row>
    <row r="42">
      <c r="A42" s="42" t="n">
        <v>8</v>
      </c>
      <c r="B42" s="42" t="inlineStr">
        <is>
          <t>2026-10-24</t>
        </is>
      </c>
      <c r="C42" s="42" t="inlineStr">
        <is>
          <t>ACC</t>
        </is>
      </c>
      <c r="D42" s="42" t="inlineStr">
        <is>
          <t>ACC</t>
        </is>
      </c>
      <c r="E42" s="42" t="inlineStr">
        <is>
          <t>Boston College</t>
        </is>
      </c>
      <c r="F42" s="42" t="inlineStr">
        <is>
          <t>Georgia Tech</t>
        </is>
      </c>
      <c r="G42" s="42" t="n">
        <v>-9.4</v>
      </c>
      <c r="H42" s="42" t="n">
        <v>-6</v>
      </c>
      <c r="I42" s="47" t="n">
        <v>3.4</v>
      </c>
      <c r="J42" s="42" t="n">
        <v>-5.6</v>
      </c>
      <c r="K42" s="42" t="n">
        <v>-3.6</v>
      </c>
      <c r="L42" s="42" t="n">
        <v>50.9</v>
      </c>
      <c r="M42" s="42" t="n">
        <v>50.2</v>
      </c>
      <c r="N42" s="42" t="n">
        <v>0.6</v>
      </c>
      <c r="O42" s="42" t="n">
        <v>49</v>
      </c>
      <c r="P42" s="42" t="n">
        <v>27</v>
      </c>
      <c r="Q42" s="48" t="inlineStr">
        <is>
          <t>Loss</t>
        </is>
      </c>
      <c r="R42" s="42" t="n">
        <v>-7.1</v>
      </c>
      <c r="S42" s="53" t="inlineStr">
        <is>
          <t>Loss</t>
        </is>
      </c>
      <c r="T42" s="53" t="inlineStr">
        <is>
          <t>Loss</t>
        </is>
      </c>
      <c r="U42" s="53" t="inlineStr">
        <is>
          <t>Loss</t>
        </is>
      </c>
      <c r="V42" s="52" t="inlineStr">
        <is>
          <t>Win</t>
        </is>
      </c>
    </row>
    <row r="43">
      <c r="A43" s="42" t="n">
        <v>8</v>
      </c>
      <c r="B43" s="42" t="inlineStr">
        <is>
          <t>2026-10-24</t>
        </is>
      </c>
      <c r="C43" s="42" t="inlineStr">
        <is>
          <t>ACC</t>
        </is>
      </c>
      <c r="D43" s="42" t="inlineStr">
        <is>
          <t>ACC</t>
        </is>
      </c>
      <c r="E43" s="42" t="inlineStr">
        <is>
          <t>Pittsburgh</t>
        </is>
      </c>
      <c r="F43" s="42" t="inlineStr">
        <is>
          <t>Miami</t>
        </is>
      </c>
      <c r="G43" s="42" t="n">
        <v>-23</v>
      </c>
      <c r="H43" s="42" t="n">
        <v>-19.8</v>
      </c>
      <c r="I43" s="47" t="n">
        <v>3.2</v>
      </c>
      <c r="J43" s="42" t="n">
        <v>-20.6</v>
      </c>
      <c r="K43" s="42" t="n">
        <v>-14.3</v>
      </c>
      <c r="L43" s="42" t="n">
        <v>51.7</v>
      </c>
      <c r="M43" s="42" t="n">
        <v>48.8</v>
      </c>
      <c r="N43" s="47" t="n">
        <v>3</v>
      </c>
      <c r="O43" s="42" t="n">
        <v>23</v>
      </c>
      <c r="P43" s="42" t="n">
        <v>52</v>
      </c>
      <c r="Q43" s="47" t="inlineStr">
        <is>
          <t>Win</t>
        </is>
      </c>
      <c r="R43" s="42" t="n">
        <v>-15.3</v>
      </c>
      <c r="S43" s="52" t="inlineStr">
        <is>
          <t>Win</t>
        </is>
      </c>
      <c r="T43" s="52" t="inlineStr">
        <is>
          <t>Win</t>
        </is>
      </c>
      <c r="U43" s="53" t="inlineStr">
        <is>
          <t>Loss</t>
        </is>
      </c>
      <c r="V43" s="53" t="inlineStr">
        <is>
          <t>Loss</t>
        </is>
      </c>
    </row>
    <row r="44">
      <c r="A44" s="42" t="n">
        <v>8</v>
      </c>
      <c r="B44" s="42" t="inlineStr">
        <is>
          <t>2026-10-24</t>
        </is>
      </c>
      <c r="C44" s="42" t="inlineStr">
        <is>
          <t>ACC</t>
        </is>
      </c>
      <c r="D44" s="42" t="inlineStr">
        <is>
          <t>ACC</t>
        </is>
      </c>
      <c r="E44" s="42" t="inlineStr">
        <is>
          <t>Syracuse</t>
        </is>
      </c>
      <c r="F44" s="42" t="inlineStr">
        <is>
          <t>North Carolina</t>
        </is>
      </c>
      <c r="G44" s="42" t="n">
        <v>-11.2</v>
      </c>
      <c r="H44" s="42" t="n">
        <v>-9.199999999999999</v>
      </c>
      <c r="I44" s="47" t="n">
        <v>2</v>
      </c>
      <c r="J44" s="42" t="n">
        <v>-8.699999999999999</v>
      </c>
      <c r="K44" s="42" t="n">
        <v>-6.7</v>
      </c>
      <c r="L44" s="42" t="n">
        <v>44.4</v>
      </c>
      <c r="M44" s="42" t="n">
        <v>47.2</v>
      </c>
      <c r="N44" s="47" t="n">
        <v>-2.8</v>
      </c>
      <c r="O44" s="42" t="n">
        <v>31</v>
      </c>
      <c r="P44" s="42" t="n">
        <v>30</v>
      </c>
      <c r="Q44" s="48" t="inlineStr">
        <is>
          <t>Loss</t>
        </is>
      </c>
      <c r="R44" s="42" t="n">
        <v>-7.6</v>
      </c>
      <c r="S44" s="53" t="inlineStr">
        <is>
          <t>Loss</t>
        </is>
      </c>
      <c r="T44" s="53" t="inlineStr">
        <is>
          <t>Loss</t>
        </is>
      </c>
      <c r="U44" s="52" t="inlineStr">
        <is>
          <t>Win</t>
        </is>
      </c>
      <c r="V44" s="52" t="inlineStr">
        <is>
          <t>Win</t>
        </is>
      </c>
    </row>
    <row r="45">
      <c r="A45" s="42" t="n">
        <v>8</v>
      </c>
      <c r="B45" s="42" t="inlineStr">
        <is>
          <t>2026-10-24</t>
        </is>
      </c>
      <c r="C45" s="42" t="inlineStr">
        <is>
          <t>ACC</t>
        </is>
      </c>
      <c r="D45" s="42" t="inlineStr">
        <is>
          <t>ACC</t>
        </is>
      </c>
      <c r="E45" s="42" t="inlineStr">
        <is>
          <t>California</t>
        </is>
      </c>
      <c r="F45" s="42" t="inlineStr">
        <is>
          <t>SMU</t>
        </is>
      </c>
      <c r="G45" s="42" t="n">
        <v>-20.8</v>
      </c>
      <c r="H45" s="42" t="n">
        <v>-19.2</v>
      </c>
      <c r="I45" s="42" t="n">
        <v>1.6</v>
      </c>
      <c r="J45" s="42" t="n">
        <v>-19.2</v>
      </c>
      <c r="K45" s="42" t="n">
        <v>-12</v>
      </c>
      <c r="L45" s="42" t="n">
        <v>49.5</v>
      </c>
      <c r="M45" s="42" t="n">
        <v>55.2</v>
      </c>
      <c r="N45" s="47" t="n">
        <v>-5.8</v>
      </c>
      <c r="O45" s="42" t="n">
        <v>20</v>
      </c>
      <c r="P45" s="42" t="n">
        <v>59</v>
      </c>
      <c r="Q45" s="47" t="inlineStr">
        <is>
          <t>Win</t>
        </is>
      </c>
      <c r="R45" s="42" t="n">
        <v>-15.8</v>
      </c>
      <c r="S45" s="52" t="inlineStr">
        <is>
          <t>Win</t>
        </is>
      </c>
      <c r="T45" s="52" t="inlineStr">
        <is>
          <t>Win</t>
        </is>
      </c>
      <c r="U45" s="53" t="inlineStr">
        <is>
          <t>Loss</t>
        </is>
      </c>
      <c r="V45" s="53" t="inlineStr">
        <is>
          <t>Loss</t>
        </is>
      </c>
    </row>
    <row r="46">
      <c r="A46" s="42" t="n">
        <v>8</v>
      </c>
      <c r="B46" s="42" t="inlineStr">
        <is>
          <t>2026-10-24</t>
        </is>
      </c>
      <c r="C46" s="42" t="inlineStr">
        <is>
          <t>ACC</t>
        </is>
      </c>
      <c r="D46" s="42" t="inlineStr">
        <is>
          <t>ACC</t>
        </is>
      </c>
      <c r="E46" s="42" t="inlineStr">
        <is>
          <t>NC State</t>
        </is>
      </c>
      <c r="F46" s="42" t="inlineStr">
        <is>
          <t>Stanford</t>
        </is>
      </c>
      <c r="G46" s="42" t="n">
        <v>0.6</v>
      </c>
      <c r="H46" s="42" t="n">
        <v>7.5</v>
      </c>
      <c r="I46" s="56" t="n">
        <v>6.9</v>
      </c>
      <c r="J46" s="42" t="n">
        <v>4.5</v>
      </c>
      <c r="K46" s="42" t="n">
        <v>10.6</v>
      </c>
      <c r="L46" s="42" t="n">
        <v>55.2</v>
      </c>
      <c r="M46" s="42" t="n">
        <v>55.2</v>
      </c>
      <c r="N46" s="42" t="n">
        <v>0</v>
      </c>
      <c r="O46" s="42" t="n">
        <v>28</v>
      </c>
      <c r="P46" s="42" t="n">
        <v>31</v>
      </c>
      <c r="Q46" s="48" t="inlineStr">
        <is>
          <t>Loss</t>
        </is>
      </c>
      <c r="R46" s="42" t="n">
        <v>3.1</v>
      </c>
      <c r="S46" s="52" t="inlineStr">
        <is>
          <t>Win</t>
        </is>
      </c>
      <c r="T46" s="52" t="inlineStr">
        <is>
          <t>Win</t>
        </is>
      </c>
      <c r="U46" s="52" t="inlineStr">
        <is>
          <t>Win</t>
        </is>
      </c>
      <c r="V46" s="53" t="inlineStr">
        <is>
          <t>Loss</t>
        </is>
      </c>
    </row>
    <row r="48">
      <c r="A48" s="41" t="inlineStr">
        <is>
          <t>Week 7</t>
        </is>
      </c>
    </row>
    <row r="49" ht="15.75" customHeight="1">
      <c r="A49" s="46" t="inlineStr">
        <is>
          <t>Week</t>
        </is>
      </c>
      <c r="B49" s="46" t="inlineStr">
        <is>
          <t>Date</t>
        </is>
      </c>
      <c r="C49" s="46" t="inlineStr">
        <is>
          <t>Home Conf</t>
        </is>
      </c>
      <c r="D49" s="46" t="inlineStr">
        <is>
          <t>Away Conf</t>
        </is>
      </c>
      <c r="E49" s="46" t="inlineStr">
        <is>
          <t>Away Team</t>
        </is>
      </c>
      <c r="F49" s="46" t="inlineStr">
        <is>
          <t>Home Team</t>
        </is>
      </c>
      <c r="G49" s="46" t="inlineStr">
        <is>
          <t>Model Line (Home)</t>
        </is>
      </c>
      <c r="H49" s="46" t="inlineStr">
        <is>
          <t>Market Line (Home)</t>
        </is>
      </c>
      <c r="I49" s="46" t="inlineStr">
        <is>
          <t>Spread Edge (pts)</t>
        </is>
      </c>
      <c r="J49" s="46" t="inlineStr">
        <is>
          <t>Ridge Line (Home)</t>
        </is>
      </c>
      <c r="K49" s="46" t="inlineStr">
        <is>
          <t>Massey Line (Home)</t>
        </is>
      </c>
      <c r="L49" s="46" t="inlineStr">
        <is>
          <t>Model Total</t>
        </is>
      </c>
      <c r="M49" s="46" t="inlineStr">
        <is>
          <t>Market Total</t>
        </is>
      </c>
      <c r="N49" s="46" t="inlineStr">
        <is>
          <t>Total Edge (pts)</t>
        </is>
      </c>
      <c r="O49" s="46" t="inlineStr">
        <is>
          <t>Away Pts</t>
        </is>
      </c>
      <c r="P49" s="46" t="inlineStr">
        <is>
          <t>Home Pts</t>
        </is>
      </c>
      <c r="Q49" s="46" t="inlineStr">
        <is>
          <t>Model Result (SU)</t>
        </is>
      </c>
      <c r="R49" s="46" t="inlineStr">
        <is>
          <t>XGBoost Line (Home)</t>
        </is>
      </c>
      <c r="S49" s="46" t="inlineStr">
        <is>
          <t>Gamma ATS</t>
        </is>
      </c>
      <c r="T49" s="46" t="inlineStr">
        <is>
          <t>Ridge ATS</t>
        </is>
      </c>
      <c r="U49" s="46" t="inlineStr">
        <is>
          <t>XGBoost ATS</t>
        </is>
      </c>
      <c r="V49" s="46" t="inlineStr">
        <is>
          <t>Massey ATS</t>
        </is>
      </c>
    </row>
    <row r="50" ht="26.25" customHeight="1">
      <c r="A50" s="42" t="n">
        <v>7</v>
      </c>
      <c r="B50" s="42" t="inlineStr">
        <is>
          <t>2026-10-17</t>
        </is>
      </c>
      <c r="C50" s="42" t="inlineStr">
        <is>
          <t>ACC</t>
        </is>
      </c>
      <c r="D50" s="42" t="inlineStr">
        <is>
          <t>ACC</t>
        </is>
      </c>
      <c r="E50" s="42" t="inlineStr">
        <is>
          <t>Pittsburgh</t>
        </is>
      </c>
      <c r="F50" s="42" t="inlineStr">
        <is>
          <t>Boston College</t>
        </is>
      </c>
      <c r="G50" s="42" t="n">
        <v>7.7</v>
      </c>
      <c r="H50" s="42" t="n">
        <v>6.2</v>
      </c>
      <c r="I50" s="42" t="n">
        <v>-1.5</v>
      </c>
      <c r="J50" s="42" t="n">
        <v>10</v>
      </c>
      <c r="K50" s="42" t="n">
        <v>17.1</v>
      </c>
      <c r="L50" s="42" t="n">
        <v>46.8</v>
      </c>
      <c r="M50" s="42" t="n">
        <v>42.5</v>
      </c>
      <c r="N50" s="47" t="n">
        <v>4.3</v>
      </c>
      <c r="O50" s="42" t="n">
        <v>21</v>
      </c>
      <c r="P50" s="42" t="n">
        <v>27</v>
      </c>
      <c r="Q50" s="48" t="inlineStr">
        <is>
          <t>Loss</t>
        </is>
      </c>
      <c r="R50" s="42" t="n">
        <v>10.8</v>
      </c>
      <c r="S50" s="53" t="inlineStr">
        <is>
          <t>Loss</t>
        </is>
      </c>
      <c r="T50" s="53" t="inlineStr">
        <is>
          <t>Loss</t>
        </is>
      </c>
      <c r="U50" s="53" t="inlineStr">
        <is>
          <t>Loss</t>
        </is>
      </c>
      <c r="V50" s="53" t="inlineStr">
        <is>
          <t>Loss</t>
        </is>
      </c>
    </row>
    <row r="51">
      <c r="A51" s="42" t="n">
        <v>7</v>
      </c>
      <c r="B51" s="42" t="inlineStr">
        <is>
          <t>2026-10-17</t>
        </is>
      </c>
      <c r="C51" s="42" t="inlineStr">
        <is>
          <t>ACC</t>
        </is>
      </c>
      <c r="D51" s="42" t="inlineStr">
        <is>
          <t>OVC</t>
        </is>
      </c>
      <c r="E51" s="42" t="inlineStr">
        <is>
          <t>Charleston Southern</t>
        </is>
      </c>
      <c r="F51" s="42" t="inlineStr">
        <is>
          <t>Clemson</t>
        </is>
      </c>
      <c r="G51" s="42" t="n">
        <v>-45.1</v>
      </c>
      <c r="H51" s="42" t="n"/>
      <c r="I51" s="42" t="n"/>
      <c r="J51" s="42" t="n">
        <v>-26.8</v>
      </c>
      <c r="K51" s="42" t="n">
        <v>-15.6</v>
      </c>
      <c r="L51" s="42" t="n">
        <v>56.5</v>
      </c>
      <c r="M51" s="42" t="n"/>
      <c r="N51" s="42" t="n"/>
      <c r="O51" s="42" t="n">
        <v>0</v>
      </c>
      <c r="P51" s="42" t="n">
        <v>37</v>
      </c>
      <c r="Q51" s="47" t="inlineStr">
        <is>
          <t>Win</t>
        </is>
      </c>
      <c r="R51" s="42" t="n">
        <v>-35.9</v>
      </c>
      <c r="S51" s="51" t="n"/>
      <c r="T51" s="51" t="n"/>
      <c r="U51" s="51" t="n"/>
      <c r="V51" s="51" t="n"/>
    </row>
    <row r="52">
      <c r="A52" s="42" t="n">
        <v>7</v>
      </c>
      <c r="B52" s="42" t="inlineStr">
        <is>
          <t>2026-10-17</t>
        </is>
      </c>
      <c r="C52" s="42" t="inlineStr">
        <is>
          <t>ACC</t>
        </is>
      </c>
      <c r="D52" s="42" t="inlineStr">
        <is>
          <t>ACC</t>
        </is>
      </c>
      <c r="E52" s="42" t="inlineStr">
        <is>
          <t>North Carolina</t>
        </is>
      </c>
      <c r="F52" s="42" t="inlineStr">
        <is>
          <t>Duke</t>
        </is>
      </c>
      <c r="G52" s="42" t="n">
        <v>-13.1</v>
      </c>
      <c r="H52" s="42" t="n">
        <v>-3</v>
      </c>
      <c r="I52" s="56" t="n">
        <v>10.1</v>
      </c>
      <c r="J52" s="42" t="n">
        <v>-9.199999999999999</v>
      </c>
      <c r="K52" s="42" t="n">
        <v>-3</v>
      </c>
      <c r="L52" s="42" t="n">
        <v>50.3</v>
      </c>
      <c r="M52" s="42" t="n">
        <v>47.5</v>
      </c>
      <c r="N52" s="47" t="n">
        <v>2.8</v>
      </c>
      <c r="O52" s="42" t="n">
        <v>24</v>
      </c>
      <c r="P52" s="42" t="n">
        <v>20</v>
      </c>
      <c r="Q52" s="48" t="inlineStr">
        <is>
          <t>Loss</t>
        </is>
      </c>
      <c r="R52" s="42" t="n">
        <v>-7.1</v>
      </c>
      <c r="S52" s="53" t="inlineStr">
        <is>
          <t>Loss</t>
        </is>
      </c>
      <c r="T52" s="53" t="inlineStr">
        <is>
          <t>Loss</t>
        </is>
      </c>
      <c r="U52" s="53" t="inlineStr">
        <is>
          <t>Loss</t>
        </is>
      </c>
      <c r="V52" s="53" t="inlineStr">
        <is>
          <t>Loss</t>
        </is>
      </c>
    </row>
    <row r="53">
      <c r="A53" s="42" t="n">
        <v>7</v>
      </c>
      <c r="B53" s="42" t="inlineStr">
        <is>
          <t>2026-10-17</t>
        </is>
      </c>
      <c r="C53" s="42" t="inlineStr">
        <is>
          <t>ACC</t>
        </is>
      </c>
      <c r="D53" s="42" t="inlineStr">
        <is>
          <t>ACC</t>
        </is>
      </c>
      <c r="E53" s="42" t="inlineStr">
        <is>
          <t>Florida State</t>
        </is>
      </c>
      <c r="F53" s="42" t="inlineStr">
        <is>
          <t>Miami</t>
        </is>
      </c>
      <c r="G53" s="42" t="n">
        <v>-21.8</v>
      </c>
      <c r="H53" s="42" t="n">
        <v>-21.5</v>
      </c>
      <c r="I53" s="42" t="n">
        <v>0.3</v>
      </c>
      <c r="J53" s="42" t="n">
        <v>-22.1</v>
      </c>
      <c r="K53" s="42" t="n">
        <v>-20.8</v>
      </c>
      <c r="L53" s="42" t="n">
        <v>54.1</v>
      </c>
      <c r="M53" s="42" t="n">
        <v>56.5</v>
      </c>
      <c r="N53" s="47" t="n">
        <v>-2.4</v>
      </c>
      <c r="O53" s="42" t="n">
        <v>35</v>
      </c>
      <c r="P53" s="42" t="n">
        <v>43</v>
      </c>
      <c r="Q53" s="47" t="inlineStr">
        <is>
          <t>Win</t>
        </is>
      </c>
      <c r="R53" s="42" t="n">
        <v>-18.6</v>
      </c>
      <c r="S53" s="53" t="inlineStr">
        <is>
          <t>Loss</t>
        </is>
      </c>
      <c r="T53" s="53" t="inlineStr">
        <is>
          <t>Loss</t>
        </is>
      </c>
      <c r="U53" s="52" t="inlineStr">
        <is>
          <t>Win</t>
        </is>
      </c>
      <c r="V53" s="53" t="inlineStr">
        <is>
          <t>Loss</t>
        </is>
      </c>
    </row>
    <row r="54">
      <c r="A54" s="42" t="n">
        <v>7</v>
      </c>
      <c r="B54" s="42" t="inlineStr">
        <is>
          <t>2026-10-17</t>
        </is>
      </c>
      <c r="C54" s="42" t="inlineStr">
        <is>
          <t>ACC</t>
        </is>
      </c>
      <c r="D54" s="42" t="inlineStr">
        <is>
          <t>ACC</t>
        </is>
      </c>
      <c r="E54" s="42" t="inlineStr">
        <is>
          <t>Virginia</t>
        </is>
      </c>
      <c r="F54" s="42" t="inlineStr">
        <is>
          <t>SMU</t>
        </is>
      </c>
      <c r="G54" s="42" t="n">
        <v>-4.7</v>
      </c>
      <c r="H54" s="42" t="n">
        <v>-9.5</v>
      </c>
      <c r="I54" s="56" t="n">
        <v>-4.8</v>
      </c>
      <c r="J54" s="42" t="n">
        <v>-13.3</v>
      </c>
      <c r="K54" s="42" t="n">
        <v>0.5</v>
      </c>
      <c r="L54" s="42" t="n">
        <v>49.6</v>
      </c>
      <c r="M54" s="42" t="n">
        <v>51.8</v>
      </c>
      <c r="N54" s="47" t="n">
        <v>-2.1</v>
      </c>
      <c r="O54" s="42" t="n">
        <v>13</v>
      </c>
      <c r="P54" s="42" t="n">
        <v>23</v>
      </c>
      <c r="Q54" s="47" t="inlineStr">
        <is>
          <t>Win</t>
        </is>
      </c>
      <c r="R54" s="42" t="n">
        <v>-13.7</v>
      </c>
      <c r="S54" s="53" t="inlineStr">
        <is>
          <t>Loss</t>
        </is>
      </c>
      <c r="T54" s="52" t="inlineStr">
        <is>
          <t>Win</t>
        </is>
      </c>
      <c r="U54" s="52" t="inlineStr">
        <is>
          <t>Win</t>
        </is>
      </c>
      <c r="V54" s="53" t="inlineStr">
        <is>
          <t>Loss</t>
        </is>
      </c>
    </row>
    <row r="55">
      <c r="A55" s="42" t="n">
        <v>7</v>
      </c>
      <c r="B55" s="42" t="inlineStr">
        <is>
          <t>2026-10-17</t>
        </is>
      </c>
      <c r="C55" s="42" t="inlineStr">
        <is>
          <t>ACC</t>
        </is>
      </c>
      <c r="D55" s="42" t="inlineStr">
        <is>
          <t>Coastal Athletic</t>
        </is>
      </c>
      <c r="E55" s="42" t="inlineStr">
        <is>
          <t>Elon</t>
        </is>
      </c>
      <c r="F55" s="42" t="inlineStr">
        <is>
          <t>Stanford</t>
        </is>
      </c>
      <c r="G55" s="42" t="n">
        <v>-37.1</v>
      </c>
      <c r="H55" s="42" t="n"/>
      <c r="I55" s="42" t="n"/>
      <c r="J55" s="42" t="n">
        <v>-22.2</v>
      </c>
      <c r="K55" s="42" t="n">
        <v>6.9</v>
      </c>
      <c r="L55" s="42" t="n">
        <v>57.8</v>
      </c>
      <c r="M55" s="42" t="n"/>
      <c r="N55" s="42" t="n"/>
      <c r="O55" s="42" t="n">
        <v>7</v>
      </c>
      <c r="P55" s="42" t="n">
        <v>34</v>
      </c>
      <c r="Q55" s="47" t="inlineStr">
        <is>
          <t>Win</t>
        </is>
      </c>
      <c r="R55" s="42" t="n">
        <v>-26.4</v>
      </c>
      <c r="S55" s="51" t="n"/>
      <c r="T55" s="51" t="n"/>
      <c r="U55" s="51" t="n"/>
      <c r="V55" s="51" t="n"/>
    </row>
    <row r="56">
      <c r="A56" s="42" t="n">
        <v>7</v>
      </c>
      <c r="B56" s="42" t="inlineStr">
        <is>
          <t>2026-10-17</t>
        </is>
      </c>
      <c r="C56" s="42" t="inlineStr">
        <is>
          <t>ACC</t>
        </is>
      </c>
      <c r="D56" s="42" t="inlineStr">
        <is>
          <t>ACC</t>
        </is>
      </c>
      <c r="E56" s="42" t="inlineStr">
        <is>
          <t>Louisville</t>
        </is>
      </c>
      <c r="F56" s="42" t="inlineStr">
        <is>
          <t>Syracuse</t>
        </is>
      </c>
      <c r="G56" s="42" t="n">
        <v>18.5</v>
      </c>
      <c r="H56" s="42" t="n">
        <v>15.2</v>
      </c>
      <c r="I56" s="47" t="n">
        <v>-3.3</v>
      </c>
      <c r="J56" s="42" t="n">
        <v>8.300000000000001</v>
      </c>
      <c r="K56" s="42" t="n">
        <v>0.4</v>
      </c>
      <c r="L56" s="42" t="n">
        <v>52.7</v>
      </c>
      <c r="M56" s="42" t="n">
        <v>55.8</v>
      </c>
      <c r="N56" s="47" t="n">
        <v>-3</v>
      </c>
      <c r="O56" s="42" t="n">
        <v>34</v>
      </c>
      <c r="P56" s="42" t="n">
        <v>26</v>
      </c>
      <c r="Q56" s="47" t="inlineStr">
        <is>
          <t>Win</t>
        </is>
      </c>
      <c r="R56" s="42" t="n">
        <v>7</v>
      </c>
      <c r="S56" s="53" t="inlineStr">
        <is>
          <t>Loss</t>
        </is>
      </c>
      <c r="T56" s="52" t="inlineStr">
        <is>
          <t>Win</t>
        </is>
      </c>
      <c r="U56" s="52" t="inlineStr">
        <is>
          <t>Win</t>
        </is>
      </c>
      <c r="V56" s="52" t="inlineStr">
        <is>
          <t>Win</t>
        </is>
      </c>
    </row>
    <row r="57">
      <c r="A57" s="42" t="n">
        <v>7</v>
      </c>
      <c r="B57" s="42" t="inlineStr">
        <is>
          <t>2026-10-17</t>
        </is>
      </c>
      <c r="C57" s="42" t="inlineStr">
        <is>
          <t>ACC</t>
        </is>
      </c>
      <c r="D57" s="42" t="inlineStr">
        <is>
          <t>ACC</t>
        </is>
      </c>
      <c r="E57" s="42" t="inlineStr">
        <is>
          <t>Georgia Tech</t>
        </is>
      </c>
      <c r="F57" s="42" t="inlineStr">
        <is>
          <t>Virginia Tech</t>
        </is>
      </c>
      <c r="G57" s="42" t="n">
        <v>-2.2</v>
      </c>
      <c r="H57" s="42" t="n">
        <v>-10</v>
      </c>
      <c r="I57" s="56" t="n">
        <v>-7.8</v>
      </c>
      <c r="J57" s="42" t="n">
        <v>-6.1</v>
      </c>
      <c r="K57" s="42" t="n">
        <v>-14.8</v>
      </c>
      <c r="L57" s="42" t="n">
        <v>52.8</v>
      </c>
      <c r="M57" s="42" t="n">
        <v>55.8</v>
      </c>
      <c r="N57" s="47" t="n">
        <v>-3</v>
      </c>
      <c r="O57" s="42" t="n">
        <v>24</v>
      </c>
      <c r="P57" s="42" t="n">
        <v>34</v>
      </c>
      <c r="Q57" s="47" t="inlineStr">
        <is>
          <t>Win</t>
        </is>
      </c>
      <c r="R57" s="42" t="n">
        <v>-8.199999999999999</v>
      </c>
      <c r="S57" s="54" t="inlineStr">
        <is>
          <t>Push</t>
        </is>
      </c>
      <c r="T57" s="54" t="inlineStr">
        <is>
          <t>Push</t>
        </is>
      </c>
      <c r="U57" s="54" t="inlineStr">
        <is>
          <t>Push</t>
        </is>
      </c>
      <c r="V57" s="54" t="inlineStr">
        <is>
          <t>Push</t>
        </is>
      </c>
    </row>
    <row r="58">
      <c r="A58" s="42" t="n">
        <v>7</v>
      </c>
      <c r="B58" s="42" t="inlineStr">
        <is>
          <t>2026-10-18</t>
        </is>
      </c>
      <c r="C58" s="42" t="inlineStr">
        <is>
          <t>ACC</t>
        </is>
      </c>
      <c r="D58" s="42" t="inlineStr">
        <is>
          <t>ACC</t>
        </is>
      </c>
      <c r="E58" s="42" t="inlineStr">
        <is>
          <t>Wake Forest</t>
        </is>
      </c>
      <c r="F58" s="42" t="inlineStr">
        <is>
          <t>California</t>
        </is>
      </c>
      <c r="G58" s="42" t="n">
        <v>12.6</v>
      </c>
      <c r="H58" s="42" t="n">
        <v>9.5</v>
      </c>
      <c r="I58" s="47" t="n">
        <v>-3.1</v>
      </c>
      <c r="J58" s="42" t="n">
        <v>5.7</v>
      </c>
      <c r="K58" s="42" t="n">
        <v>9.9</v>
      </c>
      <c r="L58" s="42" t="n">
        <v>50.9</v>
      </c>
      <c r="M58" s="42" t="n">
        <v>53.5</v>
      </c>
      <c r="N58" s="47" t="n">
        <v>-2.6</v>
      </c>
      <c r="O58" s="42" t="n">
        <v>41</v>
      </c>
      <c r="P58" s="42" t="n">
        <v>7</v>
      </c>
      <c r="Q58" s="47" t="inlineStr">
        <is>
          <t>Win</t>
        </is>
      </c>
      <c r="R58" s="42" t="n">
        <v>6.1</v>
      </c>
      <c r="S58" s="52" t="inlineStr">
        <is>
          <t>Win</t>
        </is>
      </c>
      <c r="T58" s="53" t="inlineStr">
        <is>
          <t>Loss</t>
        </is>
      </c>
      <c r="U58" s="53" t="inlineStr">
        <is>
          <t>Loss</t>
        </is>
      </c>
      <c r="V58" s="52" t="inlineStr">
        <is>
          <t>Win</t>
        </is>
      </c>
    </row>
    <row r="59" ht="15.75" customHeight="1"/>
    <row r="60" ht="26.25" customHeight="1">
      <c r="A60" s="41" t="inlineStr">
        <is>
          <t>Week 6</t>
        </is>
      </c>
    </row>
    <row r="61">
      <c r="A61" s="46" t="inlineStr">
        <is>
          <t>Week</t>
        </is>
      </c>
      <c r="B61" s="46" t="inlineStr">
        <is>
          <t>Date</t>
        </is>
      </c>
      <c r="C61" s="46" t="inlineStr">
        <is>
          <t>Home Conf</t>
        </is>
      </c>
      <c r="D61" s="46" t="inlineStr">
        <is>
          <t>Away Conf</t>
        </is>
      </c>
      <c r="E61" s="46" t="inlineStr">
        <is>
          <t>Away Team</t>
        </is>
      </c>
      <c r="F61" s="46" t="inlineStr">
        <is>
          <t>Home Team</t>
        </is>
      </c>
      <c r="G61" s="46" t="inlineStr">
        <is>
          <t>Model Line (Home)</t>
        </is>
      </c>
      <c r="H61" s="46" t="inlineStr">
        <is>
          <t>Market Line (Home)</t>
        </is>
      </c>
      <c r="I61" s="46" t="inlineStr">
        <is>
          <t>Spread Edge (pts)</t>
        </is>
      </c>
      <c r="J61" s="46" t="inlineStr">
        <is>
          <t>Ridge Line (Home)</t>
        </is>
      </c>
      <c r="K61" s="46" t="inlineStr">
        <is>
          <t>Massey Line (Home)</t>
        </is>
      </c>
      <c r="L61" s="46" t="inlineStr">
        <is>
          <t>Model Total</t>
        </is>
      </c>
      <c r="M61" s="46" t="inlineStr">
        <is>
          <t>Market Total</t>
        </is>
      </c>
      <c r="N61" s="46" t="inlineStr">
        <is>
          <t>Total Edge (pts)</t>
        </is>
      </c>
      <c r="O61" s="46" t="inlineStr">
        <is>
          <t>Away Pts</t>
        </is>
      </c>
      <c r="P61" s="46" t="inlineStr">
        <is>
          <t>Home Pts</t>
        </is>
      </c>
      <c r="Q61" s="46" t="inlineStr">
        <is>
          <t>Model Result (SU)</t>
        </is>
      </c>
      <c r="R61" s="46" t="inlineStr">
        <is>
          <t>XGBoost Line (Home)</t>
        </is>
      </c>
      <c r="S61" s="46" t="inlineStr">
        <is>
          <t>Gamma ATS</t>
        </is>
      </c>
      <c r="T61" s="46" t="inlineStr">
        <is>
          <t>Ridge ATS</t>
        </is>
      </c>
      <c r="U61" s="46" t="inlineStr">
        <is>
          <t>XGBoost ATS</t>
        </is>
      </c>
      <c r="V61" s="46" t="inlineStr">
        <is>
          <t>Massey ATS</t>
        </is>
      </c>
    </row>
    <row r="62">
      <c r="A62" s="42" t="n">
        <v>6</v>
      </c>
      <c r="B62" s="42" t="inlineStr">
        <is>
          <t>2026-10-09</t>
        </is>
      </c>
      <c r="C62" s="42" t="inlineStr">
        <is>
          <t>ACC</t>
        </is>
      </c>
      <c r="D62" s="42" t="inlineStr">
        <is>
          <t>ACC</t>
        </is>
      </c>
      <c r="E62" s="42" t="inlineStr">
        <is>
          <t>Florida State</t>
        </is>
      </c>
      <c r="F62" s="42" t="inlineStr">
        <is>
          <t>Louisville</t>
        </is>
      </c>
      <c r="G62" s="42" t="n">
        <v>0.2</v>
      </c>
      <c r="H62" s="42" t="n">
        <v>-3.5</v>
      </c>
      <c r="I62" s="47" t="n">
        <v>-3.7</v>
      </c>
      <c r="J62" s="42" t="n">
        <v>-6.4</v>
      </c>
      <c r="K62" s="42" t="n">
        <v>0.7</v>
      </c>
      <c r="L62" s="42" t="n">
        <v>56.7</v>
      </c>
      <c r="M62" s="42" t="n">
        <v>59.5</v>
      </c>
      <c r="N62" s="47" t="n">
        <v>-2.8</v>
      </c>
      <c r="O62" s="42" t="n">
        <v>20</v>
      </c>
      <c r="P62" s="42" t="n">
        <v>44</v>
      </c>
      <c r="Q62" s="48" t="inlineStr">
        <is>
          <t>Loss</t>
        </is>
      </c>
      <c r="R62" s="42" t="n">
        <v>-4.2</v>
      </c>
      <c r="S62" s="53" t="inlineStr">
        <is>
          <t>Loss</t>
        </is>
      </c>
      <c r="T62" s="52" t="inlineStr">
        <is>
          <t>Win</t>
        </is>
      </c>
      <c r="U62" s="52" t="inlineStr">
        <is>
          <t>Win</t>
        </is>
      </c>
      <c r="V62" s="53" t="inlineStr">
        <is>
          <t>Loss</t>
        </is>
      </c>
    </row>
    <row r="63">
      <c r="A63" s="42" t="n">
        <v>6</v>
      </c>
      <c r="B63" s="42" t="inlineStr">
        <is>
          <t>2026-10-10</t>
        </is>
      </c>
      <c r="C63" s="42" t="inlineStr">
        <is>
          <t>ACC</t>
        </is>
      </c>
      <c r="D63" s="42" t="inlineStr">
        <is>
          <t>ACC</t>
        </is>
      </c>
      <c r="E63" s="42" t="inlineStr">
        <is>
          <t>Virginia Tech</t>
        </is>
      </c>
      <c r="F63" s="42" t="inlineStr">
        <is>
          <t>California</t>
        </is>
      </c>
      <c r="G63" s="42" t="n">
        <v>5.3</v>
      </c>
      <c r="H63" s="42" t="n">
        <v>10</v>
      </c>
      <c r="I63" s="56" t="n">
        <v>4.7</v>
      </c>
      <c r="J63" s="42" t="n">
        <v>6.7</v>
      </c>
      <c r="K63" s="42" t="n">
        <v>11.5</v>
      </c>
      <c r="L63" s="42" t="n">
        <v>47.2</v>
      </c>
      <c r="M63" s="42" t="n">
        <v>53.5</v>
      </c>
      <c r="N63" s="47" t="n">
        <v>-6.3</v>
      </c>
      <c r="O63" s="42" t="n">
        <v>20</v>
      </c>
      <c r="P63" s="42" t="n">
        <v>25</v>
      </c>
      <c r="Q63" s="48" t="inlineStr">
        <is>
          <t>Loss</t>
        </is>
      </c>
      <c r="R63" s="42" t="n">
        <v>5</v>
      </c>
      <c r="S63" s="52" t="inlineStr">
        <is>
          <t>Win</t>
        </is>
      </c>
      <c r="T63" s="52" t="inlineStr">
        <is>
          <t>Win</t>
        </is>
      </c>
      <c r="U63" s="52" t="inlineStr">
        <is>
          <t>Win</t>
        </is>
      </c>
      <c r="V63" s="53" t="inlineStr">
        <is>
          <t>Loss</t>
        </is>
      </c>
    </row>
    <row r="64">
      <c r="A64" s="42" t="n">
        <v>6</v>
      </c>
      <c r="B64" s="42" t="inlineStr">
        <is>
          <t>2026-10-10</t>
        </is>
      </c>
      <c r="C64" s="42" t="inlineStr">
        <is>
          <t>ACC</t>
        </is>
      </c>
      <c r="D64" s="42" t="inlineStr">
        <is>
          <t>ACC</t>
        </is>
      </c>
      <c r="E64" s="42" t="inlineStr">
        <is>
          <t>Duke</t>
        </is>
      </c>
      <c r="F64" s="42" t="inlineStr">
        <is>
          <t>Georgia Tech</t>
        </is>
      </c>
      <c r="G64" s="42" t="n">
        <v>7.4</v>
      </c>
      <c r="H64" s="42" t="n">
        <v>6.5</v>
      </c>
      <c r="I64" s="42" t="n">
        <v>-0.9</v>
      </c>
      <c r="J64" s="42" t="n">
        <v>7.6</v>
      </c>
      <c r="K64" s="42" t="n">
        <v>11.1</v>
      </c>
      <c r="L64" s="42" t="n">
        <v>54.5</v>
      </c>
      <c r="M64" s="42" t="n">
        <v>43.5</v>
      </c>
      <c r="N64" s="47" t="n">
        <v>11</v>
      </c>
      <c r="O64" s="42" t="n">
        <v>25</v>
      </c>
      <c r="P64" s="42" t="n">
        <v>28</v>
      </c>
      <c r="Q64" s="48" t="inlineStr">
        <is>
          <t>Loss</t>
        </is>
      </c>
      <c r="R64" s="42" t="n">
        <v>6.3</v>
      </c>
      <c r="S64" s="53" t="inlineStr">
        <is>
          <t>Loss</t>
        </is>
      </c>
      <c r="T64" s="53" t="inlineStr">
        <is>
          <t>Loss</t>
        </is>
      </c>
      <c r="U64" s="53" t="inlineStr">
        <is>
          <t>Loss</t>
        </is>
      </c>
      <c r="V64" s="53" t="inlineStr">
        <is>
          <t>Loss</t>
        </is>
      </c>
    </row>
    <row r="65">
      <c r="A65" s="42" t="n">
        <v>6</v>
      </c>
      <c r="B65" s="42" t="inlineStr">
        <is>
          <t>2026-10-10</t>
        </is>
      </c>
      <c r="C65" s="42" t="inlineStr">
        <is>
          <t>ACC</t>
        </is>
      </c>
      <c r="D65" s="42" t="inlineStr">
        <is>
          <t>ACC</t>
        </is>
      </c>
      <c r="E65" s="42" t="inlineStr">
        <is>
          <t>Wake Forest</t>
        </is>
      </c>
      <c r="F65" s="42" t="inlineStr">
        <is>
          <t>NC State</t>
        </is>
      </c>
      <c r="G65" s="42" t="n">
        <v>3.8</v>
      </c>
      <c r="H65" s="42" t="n">
        <v>3.5</v>
      </c>
      <c r="I65" s="42" t="n">
        <v>-0.3</v>
      </c>
      <c r="J65" s="42" t="n">
        <v>-5.7</v>
      </c>
      <c r="K65" s="42" t="n">
        <v>0.6</v>
      </c>
      <c r="L65" s="42" t="n">
        <v>56.9</v>
      </c>
      <c r="M65" s="42" t="n">
        <v>59.5</v>
      </c>
      <c r="N65" s="47" t="n">
        <v>-2.6</v>
      </c>
      <c r="O65" s="42" t="n">
        <v>38</v>
      </c>
      <c r="P65" s="42" t="n">
        <v>14</v>
      </c>
      <c r="Q65" s="47" t="inlineStr">
        <is>
          <t>Win</t>
        </is>
      </c>
      <c r="R65" s="42" t="n">
        <v>0.3</v>
      </c>
      <c r="S65" s="52" t="inlineStr">
        <is>
          <t>Win</t>
        </is>
      </c>
      <c r="T65" s="53" t="inlineStr">
        <is>
          <t>Loss</t>
        </is>
      </c>
      <c r="U65" s="53" t="inlineStr">
        <is>
          <t>Loss</t>
        </is>
      </c>
      <c r="V65" s="53" t="inlineStr">
        <is>
          <t>Loss</t>
        </is>
      </c>
    </row>
    <row r="66">
      <c r="A66" s="42" t="n">
        <v>6</v>
      </c>
      <c r="B66" s="42" t="inlineStr">
        <is>
          <t>2026-10-10</t>
        </is>
      </c>
      <c r="C66" s="42" t="inlineStr">
        <is>
          <t>ACC</t>
        </is>
      </c>
      <c r="D66" s="42" t="inlineStr">
        <is>
          <t>ACC</t>
        </is>
      </c>
      <c r="E66" s="42" t="inlineStr">
        <is>
          <t>North Carolina</t>
        </is>
      </c>
      <c r="F66" s="42" t="inlineStr">
        <is>
          <t>Pittsburgh</t>
        </is>
      </c>
      <c r="G66" s="42" t="n">
        <v>-6.8</v>
      </c>
      <c r="H66" s="42" t="n">
        <v>-3.8</v>
      </c>
      <c r="I66" s="47" t="n">
        <v>3</v>
      </c>
      <c r="J66" s="42" t="n">
        <v>-10.6</v>
      </c>
      <c r="K66" s="42" t="n">
        <v>-15.4</v>
      </c>
      <c r="L66" s="42" t="n">
        <v>49</v>
      </c>
      <c r="M66" s="42" t="n">
        <v>47.2</v>
      </c>
      <c r="N66" s="42" t="n">
        <v>1.8</v>
      </c>
      <c r="O66" s="42" t="n">
        <v>21</v>
      </c>
      <c r="P66" s="42" t="n">
        <v>17</v>
      </c>
      <c r="Q66" s="48" t="inlineStr">
        <is>
          <t>Loss</t>
        </is>
      </c>
      <c r="R66" s="42" t="n">
        <v>-12</v>
      </c>
      <c r="S66" s="53" t="inlineStr">
        <is>
          <t>Loss</t>
        </is>
      </c>
      <c r="T66" s="53" t="inlineStr">
        <is>
          <t>Loss</t>
        </is>
      </c>
      <c r="U66" s="53" t="inlineStr">
        <is>
          <t>Loss</t>
        </is>
      </c>
      <c r="V66" s="53" t="inlineStr">
        <is>
          <t>Loss</t>
        </is>
      </c>
    </row>
    <row r="67">
      <c r="A67" s="42" t="n">
        <v>6</v>
      </c>
      <c r="B67" s="42" t="inlineStr">
        <is>
          <t>2026-10-10</t>
        </is>
      </c>
      <c r="C67" s="42" t="inlineStr">
        <is>
          <t>ACC</t>
        </is>
      </c>
      <c r="D67" s="42" t="inlineStr">
        <is>
          <t>ACC</t>
        </is>
      </c>
      <c r="E67" s="42" t="inlineStr">
        <is>
          <t>Syracuse</t>
        </is>
      </c>
      <c r="F67" s="42" t="inlineStr">
        <is>
          <t>Virginia</t>
        </is>
      </c>
      <c r="G67" s="42" t="n">
        <v>-20.5</v>
      </c>
      <c r="H67" s="42" t="n">
        <v>-9.800000000000001</v>
      </c>
      <c r="I67" s="56" t="n">
        <v>10.7</v>
      </c>
      <c r="J67" s="42" t="n">
        <v>-4.2</v>
      </c>
      <c r="K67" s="42" t="n">
        <v>-5.7</v>
      </c>
      <c r="L67" s="42" t="n">
        <v>44.5</v>
      </c>
      <c r="M67" s="42" t="n">
        <v>50.5</v>
      </c>
      <c r="N67" s="47" t="n">
        <v>-6</v>
      </c>
      <c r="O67" s="42" t="n">
        <v>25</v>
      </c>
      <c r="P67" s="42" t="n">
        <v>28</v>
      </c>
      <c r="Q67" s="47" t="inlineStr">
        <is>
          <t>Win</t>
        </is>
      </c>
      <c r="R67" s="42" t="n">
        <v>-3.7</v>
      </c>
      <c r="S67" s="53" t="inlineStr">
        <is>
          <t>Loss</t>
        </is>
      </c>
      <c r="T67" s="52" t="inlineStr">
        <is>
          <t>Win</t>
        </is>
      </c>
      <c r="U67" s="52" t="inlineStr">
        <is>
          <t>Win</t>
        </is>
      </c>
      <c r="V67" s="52" t="inlineStr">
        <is>
          <t>Win</t>
        </is>
      </c>
    </row>
    <row r="68">
      <c r="A68" s="42" t="n">
        <v>6</v>
      </c>
      <c r="B68" s="42" t="inlineStr">
        <is>
          <t>2026-10-10</t>
        </is>
      </c>
      <c r="C68" s="42" t="inlineStr">
        <is>
          <t>FBS Independents</t>
        </is>
      </c>
      <c r="D68" s="42" t="inlineStr">
        <is>
          <t>ACC</t>
        </is>
      </c>
      <c r="E68" s="42" t="inlineStr">
        <is>
          <t>Stanford</t>
        </is>
      </c>
      <c r="F68" s="42" t="inlineStr">
        <is>
          <t>Notre Dame</t>
        </is>
      </c>
      <c r="G68" s="42" t="n">
        <v>-29.8</v>
      </c>
      <c r="H68" s="42" t="n">
        <v>-38.5</v>
      </c>
      <c r="I68" s="56" t="n">
        <v>-8.699999999999999</v>
      </c>
      <c r="J68" s="42" t="n">
        <v>-38.8</v>
      </c>
      <c r="K68" s="42" t="n">
        <v>-36.8</v>
      </c>
      <c r="L68" s="42" t="n">
        <v>54.8</v>
      </c>
      <c r="M68" s="42" t="n">
        <v>54.5</v>
      </c>
      <c r="N68" s="42" t="n">
        <v>0.3</v>
      </c>
      <c r="O68" s="42" t="n">
        <v>7</v>
      </c>
      <c r="P68" s="42" t="n">
        <v>58</v>
      </c>
      <c r="Q68" s="47" t="inlineStr">
        <is>
          <t>Win</t>
        </is>
      </c>
      <c r="R68" s="42" t="n">
        <v>-37.9</v>
      </c>
      <c r="S68" s="53" t="inlineStr">
        <is>
          <t>Loss</t>
        </is>
      </c>
      <c r="T68" s="52" t="inlineStr">
        <is>
          <t>Win</t>
        </is>
      </c>
      <c r="U68" s="52" t="inlineStr">
        <is>
          <t>Win</t>
        </is>
      </c>
      <c r="V68" s="53" t="inlineStr">
        <is>
          <t>Loss</t>
        </is>
      </c>
    </row>
    <row r="70">
      <c r="A70" s="41" t="inlineStr">
        <is>
          <t>Week 5</t>
        </is>
      </c>
    </row>
    <row r="71">
      <c r="A71" s="46" t="inlineStr">
        <is>
          <t>Week</t>
        </is>
      </c>
      <c r="B71" s="46" t="inlineStr">
        <is>
          <t>Date</t>
        </is>
      </c>
      <c r="C71" s="46" t="inlineStr">
        <is>
          <t>Home Conf</t>
        </is>
      </c>
      <c r="D71" s="46" t="inlineStr">
        <is>
          <t>Away Conf</t>
        </is>
      </c>
      <c r="E71" s="46" t="inlineStr">
        <is>
          <t>Away Team</t>
        </is>
      </c>
      <c r="F71" s="46" t="inlineStr">
        <is>
          <t>Home Team</t>
        </is>
      </c>
      <c r="G71" s="46" t="inlineStr">
        <is>
          <t>Model Line (Home)</t>
        </is>
      </c>
      <c r="H71" s="46" t="inlineStr">
        <is>
          <t>Market Line (Home)</t>
        </is>
      </c>
      <c r="I71" s="46" t="inlineStr">
        <is>
          <t>Spread Edge (pts)</t>
        </is>
      </c>
      <c r="J71" s="46" t="inlineStr">
        <is>
          <t>Ridge Line (Home)</t>
        </is>
      </c>
      <c r="K71" s="46" t="inlineStr">
        <is>
          <t>Massey Line (Home)</t>
        </is>
      </c>
      <c r="L71" s="46" t="inlineStr">
        <is>
          <t>Model Total</t>
        </is>
      </c>
      <c r="M71" s="46" t="inlineStr">
        <is>
          <t>Market Total</t>
        </is>
      </c>
      <c r="N71" s="46" t="inlineStr">
        <is>
          <t>Total Edge (pts)</t>
        </is>
      </c>
      <c r="O71" s="46" t="inlineStr">
        <is>
          <t>Away Pts</t>
        </is>
      </c>
      <c r="P71" s="46" t="inlineStr">
        <is>
          <t>Home Pts</t>
        </is>
      </c>
      <c r="Q71" s="46" t="inlineStr">
        <is>
          <t>Model Result (SU)</t>
        </is>
      </c>
      <c r="R71" s="46" t="inlineStr">
        <is>
          <t>XGBoost Line (Home)</t>
        </is>
      </c>
      <c r="S71" s="46" t="inlineStr">
        <is>
          <t>Gamma ATS</t>
        </is>
      </c>
      <c r="T71" s="46" t="inlineStr">
        <is>
          <t>Ridge ATS</t>
        </is>
      </c>
      <c r="U71" s="46" t="inlineStr">
        <is>
          <t>XGBoost ATS</t>
        </is>
      </c>
      <c r="V71" s="46" t="inlineStr">
        <is>
          <t>Massey ATS</t>
        </is>
      </c>
    </row>
    <row r="72">
      <c r="A72" s="42" t="n">
        <v>5</v>
      </c>
      <c r="B72" s="42" t="inlineStr">
        <is>
          <t>2026-10-02</t>
        </is>
      </c>
      <c r="C72" s="42" t="inlineStr">
        <is>
          <t>ACC</t>
        </is>
      </c>
      <c r="D72" s="42" t="inlineStr">
        <is>
          <t>ACC</t>
        </is>
      </c>
      <c r="E72" s="42" t="inlineStr">
        <is>
          <t>Pittsburgh</t>
        </is>
      </c>
      <c r="F72" s="42" t="inlineStr">
        <is>
          <t>Virginia Tech</t>
        </is>
      </c>
      <c r="G72" s="42" t="n">
        <v>-3.8</v>
      </c>
      <c r="H72" s="42" t="n">
        <v>-1.5</v>
      </c>
      <c r="I72" s="47" t="n">
        <v>2.3</v>
      </c>
      <c r="J72" s="42" t="n">
        <v>-1.3</v>
      </c>
      <c r="K72" s="42" t="n">
        <v>3.2</v>
      </c>
      <c r="L72" s="42" t="n">
        <v>51.2</v>
      </c>
      <c r="M72" s="42" t="n">
        <v>53.2</v>
      </c>
      <c r="N72" s="47" t="n">
        <v>-2.1</v>
      </c>
      <c r="O72" s="42" t="n">
        <v>35</v>
      </c>
      <c r="P72" s="42" t="n">
        <v>33</v>
      </c>
      <c r="Q72" s="48" t="inlineStr">
        <is>
          <t>Loss</t>
        </is>
      </c>
      <c r="R72" s="42" t="n">
        <v>-0.1</v>
      </c>
      <c r="S72" s="53" t="inlineStr">
        <is>
          <t>Loss</t>
        </is>
      </c>
      <c r="T72" s="53" t="inlineStr">
        <is>
          <t>Loss</t>
        </is>
      </c>
      <c r="U72" s="52" t="inlineStr">
        <is>
          <t>Win</t>
        </is>
      </c>
      <c r="V72" s="52" t="inlineStr">
        <is>
          <t>Win</t>
        </is>
      </c>
    </row>
    <row r="73">
      <c r="A73" s="42" t="n">
        <v>5</v>
      </c>
      <c r="B73" s="42" t="inlineStr">
        <is>
          <t>2026-10-03</t>
        </is>
      </c>
      <c r="C73" s="42" t="inlineStr">
        <is>
          <t>ACC</t>
        </is>
      </c>
      <c r="D73" s="42" t="inlineStr">
        <is>
          <t>ACC</t>
        </is>
      </c>
      <c r="E73" s="42" t="inlineStr">
        <is>
          <t>Miami</t>
        </is>
      </c>
      <c r="F73" s="42" t="inlineStr">
        <is>
          <t>Clemson</t>
        </is>
      </c>
      <c r="G73" s="42" t="n">
        <v>14</v>
      </c>
      <c r="H73" s="42" t="n">
        <v>14.8</v>
      </c>
      <c r="I73" s="42" t="n">
        <v>0.8</v>
      </c>
      <c r="J73" s="42" t="n">
        <v>8.199999999999999</v>
      </c>
      <c r="K73" s="42" t="n">
        <v>18.5</v>
      </c>
      <c r="L73" s="42" t="n">
        <v>47.3</v>
      </c>
      <c r="M73" s="42" t="n">
        <v>48.5</v>
      </c>
      <c r="N73" s="42" t="n">
        <v>-1.2</v>
      </c>
      <c r="O73" s="42" t="n">
        <v>41</v>
      </c>
      <c r="P73" s="42" t="n">
        <v>13</v>
      </c>
      <c r="Q73" s="47" t="inlineStr">
        <is>
          <t>Win</t>
        </is>
      </c>
      <c r="R73" s="42" t="n">
        <v>5.4</v>
      </c>
      <c r="S73" s="52" t="inlineStr">
        <is>
          <t>Win</t>
        </is>
      </c>
      <c r="T73" s="53" t="inlineStr">
        <is>
          <t>Loss</t>
        </is>
      </c>
      <c r="U73" s="53" t="inlineStr">
        <is>
          <t>Loss</t>
        </is>
      </c>
      <c r="V73" s="52" t="inlineStr">
        <is>
          <t>Win</t>
        </is>
      </c>
    </row>
    <row r="74">
      <c r="A74" s="42" t="n">
        <v>5</v>
      </c>
      <c r="B74" s="42" t="inlineStr">
        <is>
          <t>2026-10-03</t>
        </is>
      </c>
      <c r="C74" s="42" t="inlineStr">
        <is>
          <t>ACC</t>
        </is>
      </c>
      <c r="D74" s="42" t="inlineStr">
        <is>
          <t>ACC</t>
        </is>
      </c>
      <c r="E74" s="42" t="inlineStr">
        <is>
          <t>Virginia</t>
        </is>
      </c>
      <c r="F74" s="42" t="inlineStr">
        <is>
          <t>Florida State</t>
        </is>
      </c>
      <c r="G74" s="42" t="n">
        <v>5.2</v>
      </c>
      <c r="H74" s="42" t="n">
        <v>1.2</v>
      </c>
      <c r="I74" s="56" t="n">
        <v>-4</v>
      </c>
      <c r="J74" s="42" t="n">
        <v>-0.7</v>
      </c>
      <c r="K74" s="42" t="n">
        <v>8.9</v>
      </c>
      <c r="L74" s="42" t="n">
        <v>51.6</v>
      </c>
      <c r="M74" s="42" t="n">
        <v>51.5</v>
      </c>
      <c r="N74" s="42" t="n">
        <v>0.1</v>
      </c>
      <c r="O74" s="42" t="n">
        <v>7</v>
      </c>
      <c r="P74" s="42" t="n">
        <v>38</v>
      </c>
      <c r="Q74" s="48" t="inlineStr">
        <is>
          <t>Loss</t>
        </is>
      </c>
      <c r="R74" s="42" t="n">
        <v>0.6</v>
      </c>
      <c r="S74" s="53" t="inlineStr">
        <is>
          <t>Loss</t>
        </is>
      </c>
      <c r="T74" s="52" t="inlineStr">
        <is>
          <t>Win</t>
        </is>
      </c>
      <c r="U74" s="53" t="inlineStr">
        <is>
          <t>Loss</t>
        </is>
      </c>
      <c r="V74" s="53" t="inlineStr">
        <is>
          <t>Loss</t>
        </is>
      </c>
    </row>
    <row r="75">
      <c r="A75" s="42" t="n">
        <v>5</v>
      </c>
      <c r="B75" s="42" t="inlineStr">
        <is>
          <t>2026-10-03</t>
        </is>
      </c>
      <c r="C75" s="42" t="inlineStr">
        <is>
          <t>ACC</t>
        </is>
      </c>
      <c r="D75" s="42" t="inlineStr">
        <is>
          <t>ACC</t>
        </is>
      </c>
      <c r="E75" s="42" t="inlineStr">
        <is>
          <t>Louisville</t>
        </is>
      </c>
      <c r="F75" s="42" t="inlineStr">
        <is>
          <t>NC State</t>
        </is>
      </c>
      <c r="G75" s="42" t="n">
        <v>-2.6</v>
      </c>
      <c r="H75" s="42" t="n">
        <v>4.2</v>
      </c>
      <c r="I75" s="56" t="n">
        <v>6.8</v>
      </c>
      <c r="J75" s="42" t="n">
        <v>1.4</v>
      </c>
      <c r="K75" s="42" t="n">
        <v>-4.4</v>
      </c>
      <c r="L75" s="42" t="n">
        <v>57.3</v>
      </c>
      <c r="M75" s="42" t="n">
        <v>57</v>
      </c>
      <c r="N75" s="42" t="n">
        <v>0.3</v>
      </c>
      <c r="O75" s="42" t="n">
        <v>28</v>
      </c>
      <c r="P75" s="42" t="n">
        <v>31</v>
      </c>
      <c r="Q75" s="47" t="inlineStr">
        <is>
          <t>Win</t>
        </is>
      </c>
      <c r="R75" s="42" t="n">
        <v>-1.9</v>
      </c>
      <c r="S75" s="52" t="inlineStr">
        <is>
          <t>Win</t>
        </is>
      </c>
      <c r="T75" s="52" t="inlineStr">
        <is>
          <t>Win</t>
        </is>
      </c>
      <c r="U75" s="52" t="inlineStr">
        <is>
          <t>Win</t>
        </is>
      </c>
      <c r="V75" s="52" t="inlineStr">
        <is>
          <t>Win</t>
        </is>
      </c>
    </row>
    <row r="76">
      <c r="A76" s="42" t="n">
        <v>5</v>
      </c>
      <c r="B76" s="42" t="inlineStr">
        <is>
          <t>2026-10-03</t>
        </is>
      </c>
      <c r="C76" s="42" t="inlineStr">
        <is>
          <t>ACC</t>
        </is>
      </c>
      <c r="D76" s="42" t="inlineStr">
        <is>
          <t>FBS Independents</t>
        </is>
      </c>
      <c r="E76" s="42" t="inlineStr">
        <is>
          <t>Notre Dame</t>
        </is>
      </c>
      <c r="F76" s="42" t="inlineStr">
        <is>
          <t>North Carolina</t>
        </is>
      </c>
      <c r="G76" s="42" t="n">
        <v>21.5</v>
      </c>
      <c r="H76" s="42" t="n">
        <v>21</v>
      </c>
      <c r="I76" s="42" t="n">
        <v>-0.5</v>
      </c>
      <c r="J76" s="42" t="n">
        <v>11.2</v>
      </c>
      <c r="K76" s="42" t="n">
        <v>14.4</v>
      </c>
      <c r="L76" s="42" t="n">
        <v>48.3</v>
      </c>
      <c r="M76" s="42" t="n">
        <v>46.5</v>
      </c>
      <c r="N76" s="42" t="n">
        <v>1.8</v>
      </c>
      <c r="O76" s="42" t="n">
        <v>37</v>
      </c>
      <c r="P76" s="42" t="n">
        <v>26</v>
      </c>
      <c r="Q76" s="47" t="inlineStr">
        <is>
          <t>Win</t>
        </is>
      </c>
      <c r="R76" s="42" t="n">
        <v>17.1</v>
      </c>
      <c r="S76" s="53" t="inlineStr">
        <is>
          <t>Loss</t>
        </is>
      </c>
      <c r="T76" s="52" t="inlineStr">
        <is>
          <t>Win</t>
        </is>
      </c>
      <c r="U76" s="52" t="inlineStr">
        <is>
          <t>Win</t>
        </is>
      </c>
      <c r="V76" s="52" t="inlineStr">
        <is>
          <t>Win</t>
        </is>
      </c>
    </row>
    <row r="77">
      <c r="A77" s="42" t="n">
        <v>5</v>
      </c>
      <c r="B77" s="42" t="inlineStr">
        <is>
          <t>2026-10-03</t>
        </is>
      </c>
      <c r="C77" s="42" t="inlineStr">
        <is>
          <t>ACC</t>
        </is>
      </c>
      <c r="D77" s="42" t="inlineStr">
        <is>
          <t>ACC</t>
        </is>
      </c>
      <c r="E77" s="42" t="inlineStr">
        <is>
          <t>Boston College</t>
        </is>
      </c>
      <c r="F77" s="42" t="inlineStr">
        <is>
          <t>SMU</t>
        </is>
      </c>
      <c r="G77" s="42" t="n">
        <v>-16.5</v>
      </c>
      <c r="H77" s="42" t="n">
        <v>-21.5</v>
      </c>
      <c r="I77" s="56" t="n">
        <v>-5</v>
      </c>
      <c r="J77" s="42" t="n">
        <v>-19.4</v>
      </c>
      <c r="K77" s="42" t="n">
        <v>-10.1</v>
      </c>
      <c r="L77" s="42" t="n">
        <v>48.2</v>
      </c>
      <c r="M77" s="42" t="n">
        <v>55.2</v>
      </c>
      <c r="N77" s="47" t="n">
        <v>-7</v>
      </c>
      <c r="O77" s="42" t="n">
        <v>16</v>
      </c>
      <c r="P77" s="42" t="n">
        <v>25</v>
      </c>
      <c r="Q77" s="47" t="inlineStr">
        <is>
          <t>Win</t>
        </is>
      </c>
      <c r="R77" s="42" t="n">
        <v>-20.2</v>
      </c>
      <c r="S77" s="52" t="inlineStr">
        <is>
          <t>Win</t>
        </is>
      </c>
      <c r="T77" s="52" t="inlineStr">
        <is>
          <t>Win</t>
        </is>
      </c>
      <c r="U77" s="52" t="inlineStr">
        <is>
          <t>Win</t>
        </is>
      </c>
      <c r="V77" s="52" t="inlineStr">
        <is>
          <t>Win</t>
        </is>
      </c>
    </row>
    <row r="78">
      <c r="A78" s="42" t="n">
        <v>5</v>
      </c>
      <c r="B78" s="42" t="inlineStr">
        <is>
          <t>2026-10-03</t>
        </is>
      </c>
      <c r="C78" s="42" t="inlineStr">
        <is>
          <t>ACC</t>
        </is>
      </c>
      <c r="D78" s="42" t="inlineStr">
        <is>
          <t>ACC</t>
        </is>
      </c>
      <c r="E78" s="42" t="inlineStr">
        <is>
          <t>Stanford</t>
        </is>
      </c>
      <c r="F78" s="42" t="inlineStr">
        <is>
          <t>Wake Forest</t>
        </is>
      </c>
      <c r="G78" s="42" t="n">
        <v>-15.3</v>
      </c>
      <c r="H78" s="42" t="n">
        <v>-14.5</v>
      </c>
      <c r="I78" s="42" t="n">
        <v>0.8</v>
      </c>
      <c r="J78" s="42" t="n">
        <v>-7.6</v>
      </c>
      <c r="K78" s="42" t="n">
        <v>-13.5</v>
      </c>
      <c r="L78" s="42" t="n">
        <v>56.1</v>
      </c>
      <c r="M78" s="42" t="n">
        <v>54.2</v>
      </c>
      <c r="N78" s="42" t="n">
        <v>1.9</v>
      </c>
      <c r="O78" s="42" t="n">
        <v>3</v>
      </c>
      <c r="P78" s="42" t="n">
        <v>57</v>
      </c>
      <c r="Q78" s="47" t="inlineStr">
        <is>
          <t>Win</t>
        </is>
      </c>
      <c r="R78" s="42" t="n">
        <v>-5.9</v>
      </c>
      <c r="S78" s="52" t="inlineStr">
        <is>
          <t>Win</t>
        </is>
      </c>
      <c r="T78" s="53" t="inlineStr">
        <is>
          <t>Loss</t>
        </is>
      </c>
      <c r="U78" s="53" t="inlineStr">
        <is>
          <t>Loss</t>
        </is>
      </c>
      <c r="V78" s="53" t="inlineStr">
        <is>
          <t>Loss</t>
        </is>
      </c>
    </row>
    <row r="79">
      <c r="A79" s="42" t="n">
        <v>5</v>
      </c>
      <c r="B79" s="42" t="inlineStr">
        <is>
          <t>2026-10-03</t>
        </is>
      </c>
      <c r="C79" s="42" t="inlineStr">
        <is>
          <t>FBS Independents</t>
        </is>
      </c>
      <c r="D79" s="42" t="inlineStr">
        <is>
          <t>ACC</t>
        </is>
      </c>
      <c r="E79" s="42" t="inlineStr">
        <is>
          <t>Syracuse</t>
        </is>
      </c>
      <c r="F79" s="42" t="inlineStr">
        <is>
          <t>UConn</t>
        </is>
      </c>
      <c r="G79" s="42" t="n">
        <v>-2.2</v>
      </c>
      <c r="H79" s="42" t="n">
        <v>6.5</v>
      </c>
      <c r="I79" s="56" t="n">
        <v>8.699999999999999</v>
      </c>
      <c r="J79" s="42" t="n">
        <v>-9.9</v>
      </c>
      <c r="K79" s="42" t="n">
        <v>-0.2</v>
      </c>
      <c r="L79" s="42" t="n">
        <v>47.9</v>
      </c>
      <c r="M79" s="42" t="n">
        <v>51</v>
      </c>
      <c r="N79" s="47" t="n">
        <v>-3.1</v>
      </c>
      <c r="O79" s="42" t="n">
        <v>42</v>
      </c>
      <c r="P79" s="42" t="n">
        <v>41</v>
      </c>
      <c r="Q79" s="48" t="inlineStr">
        <is>
          <t>Loss</t>
        </is>
      </c>
      <c r="R79" s="42" t="n">
        <v>-3.3</v>
      </c>
      <c r="S79" s="52" t="inlineStr">
        <is>
          <t>Win</t>
        </is>
      </c>
      <c r="T79" s="52" t="inlineStr">
        <is>
          <t>Win</t>
        </is>
      </c>
      <c r="U79" s="52" t="inlineStr">
        <is>
          <t>Win</t>
        </is>
      </c>
      <c r="V79" s="52" t="inlineStr">
        <is>
          <t>Win</t>
        </is>
      </c>
    </row>
    <row r="80">
      <c r="A80" s="42" t="n">
        <v>5</v>
      </c>
      <c r="B80" s="42" t="inlineStr">
        <is>
          <t>2026-10-03</t>
        </is>
      </c>
      <c r="C80" s="42" t="inlineStr">
        <is>
          <t>Mountain West</t>
        </is>
      </c>
      <c r="D80" s="42" t="inlineStr">
        <is>
          <t>ACC</t>
        </is>
      </c>
      <c r="E80" s="42" t="inlineStr">
        <is>
          <t>California</t>
        </is>
      </c>
      <c r="F80" s="42" t="inlineStr">
        <is>
          <t>UNLV</t>
        </is>
      </c>
      <c r="G80" s="42" t="n">
        <v>-3.3</v>
      </c>
      <c r="H80" s="42" t="n">
        <v>-1.8</v>
      </c>
      <c r="I80" s="42" t="n">
        <v>1.5</v>
      </c>
      <c r="J80" s="42" t="n">
        <v>-15.5</v>
      </c>
      <c r="K80" s="42" t="n">
        <v>-0.8</v>
      </c>
      <c r="L80" s="42" t="n">
        <v>45.6</v>
      </c>
      <c r="M80" s="42" t="n">
        <v>52.2</v>
      </c>
      <c r="N80" s="47" t="n">
        <v>-6.7</v>
      </c>
      <c r="O80" s="42" t="n">
        <v>31</v>
      </c>
      <c r="P80" s="42" t="n">
        <v>39</v>
      </c>
      <c r="Q80" s="47" t="inlineStr">
        <is>
          <t>Win</t>
        </is>
      </c>
      <c r="R80" s="42" t="n">
        <v>-7.9</v>
      </c>
      <c r="S80" s="52" t="inlineStr">
        <is>
          <t>Win</t>
        </is>
      </c>
      <c r="T80" s="52" t="inlineStr">
        <is>
          <t>Win</t>
        </is>
      </c>
      <c r="U80" s="52" t="inlineStr">
        <is>
          <t>Win</t>
        </is>
      </c>
      <c r="V80" s="53" t="inlineStr">
        <is>
          <t>Loss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0"/>
  <sheetViews>
    <sheetView showGridLines="0" workbookViewId="0">
      <selection activeCell="Q40" sqref="Q40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American Athletic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38-37-2</t>
        </is>
      </c>
      <c r="C3" s="45" t="n">
        <v>0.507</v>
      </c>
    </row>
    <row r="4">
      <c r="A4" s="42" t="inlineStr">
        <is>
          <t>Weekly ATS (Wk 8)</t>
        </is>
      </c>
      <c r="B4" s="42" t="inlineStr">
        <is>
          <t>2-3-0</t>
        </is>
      </c>
      <c r="C4" s="45" t="n">
        <v>0.4</v>
      </c>
    </row>
    <row r="5">
      <c r="A5" s="42" t="inlineStr">
        <is>
          <t>Model pick W-L, straight-up (Wk 8)</t>
        </is>
      </c>
      <c r="B5" s="42" t="inlineStr">
        <is>
          <t>3-2</t>
        </is>
      </c>
      <c r="C5" s="45" t="n">
        <v>0.6</v>
      </c>
    </row>
    <row r="6" ht="15.65" customHeight="1"/>
    <row r="7" ht="15.65" customHeight="1">
      <c r="A7" s="41" t="inlineStr">
        <is>
          <t>American Athletic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UTSA</t>
        </is>
      </c>
      <c r="B9" s="42" t="n">
        <v>4</v>
      </c>
      <c r="C9" s="42" t="n">
        <v>0</v>
      </c>
      <c r="D9" s="42" t="n">
        <v>1</v>
      </c>
      <c r="E9" s="42" t="n">
        <v>7</v>
      </c>
      <c r="F9" s="42" t="n">
        <v>1</v>
      </c>
    </row>
    <row r="10">
      <c r="A10" s="42" t="inlineStr">
        <is>
          <t>North Texas</t>
        </is>
      </c>
      <c r="B10" s="42" t="n">
        <v>3</v>
      </c>
      <c r="C10" s="42" t="n">
        <v>0</v>
      </c>
      <c r="D10" s="42" t="n">
        <v>1</v>
      </c>
      <c r="E10" s="42" t="n">
        <v>5</v>
      </c>
      <c r="F10" s="42" t="n">
        <v>2</v>
      </c>
    </row>
    <row r="11">
      <c r="A11" s="42" t="inlineStr">
        <is>
          <t>Army</t>
        </is>
      </c>
      <c r="B11" s="42" t="n">
        <v>4</v>
      </c>
      <c r="C11" s="42" t="n">
        <v>1</v>
      </c>
      <c r="D11" s="42" t="n">
        <v>0.8</v>
      </c>
      <c r="E11" s="42" t="n">
        <v>5</v>
      </c>
      <c r="F11" s="42" t="n">
        <v>2</v>
      </c>
    </row>
    <row r="12">
      <c r="A12" s="42" t="inlineStr">
        <is>
          <t>Memphis</t>
        </is>
      </c>
      <c r="B12" s="42" t="n">
        <v>3</v>
      </c>
      <c r="C12" s="42" t="n">
        <v>1</v>
      </c>
      <c r="D12" s="42" t="n">
        <v>0.75</v>
      </c>
      <c r="E12" s="42" t="n">
        <v>6</v>
      </c>
      <c r="F12" s="42" t="n">
        <v>2</v>
      </c>
    </row>
    <row r="13">
      <c r="A13" s="42" t="inlineStr">
        <is>
          <t>Florida Atlantic</t>
        </is>
      </c>
      <c r="B13" s="42" t="n">
        <v>2</v>
      </c>
      <c r="C13" s="42" t="n">
        <v>1</v>
      </c>
      <c r="D13" s="42" t="n">
        <v>0.667</v>
      </c>
      <c r="E13" s="42" t="n">
        <v>5</v>
      </c>
      <c r="F13" s="42" t="n">
        <v>2</v>
      </c>
    </row>
    <row r="14">
      <c r="A14" s="42" t="inlineStr">
        <is>
          <t>UAB</t>
        </is>
      </c>
      <c r="B14" s="42" t="n">
        <v>2</v>
      </c>
      <c r="C14" s="42" t="n">
        <v>1</v>
      </c>
      <c r="D14" s="42" t="n">
        <v>0.667</v>
      </c>
      <c r="E14" s="42" t="n">
        <v>4</v>
      </c>
      <c r="F14" s="42" t="n">
        <v>3</v>
      </c>
    </row>
    <row r="15">
      <c r="A15" s="42" t="inlineStr">
        <is>
          <t>South Florida</t>
        </is>
      </c>
      <c r="B15" s="42" t="n">
        <v>1</v>
      </c>
      <c r="C15" s="42" t="n">
        <v>2</v>
      </c>
      <c r="D15" s="42" t="n">
        <v>0.333</v>
      </c>
      <c r="E15" s="42" t="n">
        <v>5</v>
      </c>
      <c r="F15" s="42" t="n">
        <v>2</v>
      </c>
    </row>
    <row r="16">
      <c r="A16" s="42" t="inlineStr">
        <is>
          <t>East Carolina</t>
        </is>
      </c>
      <c r="B16" s="42" t="n">
        <v>1</v>
      </c>
      <c r="C16" s="42" t="n">
        <v>2</v>
      </c>
      <c r="D16" s="42" t="n">
        <v>0.333</v>
      </c>
      <c r="E16" s="42" t="n">
        <v>3</v>
      </c>
      <c r="F16" s="42" t="n">
        <v>4</v>
      </c>
    </row>
    <row r="17">
      <c r="A17" s="42" t="inlineStr">
        <is>
          <t>Tulane</t>
        </is>
      </c>
      <c r="B17" s="42" t="n">
        <v>1</v>
      </c>
      <c r="C17" s="42" t="n">
        <v>2</v>
      </c>
      <c r="D17" s="42" t="n">
        <v>0.333</v>
      </c>
      <c r="E17" s="42" t="n">
        <v>3</v>
      </c>
      <c r="F17" s="42" t="n">
        <v>4</v>
      </c>
    </row>
    <row r="18" ht="26.5" customHeight="1">
      <c r="A18" s="42" t="inlineStr">
        <is>
          <t>Temple</t>
        </is>
      </c>
      <c r="B18" s="42" t="n">
        <v>1</v>
      </c>
      <c r="C18" s="42" t="n">
        <v>2</v>
      </c>
      <c r="D18" s="42" t="n">
        <v>0.333</v>
      </c>
      <c r="E18" s="42" t="n">
        <v>2</v>
      </c>
      <c r="F18" s="42" t="n">
        <v>5</v>
      </c>
    </row>
    <row r="19">
      <c r="A19" s="42" t="inlineStr">
        <is>
          <t>Charlotte</t>
        </is>
      </c>
      <c r="B19" s="42" t="n">
        <v>1</v>
      </c>
      <c r="C19" s="42" t="n">
        <v>2</v>
      </c>
      <c r="D19" s="42" t="n">
        <v>0.333</v>
      </c>
      <c r="E19" s="42" t="n">
        <v>1</v>
      </c>
      <c r="F19" s="42" t="n">
        <v>6</v>
      </c>
    </row>
    <row r="20">
      <c r="A20" s="42" t="inlineStr">
        <is>
          <t>Tulsa</t>
        </is>
      </c>
      <c r="B20" s="42" t="n">
        <v>1</v>
      </c>
      <c r="C20" s="42" t="n">
        <v>3</v>
      </c>
      <c r="D20" s="42" t="n">
        <v>0.25</v>
      </c>
      <c r="E20" s="42" t="n">
        <v>4</v>
      </c>
      <c r="F20" s="42" t="n">
        <v>4</v>
      </c>
    </row>
    <row r="21">
      <c r="A21" s="42" t="inlineStr">
        <is>
          <t>Navy</t>
        </is>
      </c>
      <c r="B21" s="42" t="n">
        <v>1</v>
      </c>
      <c r="C21" s="42" t="n">
        <v>4</v>
      </c>
      <c r="D21" s="42" t="n">
        <v>0.2</v>
      </c>
      <c r="E21" s="42" t="n">
        <v>2</v>
      </c>
      <c r="F21" s="42" t="n">
        <v>5</v>
      </c>
    </row>
    <row r="22">
      <c r="A22" s="42" t="inlineStr">
        <is>
          <t>Rice</t>
        </is>
      </c>
      <c r="B22" s="42" t="n">
        <v>0</v>
      </c>
      <c r="C22" s="42" t="n">
        <v>4</v>
      </c>
      <c r="D22" s="42" t="n">
        <v>0</v>
      </c>
      <c r="E22" s="42" t="n">
        <v>1</v>
      </c>
      <c r="F22" s="42" t="n">
        <v>7</v>
      </c>
    </row>
    <row r="23" ht="26.5" customHeight="1"/>
    <row r="24" ht="26.25" customHeight="1">
      <c r="A24" s="41" t="inlineStr">
        <is>
          <t>Week 9</t>
        </is>
      </c>
    </row>
    <row r="25" ht="26.5" customHeight="1">
      <c r="A25" s="46" t="inlineStr">
        <is>
          <t>Week</t>
        </is>
      </c>
      <c r="B25" s="46" t="inlineStr">
        <is>
          <t>Date</t>
        </is>
      </c>
      <c r="C25" s="46" t="inlineStr">
        <is>
          <t>Home Conf</t>
        </is>
      </c>
      <c r="D25" s="46" t="inlineStr">
        <is>
          <t>Away Conf</t>
        </is>
      </c>
      <c r="E25" s="46" t="inlineStr">
        <is>
          <t>Away Team</t>
        </is>
      </c>
      <c r="F25" s="46" t="inlineStr">
        <is>
          <t>Home Team</t>
        </is>
      </c>
      <c r="G25" s="46" t="inlineStr">
        <is>
          <t>Model Line (Home)</t>
        </is>
      </c>
      <c r="H25" s="46" t="inlineStr">
        <is>
          <t>Market Line (Home)</t>
        </is>
      </c>
      <c r="I25" s="46" t="inlineStr">
        <is>
          <t>Spread Edge (pts)</t>
        </is>
      </c>
      <c r="J25" s="46" t="inlineStr">
        <is>
          <t>Ridge Line (Home)</t>
        </is>
      </c>
      <c r="K25" s="46" t="inlineStr">
        <is>
          <t>Massey Line (Home)</t>
        </is>
      </c>
      <c r="L25" s="46" t="inlineStr">
        <is>
          <t>Model Total</t>
        </is>
      </c>
      <c r="M25" s="46" t="inlineStr">
        <is>
          <t>Market Total</t>
        </is>
      </c>
      <c r="N25" s="46" t="inlineStr">
        <is>
          <t>Total Edge (pts)</t>
        </is>
      </c>
      <c r="O25" s="46" t="inlineStr">
        <is>
          <t>Away Pts</t>
        </is>
      </c>
      <c r="P25" s="46" t="inlineStr">
        <is>
          <t>Home Pts</t>
        </is>
      </c>
      <c r="Q25" s="46" t="inlineStr">
        <is>
          <t>Model Result (SU)</t>
        </is>
      </c>
      <c r="R25" s="46" t="inlineStr">
        <is>
          <t>XGBoost Line (Home)</t>
        </is>
      </c>
      <c r="S25" s="46" t="inlineStr">
        <is>
          <t>Gamma ATS</t>
        </is>
      </c>
      <c r="T25" s="46" t="inlineStr">
        <is>
          <t>Ridge ATS</t>
        </is>
      </c>
      <c r="U25" s="46" t="inlineStr">
        <is>
          <t>XGBoost ATS</t>
        </is>
      </c>
      <c r="V25" s="46" t="inlineStr">
        <is>
          <t>Massey ATS</t>
        </is>
      </c>
    </row>
    <row r="26">
      <c r="A26" s="42" t="n">
        <v>9</v>
      </c>
      <c r="B26" s="42" t="inlineStr">
        <is>
          <t>2026-10-29</t>
        </is>
      </c>
      <c r="C26" s="42" t="inlineStr">
        <is>
          <t>American Athletic</t>
        </is>
      </c>
      <c r="D26" s="42" t="inlineStr">
        <is>
          <t>American Athletic</t>
        </is>
      </c>
      <c r="E26" s="42" t="inlineStr">
        <is>
          <t>Florida Atlantic</t>
        </is>
      </c>
      <c r="F26" s="42" t="inlineStr">
        <is>
          <t>North Texas</t>
        </is>
      </c>
      <c r="G26" s="42" t="n">
        <v>-15.3</v>
      </c>
      <c r="H26" s="42" t="n">
        <v>-13.5</v>
      </c>
      <c r="I26" s="42" t="n">
        <v>1.8</v>
      </c>
      <c r="J26" s="42" t="n">
        <v>-8.4</v>
      </c>
      <c r="K26" s="42" t="n">
        <v>-13.2</v>
      </c>
      <c r="L26" s="42" t="n">
        <v>63.9</v>
      </c>
      <c r="M26" s="42" t="n">
        <v>73.5</v>
      </c>
      <c r="N26" s="47" t="n">
        <v>-9.6</v>
      </c>
      <c r="O26" s="42" t="n"/>
      <c r="P26" s="42" t="n"/>
      <c r="Q26" s="42" t="n"/>
      <c r="R26" s="42" t="n">
        <v>-13.2</v>
      </c>
      <c r="S26" s="51" t="n"/>
      <c r="T26" s="51" t="n"/>
      <c r="U26" s="51" t="n"/>
      <c r="V26" s="51" t="n"/>
    </row>
    <row r="27">
      <c r="A27" s="42" t="n">
        <v>9</v>
      </c>
      <c r="B27" s="42" t="inlineStr">
        <is>
          <t>2026-10-30</t>
        </is>
      </c>
      <c r="C27" s="42" t="inlineStr">
        <is>
          <t>American Athletic</t>
        </is>
      </c>
      <c r="D27" s="42" t="inlineStr">
        <is>
          <t>American Athletic</t>
        </is>
      </c>
      <c r="E27" s="42" t="inlineStr">
        <is>
          <t>Tulane</t>
        </is>
      </c>
      <c r="F27" s="42" t="inlineStr">
        <is>
          <t>Charlotte</t>
        </is>
      </c>
      <c r="G27" s="42" t="n">
        <v>14</v>
      </c>
      <c r="H27" s="42" t="n">
        <v>10.5</v>
      </c>
      <c r="I27" s="47" t="n">
        <v>-3.5</v>
      </c>
      <c r="J27" s="42" t="n">
        <v>15.7</v>
      </c>
      <c r="K27" s="42" t="n">
        <v>10.8</v>
      </c>
      <c r="L27" s="42" t="n">
        <v>50.9</v>
      </c>
      <c r="M27" s="42" t="n">
        <v>46.5</v>
      </c>
      <c r="N27" s="47" t="n">
        <v>4.4</v>
      </c>
      <c r="O27" s="42" t="n"/>
      <c r="P27" s="42" t="n"/>
      <c r="Q27" s="42" t="n"/>
      <c r="R27" s="42" t="n">
        <v>14.2</v>
      </c>
      <c r="S27" s="51" t="n"/>
      <c r="T27" s="51" t="n"/>
      <c r="U27" s="51" t="n"/>
      <c r="V27" s="51" t="n"/>
    </row>
    <row r="28">
      <c r="A28" s="42" t="n">
        <v>9</v>
      </c>
      <c r="B28" s="42" t="inlineStr">
        <is>
          <t>2026-10-31</t>
        </is>
      </c>
      <c r="C28" s="42" t="inlineStr">
        <is>
          <t>American Athletic</t>
        </is>
      </c>
      <c r="D28" s="42" t="inlineStr">
        <is>
          <t>American Athletic</t>
        </is>
      </c>
      <c r="E28" s="42" t="inlineStr">
        <is>
          <t>Temple</t>
        </is>
      </c>
      <c r="F28" s="42" t="inlineStr">
        <is>
          <t>East Carolina</t>
        </is>
      </c>
      <c r="G28" s="42" t="n">
        <v>-9.199999999999999</v>
      </c>
      <c r="H28" s="42" t="n">
        <v>-5.5</v>
      </c>
      <c r="I28" s="47" t="n">
        <v>3.7</v>
      </c>
      <c r="J28" s="42" t="n">
        <v>-11.1</v>
      </c>
      <c r="K28" s="42" t="n">
        <v>-3.7</v>
      </c>
      <c r="L28" s="42" t="n">
        <v>51.4</v>
      </c>
      <c r="M28" s="42" t="n">
        <v>50.5</v>
      </c>
      <c r="N28" s="42" t="n">
        <v>0.9</v>
      </c>
      <c r="O28" s="42" t="n"/>
      <c r="P28" s="42" t="n"/>
      <c r="Q28" s="42" t="n"/>
      <c r="R28" s="42" t="n">
        <v>-8</v>
      </c>
      <c r="S28" s="51" t="n"/>
      <c r="T28" s="51" t="n"/>
      <c r="U28" s="51" t="n"/>
      <c r="V28" s="51" t="n"/>
    </row>
    <row r="29">
      <c r="A29" s="42" t="n">
        <v>9</v>
      </c>
      <c r="B29" s="42" t="inlineStr">
        <is>
          <t>2026-10-31</t>
        </is>
      </c>
      <c r="C29" s="42" t="inlineStr">
        <is>
          <t>American Athletic</t>
        </is>
      </c>
      <c r="D29" s="42" t="inlineStr">
        <is>
          <t>FBS Independents</t>
        </is>
      </c>
      <c r="E29" s="42" t="inlineStr">
        <is>
          <t>Notre Dame</t>
        </is>
      </c>
      <c r="F29" s="42" t="inlineStr">
        <is>
          <t>Navy</t>
        </is>
      </c>
      <c r="G29" s="42" t="n">
        <v>20</v>
      </c>
      <c r="H29" s="42" t="n">
        <v>29.5</v>
      </c>
      <c r="I29" s="56" t="n">
        <v>9.5</v>
      </c>
      <c r="J29" s="42" t="n">
        <v>23.7</v>
      </c>
      <c r="K29" s="42" t="n">
        <v>23.7</v>
      </c>
      <c r="L29" s="42" t="n">
        <v>55.8</v>
      </c>
      <c r="M29" s="42" t="n">
        <v>54.5</v>
      </c>
      <c r="N29" s="42" t="n">
        <v>1.3</v>
      </c>
      <c r="O29" s="42" t="n"/>
      <c r="P29" s="42" t="n"/>
      <c r="Q29" s="42" t="n"/>
      <c r="R29" s="42" t="n">
        <v>20.1</v>
      </c>
      <c r="S29" s="51" t="n"/>
      <c r="T29" s="51" t="n"/>
      <c r="U29" s="51" t="n"/>
      <c r="V29" s="51" t="n"/>
    </row>
    <row r="30">
      <c r="A30" s="42" t="n">
        <v>9</v>
      </c>
      <c r="B30" s="42" t="inlineStr">
        <is>
          <t>2026-10-31</t>
        </is>
      </c>
      <c r="C30" s="42" t="inlineStr">
        <is>
          <t>American Athletic</t>
        </is>
      </c>
      <c r="D30" s="42" t="inlineStr">
        <is>
          <t>American Athletic</t>
        </is>
      </c>
      <c r="E30" s="42" t="inlineStr">
        <is>
          <t>UAB</t>
        </is>
      </c>
      <c r="F30" s="42" t="inlineStr">
        <is>
          <t>South Florida</t>
        </is>
      </c>
      <c r="G30" s="42" t="n">
        <v>-13.7</v>
      </c>
      <c r="H30" s="42" t="n">
        <v>-7.5</v>
      </c>
      <c r="I30" s="56" t="n">
        <v>6.2</v>
      </c>
      <c r="J30" s="42" t="n">
        <v>-8.300000000000001</v>
      </c>
      <c r="K30" s="42" t="n">
        <v>-10.4</v>
      </c>
      <c r="L30" s="42" t="n">
        <v>50.9</v>
      </c>
      <c r="M30" s="42" t="n">
        <v>41.5</v>
      </c>
      <c r="N30" s="47" t="n">
        <v>9.4</v>
      </c>
      <c r="O30" s="42" t="n"/>
      <c r="P30" s="42" t="n"/>
      <c r="Q30" s="42" t="n"/>
      <c r="R30" s="42" t="n">
        <v>-8.1</v>
      </c>
      <c r="S30" s="51" t="n"/>
      <c r="T30" s="51" t="n"/>
      <c r="U30" s="51" t="n"/>
      <c r="V30" s="51" t="n"/>
    </row>
    <row r="31">
      <c r="A31" s="42" t="n">
        <v>9</v>
      </c>
      <c r="B31" s="42" t="inlineStr">
        <is>
          <t>2026-11-01</t>
        </is>
      </c>
      <c r="C31" s="42" t="inlineStr">
        <is>
          <t>American Athletic</t>
        </is>
      </c>
      <c r="D31" s="42" t="inlineStr">
        <is>
          <t>American Athletic</t>
        </is>
      </c>
      <c r="E31" s="42" t="inlineStr">
        <is>
          <t>Army</t>
        </is>
      </c>
      <c r="F31" s="42" t="inlineStr">
        <is>
          <t>Memphis</t>
        </is>
      </c>
      <c r="G31" s="42" t="n">
        <v>-4.6</v>
      </c>
      <c r="H31" s="42" t="n">
        <v>-6.5</v>
      </c>
      <c r="I31" s="42" t="n">
        <v>-1.9</v>
      </c>
      <c r="J31" s="42" t="n">
        <v>-7</v>
      </c>
      <c r="K31" s="42" t="n">
        <v>-1.1</v>
      </c>
      <c r="L31" s="42" t="n">
        <v>57.6</v>
      </c>
      <c r="M31" s="42" t="n">
        <v>58.5</v>
      </c>
      <c r="N31" s="42" t="n">
        <v>-0.9</v>
      </c>
      <c r="O31" s="42" t="n"/>
      <c r="P31" s="42" t="n"/>
      <c r="Q31" s="42" t="n"/>
      <c r="R31" s="42" t="n">
        <v>-5.6</v>
      </c>
      <c r="S31" s="51" t="n"/>
      <c r="T31" s="51" t="n"/>
      <c r="U31" s="51" t="n"/>
      <c r="V31" s="51" t="n"/>
    </row>
    <row r="32" ht="15.75" customHeight="1"/>
    <row r="33" ht="15.75" customHeight="1">
      <c r="A33" s="41" t="inlineStr">
        <is>
          <t>Week 8</t>
        </is>
      </c>
    </row>
    <row r="34" ht="26.25" customHeight="1">
      <c r="A34" s="46" t="inlineStr">
        <is>
          <t>Week</t>
        </is>
      </c>
      <c r="B34" s="46" t="inlineStr">
        <is>
          <t>Date</t>
        </is>
      </c>
      <c r="C34" s="46" t="inlineStr">
        <is>
          <t>Home Conf</t>
        </is>
      </c>
      <c r="D34" s="46" t="inlineStr">
        <is>
          <t>Away Conf</t>
        </is>
      </c>
      <c r="E34" s="46" t="inlineStr">
        <is>
          <t>Away Team</t>
        </is>
      </c>
      <c r="F34" s="46" t="inlineStr">
        <is>
          <t>Home Team</t>
        </is>
      </c>
      <c r="G34" s="46" t="inlineStr">
        <is>
          <t>Model Line (Home)</t>
        </is>
      </c>
      <c r="H34" s="46" t="inlineStr">
        <is>
          <t>Market Line (Home)</t>
        </is>
      </c>
      <c r="I34" s="46" t="inlineStr">
        <is>
          <t>Spread Edge (pts)</t>
        </is>
      </c>
      <c r="J34" s="46" t="inlineStr">
        <is>
          <t>Ridge Line (Home)</t>
        </is>
      </c>
      <c r="K34" s="46" t="inlineStr">
        <is>
          <t>Massey Line (Home)</t>
        </is>
      </c>
      <c r="L34" s="46" t="inlineStr">
        <is>
          <t>Model Total</t>
        </is>
      </c>
      <c r="M34" s="46" t="inlineStr">
        <is>
          <t>Market Total</t>
        </is>
      </c>
      <c r="N34" s="46" t="inlineStr">
        <is>
          <t>Total Edge (pts)</t>
        </is>
      </c>
      <c r="O34" s="46" t="inlineStr">
        <is>
          <t>Away Pts</t>
        </is>
      </c>
      <c r="P34" s="46" t="inlineStr">
        <is>
          <t>Home Pts</t>
        </is>
      </c>
      <c r="Q34" s="46" t="inlineStr">
        <is>
          <t>Model Result (SU)</t>
        </is>
      </c>
      <c r="R34" s="46" t="inlineStr">
        <is>
          <t>XGBoost Line (Home)</t>
        </is>
      </c>
      <c r="S34" s="46" t="inlineStr">
        <is>
          <t>Gamma ATS</t>
        </is>
      </c>
      <c r="T34" s="46" t="inlineStr">
        <is>
          <t>Ridge ATS</t>
        </is>
      </c>
      <c r="U34" s="46" t="inlineStr">
        <is>
          <t>XGBoost ATS</t>
        </is>
      </c>
      <c r="V34" s="46" t="inlineStr">
        <is>
          <t>Massey ATS</t>
        </is>
      </c>
    </row>
    <row r="35" ht="26.5" customHeight="1">
      <c r="A35" s="42" t="n">
        <v>8</v>
      </c>
      <c r="B35" s="42" t="inlineStr">
        <is>
          <t>2026-10-22</t>
        </is>
      </c>
      <c r="C35" s="42" t="inlineStr">
        <is>
          <t>American Athletic</t>
        </is>
      </c>
      <c r="D35" s="42" t="inlineStr">
        <is>
          <t>American Athletic</t>
        </is>
      </c>
      <c r="E35" s="42" t="inlineStr">
        <is>
          <t>East Carolina</t>
        </is>
      </c>
      <c r="F35" s="42" t="inlineStr">
        <is>
          <t>Memphis</t>
        </is>
      </c>
      <c r="G35" s="42" t="n">
        <v>-5.8</v>
      </c>
      <c r="H35" s="42" t="n">
        <v>-10.5</v>
      </c>
      <c r="I35" s="56" t="n">
        <v>-4.7</v>
      </c>
      <c r="J35" s="42" t="n">
        <v>-7.2</v>
      </c>
      <c r="K35" s="42" t="n">
        <v>-12.7</v>
      </c>
      <c r="L35" s="42" t="n">
        <v>49.1</v>
      </c>
      <c r="M35" s="42" t="n">
        <v>55.5</v>
      </c>
      <c r="N35" s="47" t="n">
        <v>-6.4</v>
      </c>
      <c r="O35" s="42" t="n">
        <v>34</v>
      </c>
      <c r="P35" s="42" t="n">
        <v>41</v>
      </c>
      <c r="Q35" s="47" t="inlineStr">
        <is>
          <t>Win</t>
        </is>
      </c>
      <c r="R35" s="42" t="n">
        <v>-5.3</v>
      </c>
      <c r="S35" s="52" t="inlineStr">
        <is>
          <t>Win</t>
        </is>
      </c>
      <c r="T35" s="52" t="inlineStr">
        <is>
          <t>Win</t>
        </is>
      </c>
      <c r="U35" s="52" t="inlineStr">
        <is>
          <t>Win</t>
        </is>
      </c>
      <c r="V35" s="53" t="inlineStr">
        <is>
          <t>Loss</t>
        </is>
      </c>
    </row>
    <row r="36">
      <c r="A36" s="42" t="n">
        <v>8</v>
      </c>
      <c r="B36" s="42" t="inlineStr">
        <is>
          <t>2026-10-24</t>
        </is>
      </c>
      <c r="C36" s="42" t="inlineStr">
        <is>
          <t>American Athletic</t>
        </is>
      </c>
      <c r="D36" s="42" t="inlineStr">
        <is>
          <t>American Athletic</t>
        </is>
      </c>
      <c r="E36" s="42" t="inlineStr">
        <is>
          <t>Rice</t>
        </is>
      </c>
      <c r="F36" s="42" t="inlineStr">
        <is>
          <t>Florida Atlantic</t>
        </is>
      </c>
      <c r="G36" s="42" t="n">
        <v>-9</v>
      </c>
      <c r="H36" s="42" t="n">
        <v>-8.5</v>
      </c>
      <c r="I36" s="42" t="n">
        <v>0.5</v>
      </c>
      <c r="J36" s="42" t="n">
        <v>-10.1</v>
      </c>
      <c r="K36" s="42" t="n">
        <v>-10.5</v>
      </c>
      <c r="L36" s="42" t="n">
        <v>55.2</v>
      </c>
      <c r="M36" s="42" t="n">
        <v>53.8</v>
      </c>
      <c r="N36" s="42" t="n">
        <v>1.5</v>
      </c>
      <c r="O36" s="42" t="n">
        <v>49</v>
      </c>
      <c r="P36" s="42" t="n">
        <v>51</v>
      </c>
      <c r="Q36" s="47" t="inlineStr">
        <is>
          <t>Win</t>
        </is>
      </c>
      <c r="R36" s="42" t="n">
        <v>-8.9</v>
      </c>
      <c r="S36" s="53" t="inlineStr">
        <is>
          <t>Loss</t>
        </is>
      </c>
      <c r="T36" s="53" t="inlineStr">
        <is>
          <t>Loss</t>
        </is>
      </c>
      <c r="U36" s="53" t="inlineStr">
        <is>
          <t>Loss</t>
        </is>
      </c>
      <c r="V36" s="53" t="inlineStr">
        <is>
          <t>Loss</t>
        </is>
      </c>
    </row>
    <row r="37">
      <c r="A37" s="42" t="n">
        <v>8</v>
      </c>
      <c r="B37" s="42" t="inlineStr">
        <is>
          <t>2026-10-24</t>
        </is>
      </c>
      <c r="C37" s="42" t="inlineStr">
        <is>
          <t>American Athletic</t>
        </is>
      </c>
      <c r="D37" s="42" t="inlineStr">
        <is>
          <t>American Athletic</t>
        </is>
      </c>
      <c r="E37" s="42" t="inlineStr">
        <is>
          <t>North Texas</t>
        </is>
      </c>
      <c r="F37" s="42" t="inlineStr">
        <is>
          <t>Navy</t>
        </is>
      </c>
      <c r="G37" s="42" t="n">
        <v>-5.8</v>
      </c>
      <c r="H37" s="42" t="n">
        <v>3</v>
      </c>
      <c r="I37" s="56" t="n">
        <v>8.800000000000001</v>
      </c>
      <c r="J37" s="42" t="n">
        <v>2.2</v>
      </c>
      <c r="K37" s="42" t="n">
        <v>4.7</v>
      </c>
      <c r="L37" s="42" t="n">
        <v>60.7</v>
      </c>
      <c r="M37" s="42" t="n">
        <v>62.2</v>
      </c>
      <c r="N37" s="42" t="n">
        <v>-1.6</v>
      </c>
      <c r="O37" s="42" t="n">
        <v>49</v>
      </c>
      <c r="P37" s="42" t="n">
        <v>39</v>
      </c>
      <c r="Q37" s="48" t="inlineStr">
        <is>
          <t>Loss</t>
        </is>
      </c>
      <c r="R37" s="42" t="n">
        <v>-0.6</v>
      </c>
      <c r="S37" s="53" t="inlineStr">
        <is>
          <t>Loss</t>
        </is>
      </c>
      <c r="T37" s="52" t="inlineStr">
        <is>
          <t>Win</t>
        </is>
      </c>
      <c r="U37" s="53" t="inlineStr">
        <is>
          <t>Loss</t>
        </is>
      </c>
      <c r="V37" s="52" t="inlineStr">
        <is>
          <t>Win</t>
        </is>
      </c>
    </row>
    <row r="38">
      <c r="A38" s="42" t="n">
        <v>8</v>
      </c>
      <c r="B38" s="42" t="inlineStr">
        <is>
          <t>2026-10-24</t>
        </is>
      </c>
      <c r="C38" s="42" t="inlineStr">
        <is>
          <t>American Athletic</t>
        </is>
      </c>
      <c r="D38" s="42" t="inlineStr">
        <is>
          <t>American Athletic</t>
        </is>
      </c>
      <c r="E38" s="42" t="inlineStr">
        <is>
          <t>Army</t>
        </is>
      </c>
      <c r="F38" s="42" t="inlineStr">
        <is>
          <t>Tulsa</t>
        </is>
      </c>
      <c r="G38" s="42" t="n">
        <v>3.2</v>
      </c>
      <c r="H38" s="42" t="n">
        <v>-1.2</v>
      </c>
      <c r="I38" s="56" t="n">
        <v>-4.4</v>
      </c>
      <c r="J38" s="42" t="n">
        <v>2.4</v>
      </c>
      <c r="K38" s="42" t="n">
        <v>1.8</v>
      </c>
      <c r="L38" s="42" t="n">
        <v>56.2</v>
      </c>
      <c r="M38" s="42" t="n">
        <v>52.8</v>
      </c>
      <c r="N38" s="47" t="n">
        <v>3.4</v>
      </c>
      <c r="O38" s="42" t="n">
        <v>38</v>
      </c>
      <c r="P38" s="42" t="n">
        <v>35</v>
      </c>
      <c r="Q38" s="47" t="inlineStr">
        <is>
          <t>Win</t>
        </is>
      </c>
      <c r="R38" s="42" t="n">
        <v>7.9</v>
      </c>
      <c r="S38" s="52" t="inlineStr">
        <is>
          <t>Win</t>
        </is>
      </c>
      <c r="T38" s="52" t="inlineStr">
        <is>
          <t>Win</t>
        </is>
      </c>
      <c r="U38" s="52" t="inlineStr">
        <is>
          <t>Win</t>
        </is>
      </c>
      <c r="V38" s="52" t="inlineStr">
        <is>
          <t>Win</t>
        </is>
      </c>
    </row>
    <row r="39">
      <c r="A39" s="42" t="n">
        <v>8</v>
      </c>
      <c r="B39" s="42" t="inlineStr">
        <is>
          <t>2026-10-25</t>
        </is>
      </c>
      <c r="C39" s="42" t="inlineStr">
        <is>
          <t>American Athletic</t>
        </is>
      </c>
      <c r="D39" s="42" t="inlineStr">
        <is>
          <t>American Athletic</t>
        </is>
      </c>
      <c r="E39" s="42" t="inlineStr">
        <is>
          <t>UTSA</t>
        </is>
      </c>
      <c r="F39" s="42" t="inlineStr">
        <is>
          <t>Tulane</t>
        </is>
      </c>
      <c r="G39" s="42" t="n">
        <v>-1.4</v>
      </c>
      <c r="H39" s="42" t="n">
        <v>3</v>
      </c>
      <c r="I39" s="56" t="n">
        <v>4.4</v>
      </c>
      <c r="J39" s="42" t="n">
        <v>0.8</v>
      </c>
      <c r="K39" s="42" t="n">
        <v>-1.1</v>
      </c>
      <c r="L39" s="42" t="n">
        <v>55.2</v>
      </c>
      <c r="M39" s="42" t="n">
        <v>51.5</v>
      </c>
      <c r="N39" s="47" t="n">
        <v>3.7</v>
      </c>
      <c r="O39" s="42" t="n">
        <v>42</v>
      </c>
      <c r="P39" s="42" t="n">
        <v>19</v>
      </c>
      <c r="Q39" s="48" t="inlineStr">
        <is>
          <t>Loss</t>
        </is>
      </c>
      <c r="R39" s="42" t="n">
        <v>0</v>
      </c>
      <c r="S39" s="53" t="inlineStr">
        <is>
          <t>Loss</t>
        </is>
      </c>
      <c r="T39" s="53" t="inlineStr">
        <is>
          <t>Loss</t>
        </is>
      </c>
      <c r="U39" s="53" t="inlineStr">
        <is>
          <t>Loss</t>
        </is>
      </c>
      <c r="V39" s="53" t="inlineStr">
        <is>
          <t>Loss</t>
        </is>
      </c>
    </row>
    <row r="41">
      <c r="A41" s="41" t="inlineStr">
        <is>
          <t>Week 7</t>
        </is>
      </c>
    </row>
    <row r="42" ht="15.75" customHeight="1">
      <c r="A42" s="46" t="inlineStr">
        <is>
          <t>Week</t>
        </is>
      </c>
      <c r="B42" s="46" t="inlineStr">
        <is>
          <t>Date</t>
        </is>
      </c>
      <c r="C42" s="46" t="inlineStr">
        <is>
          <t>Home Conf</t>
        </is>
      </c>
      <c r="D42" s="46" t="inlineStr">
        <is>
          <t>Away Conf</t>
        </is>
      </c>
      <c r="E42" s="46" t="inlineStr">
        <is>
          <t>Away Team</t>
        </is>
      </c>
      <c r="F42" s="46" t="inlineStr">
        <is>
          <t>Home Team</t>
        </is>
      </c>
      <c r="G42" s="46" t="inlineStr">
        <is>
          <t>Model Line (Home)</t>
        </is>
      </c>
      <c r="H42" s="46" t="inlineStr">
        <is>
          <t>Market Line (Home)</t>
        </is>
      </c>
      <c r="I42" s="46" t="inlineStr">
        <is>
          <t>Spread Edge (pts)</t>
        </is>
      </c>
      <c r="J42" s="46" t="inlineStr">
        <is>
          <t>Ridge Line (Home)</t>
        </is>
      </c>
      <c r="K42" s="46" t="inlineStr">
        <is>
          <t>Massey Line (Home)</t>
        </is>
      </c>
      <c r="L42" s="46" t="inlineStr">
        <is>
          <t>Model Total</t>
        </is>
      </c>
      <c r="M42" s="46" t="inlineStr">
        <is>
          <t>Market Total</t>
        </is>
      </c>
      <c r="N42" s="46" t="inlineStr">
        <is>
          <t>Total Edge (pts)</t>
        </is>
      </c>
      <c r="O42" s="46" t="inlineStr">
        <is>
          <t>Away Pts</t>
        </is>
      </c>
      <c r="P42" s="46" t="inlineStr">
        <is>
          <t>Home Pts</t>
        </is>
      </c>
      <c r="Q42" s="46" t="inlineStr">
        <is>
          <t>Model Result (SU)</t>
        </is>
      </c>
      <c r="R42" s="46" t="inlineStr">
        <is>
          <t>XGBoost Line (Home)</t>
        </is>
      </c>
      <c r="S42" s="46" t="inlineStr">
        <is>
          <t>Gamma ATS</t>
        </is>
      </c>
      <c r="T42" s="46" t="inlineStr">
        <is>
          <t>Ridge ATS</t>
        </is>
      </c>
      <c r="U42" s="46" t="inlineStr">
        <is>
          <t>XGBoost ATS</t>
        </is>
      </c>
      <c r="V42" s="46" t="inlineStr">
        <is>
          <t>Massey ATS</t>
        </is>
      </c>
    </row>
    <row r="43" ht="26.25" customHeight="1">
      <c r="A43" s="42" t="n">
        <v>7</v>
      </c>
      <c r="B43" s="42" t="inlineStr">
        <is>
          <t>2026-10-15</t>
        </is>
      </c>
      <c r="C43" s="42" t="inlineStr">
        <is>
          <t>American Athletic</t>
        </is>
      </c>
      <c r="D43" s="42" t="inlineStr">
        <is>
          <t>American Athletic</t>
        </is>
      </c>
      <c r="E43" s="42" t="inlineStr">
        <is>
          <t>East Carolina</t>
        </is>
      </c>
      <c r="F43" s="42" t="inlineStr">
        <is>
          <t>UAB</t>
        </is>
      </c>
      <c r="G43" s="42" t="n">
        <v>9.1</v>
      </c>
      <c r="H43" s="42" t="n">
        <v>5.5</v>
      </c>
      <c r="I43" s="47" t="n">
        <v>-3.6</v>
      </c>
      <c r="J43" s="42" t="n">
        <v>5.1</v>
      </c>
      <c r="K43" s="42" t="n">
        <v>1.9</v>
      </c>
      <c r="L43" s="42" t="n">
        <v>47.2</v>
      </c>
      <c r="M43" s="42" t="n">
        <v>48.2</v>
      </c>
      <c r="N43" s="42" t="n">
        <v>-1.1</v>
      </c>
      <c r="O43" s="42" t="n">
        <v>17</v>
      </c>
      <c r="P43" s="42" t="n">
        <v>30</v>
      </c>
      <c r="Q43" s="48" t="inlineStr">
        <is>
          <t>Loss</t>
        </is>
      </c>
      <c r="R43" s="42" t="n">
        <v>6.3</v>
      </c>
      <c r="S43" s="53" t="inlineStr">
        <is>
          <t>Loss</t>
        </is>
      </c>
      <c r="T43" s="53" t="inlineStr">
        <is>
          <t>Loss</t>
        </is>
      </c>
      <c r="U43" s="53" t="inlineStr">
        <is>
          <t>Loss</t>
        </is>
      </c>
      <c r="V43" s="52" t="inlineStr">
        <is>
          <t>Win</t>
        </is>
      </c>
    </row>
    <row r="44" ht="15.75" customHeight="1">
      <c r="A44" s="42" t="n">
        <v>7</v>
      </c>
      <c r="B44" s="42" t="inlineStr">
        <is>
          <t>2026-10-16</t>
        </is>
      </c>
      <c r="C44" s="42" t="inlineStr">
        <is>
          <t>American Athletic</t>
        </is>
      </c>
      <c r="D44" s="42" t="inlineStr">
        <is>
          <t>American Athletic</t>
        </is>
      </c>
      <c r="E44" s="42" t="inlineStr">
        <is>
          <t>Memphis</t>
        </is>
      </c>
      <c r="F44" s="42" t="inlineStr">
        <is>
          <t>Tulane</t>
        </is>
      </c>
      <c r="G44" s="42" t="n">
        <v>2.3</v>
      </c>
      <c r="H44" s="42" t="n">
        <v>7</v>
      </c>
      <c r="I44" s="56" t="n">
        <v>4.7</v>
      </c>
      <c r="J44" s="42" t="n">
        <v>-0.2</v>
      </c>
      <c r="K44" s="42" t="n">
        <v>8.199999999999999</v>
      </c>
      <c r="L44" s="42" t="n">
        <v>56.4</v>
      </c>
      <c r="M44" s="42" t="n">
        <v>55.5</v>
      </c>
      <c r="N44" s="42" t="n">
        <v>0.9</v>
      </c>
      <c r="O44" s="42" t="n">
        <v>17</v>
      </c>
      <c r="P44" s="42" t="n">
        <v>31</v>
      </c>
      <c r="Q44" s="48" t="inlineStr">
        <is>
          <t>Loss</t>
        </is>
      </c>
      <c r="R44" s="42" t="n">
        <v>-2.8</v>
      </c>
      <c r="S44" s="52" t="inlineStr">
        <is>
          <t>Win</t>
        </is>
      </c>
      <c r="T44" s="52" t="inlineStr">
        <is>
          <t>Win</t>
        </is>
      </c>
      <c r="U44" s="52" t="inlineStr">
        <is>
          <t>Win</t>
        </is>
      </c>
      <c r="V44" s="53" t="inlineStr">
        <is>
          <t>Loss</t>
        </is>
      </c>
    </row>
    <row r="45" ht="26.25" customHeight="1">
      <c r="A45" s="42" t="n">
        <v>7</v>
      </c>
      <c r="B45" s="42" t="inlineStr">
        <is>
          <t>2026-10-17</t>
        </is>
      </c>
      <c r="C45" s="42" t="inlineStr">
        <is>
          <t>American Athletic</t>
        </is>
      </c>
      <c r="D45" s="42" t="inlineStr">
        <is>
          <t>American Athletic</t>
        </is>
      </c>
      <c r="E45" s="42" t="inlineStr">
        <is>
          <t>Florida Atlantic</t>
        </is>
      </c>
      <c r="F45" s="42" t="inlineStr">
        <is>
          <t>Army</t>
        </is>
      </c>
      <c r="G45" s="42" t="n">
        <v>-9.5</v>
      </c>
      <c r="H45" s="42" t="n">
        <v>-2.8</v>
      </c>
      <c r="I45" s="56" t="n">
        <v>6.7</v>
      </c>
      <c r="J45" s="42" t="n">
        <v>-2.9</v>
      </c>
      <c r="K45" s="42" t="n">
        <v>-6</v>
      </c>
      <c r="L45" s="42" t="n">
        <v>59.7</v>
      </c>
      <c r="M45" s="42" t="n">
        <v>54.8</v>
      </c>
      <c r="N45" s="47" t="n">
        <v>5</v>
      </c>
      <c r="O45" s="42" t="n">
        <v>24</v>
      </c>
      <c r="P45" s="42" t="n">
        <v>56</v>
      </c>
      <c r="Q45" s="47" t="inlineStr">
        <is>
          <t>Win</t>
        </is>
      </c>
      <c r="R45" s="42" t="n">
        <v>-12.1</v>
      </c>
      <c r="S45" s="52" t="inlineStr">
        <is>
          <t>Win</t>
        </is>
      </c>
      <c r="T45" s="52" t="inlineStr">
        <is>
          <t>Win</t>
        </is>
      </c>
      <c r="U45" s="52" t="inlineStr">
        <is>
          <t>Win</t>
        </is>
      </c>
      <c r="V45" s="52" t="inlineStr">
        <is>
          <t>Win</t>
        </is>
      </c>
    </row>
    <row r="46">
      <c r="A46" s="42" t="n">
        <v>7</v>
      </c>
      <c r="B46" s="42" t="inlineStr">
        <is>
          <t>2026-10-17</t>
        </is>
      </c>
      <c r="C46" s="42" t="inlineStr">
        <is>
          <t>American Athletic</t>
        </is>
      </c>
      <c r="D46" s="42" t="inlineStr">
        <is>
          <t>American Athletic</t>
        </is>
      </c>
      <c r="E46" s="42" t="inlineStr">
        <is>
          <t>Tulsa</t>
        </is>
      </c>
      <c r="F46" s="42" t="inlineStr">
        <is>
          <t>Rice</t>
        </is>
      </c>
      <c r="G46" s="42" t="n">
        <v>3</v>
      </c>
      <c r="H46" s="42" t="n">
        <v>4</v>
      </c>
      <c r="I46" s="42" t="n">
        <v>1</v>
      </c>
      <c r="J46" s="42" t="n">
        <v>-1.8</v>
      </c>
      <c r="K46" s="42" t="n">
        <v>6.6</v>
      </c>
      <c r="L46" s="42" t="n">
        <v>47.9</v>
      </c>
      <c r="M46" s="42" t="n">
        <v>46.5</v>
      </c>
      <c r="N46" s="42" t="n">
        <v>1.4</v>
      </c>
      <c r="O46" s="42" t="n">
        <v>38</v>
      </c>
      <c r="P46" s="42" t="n">
        <v>17</v>
      </c>
      <c r="Q46" s="47" t="inlineStr">
        <is>
          <t>Win</t>
        </is>
      </c>
      <c r="R46" s="42" t="n">
        <v>0.7</v>
      </c>
      <c r="S46" s="53" t="inlineStr">
        <is>
          <t>Loss</t>
        </is>
      </c>
      <c r="T46" s="53" t="inlineStr">
        <is>
          <t>Loss</t>
        </is>
      </c>
      <c r="U46" s="53" t="inlineStr">
        <is>
          <t>Loss</t>
        </is>
      </c>
      <c r="V46" s="52" t="inlineStr">
        <is>
          <t>Win</t>
        </is>
      </c>
    </row>
    <row r="47">
      <c r="A47" s="42" t="n">
        <v>7</v>
      </c>
      <c r="B47" s="42" t="inlineStr">
        <is>
          <t>2026-10-17</t>
        </is>
      </c>
      <c r="C47" s="42" t="inlineStr">
        <is>
          <t>American Athletic</t>
        </is>
      </c>
      <c r="D47" s="42" t="inlineStr">
        <is>
          <t>Mid-American</t>
        </is>
      </c>
      <c r="E47" s="42" t="inlineStr">
        <is>
          <t>Kent State</t>
        </is>
      </c>
      <c r="F47" s="42" t="inlineStr">
        <is>
          <t>South Florida</t>
        </is>
      </c>
      <c r="G47" s="42" t="n">
        <v>-19.7</v>
      </c>
      <c r="H47" s="42" t="n">
        <v>-20.8</v>
      </c>
      <c r="I47" s="42" t="n">
        <v>-1.1</v>
      </c>
      <c r="J47" s="42" t="n">
        <v>-22.4</v>
      </c>
      <c r="K47" s="42" t="n">
        <v>-20.5</v>
      </c>
      <c r="L47" s="42" t="n">
        <v>52.2</v>
      </c>
      <c r="M47" s="42" t="n">
        <v>45.5</v>
      </c>
      <c r="N47" s="47" t="n">
        <v>6.7</v>
      </c>
      <c r="O47" s="42" t="n">
        <v>2</v>
      </c>
      <c r="P47" s="42" t="n">
        <v>29</v>
      </c>
      <c r="Q47" s="47" t="inlineStr">
        <is>
          <t>Win</t>
        </is>
      </c>
      <c r="R47" s="42" t="n">
        <v>-15.2</v>
      </c>
      <c r="S47" s="53" t="inlineStr">
        <is>
          <t>Loss</t>
        </is>
      </c>
      <c r="T47" s="52" t="inlineStr">
        <is>
          <t>Win</t>
        </is>
      </c>
      <c r="U47" s="53" t="inlineStr">
        <is>
          <t>Loss</t>
        </is>
      </c>
      <c r="V47" s="52" t="inlineStr">
        <is>
          <t>Win</t>
        </is>
      </c>
    </row>
    <row r="48">
      <c r="A48" s="42" t="n">
        <v>7</v>
      </c>
      <c r="B48" s="42" t="inlineStr">
        <is>
          <t>2026-10-17</t>
        </is>
      </c>
      <c r="C48" s="42" t="inlineStr">
        <is>
          <t>American Athletic</t>
        </is>
      </c>
      <c r="D48" s="42" t="inlineStr">
        <is>
          <t>American Athletic</t>
        </is>
      </c>
      <c r="E48" s="42" t="inlineStr">
        <is>
          <t>Charlotte</t>
        </is>
      </c>
      <c r="F48" s="42" t="inlineStr">
        <is>
          <t>Temple</t>
        </is>
      </c>
      <c r="G48" s="42" t="n">
        <v>-12.1</v>
      </c>
      <c r="H48" s="42" t="n">
        <v>-20.8</v>
      </c>
      <c r="I48" s="56" t="n">
        <v>-8.699999999999999</v>
      </c>
      <c r="J48" s="42" t="n">
        <v>-12.7</v>
      </c>
      <c r="K48" s="42" t="n">
        <v>-19.8</v>
      </c>
      <c r="L48" s="42" t="n">
        <v>53.7</v>
      </c>
      <c r="M48" s="42" t="n">
        <v>46.8</v>
      </c>
      <c r="N48" s="47" t="n">
        <v>7</v>
      </c>
      <c r="O48" s="42" t="n">
        <v>38</v>
      </c>
      <c r="P48" s="42" t="n">
        <v>31</v>
      </c>
      <c r="Q48" s="48" t="inlineStr">
        <is>
          <t>Loss</t>
        </is>
      </c>
      <c r="R48" s="42" t="n">
        <v>-10.6</v>
      </c>
      <c r="S48" s="52" t="inlineStr">
        <is>
          <t>Win</t>
        </is>
      </c>
      <c r="T48" s="52" t="inlineStr">
        <is>
          <t>Win</t>
        </is>
      </c>
      <c r="U48" s="52" t="inlineStr">
        <is>
          <t>Win</t>
        </is>
      </c>
      <c r="V48" s="52" t="inlineStr">
        <is>
          <t>Win</t>
        </is>
      </c>
    </row>
    <row r="49">
      <c r="A49" s="42" t="n">
        <v>7</v>
      </c>
      <c r="B49" s="42" t="inlineStr">
        <is>
          <t>2026-10-18</t>
        </is>
      </c>
      <c r="C49" s="42" t="inlineStr">
        <is>
          <t>American Athletic</t>
        </is>
      </c>
      <c r="D49" s="42" t="inlineStr">
        <is>
          <t>American Athletic</t>
        </is>
      </c>
      <c r="E49" s="42" t="inlineStr">
        <is>
          <t>Navy</t>
        </is>
      </c>
      <c r="F49" s="42" t="inlineStr">
        <is>
          <t>UTSA</t>
        </is>
      </c>
      <c r="G49" s="42" t="n">
        <v>-3.3</v>
      </c>
      <c r="H49" s="42" t="n">
        <v>-6.8</v>
      </c>
      <c r="I49" s="47" t="n">
        <v>-3.5</v>
      </c>
      <c r="J49" s="42" t="n">
        <v>-12.7</v>
      </c>
      <c r="K49" s="42" t="n">
        <v>-5.6</v>
      </c>
      <c r="L49" s="42" t="n">
        <v>57</v>
      </c>
      <c r="M49" s="42" t="n">
        <v>55.5</v>
      </c>
      <c r="N49" s="42" t="n">
        <v>1.5</v>
      </c>
      <c r="O49" s="42" t="n">
        <v>34</v>
      </c>
      <c r="P49" s="42" t="n">
        <v>38</v>
      </c>
      <c r="Q49" s="47" t="inlineStr">
        <is>
          <t>Win</t>
        </is>
      </c>
      <c r="R49" s="42" t="n">
        <v>-12.5</v>
      </c>
      <c r="S49" s="52" t="inlineStr">
        <is>
          <t>Win</t>
        </is>
      </c>
      <c r="T49" s="53" t="inlineStr">
        <is>
          <t>Loss</t>
        </is>
      </c>
      <c r="U49" s="53" t="inlineStr">
        <is>
          <t>Loss</t>
        </is>
      </c>
      <c r="V49" s="52" t="inlineStr">
        <is>
          <t>Win</t>
        </is>
      </c>
    </row>
    <row r="51">
      <c r="A51" s="41" t="inlineStr">
        <is>
          <t>Week 6</t>
        </is>
      </c>
    </row>
    <row r="52" ht="15.75" customHeight="1">
      <c r="A52" s="46" t="inlineStr">
        <is>
          <t>Week</t>
        </is>
      </c>
      <c r="B52" s="46" t="inlineStr">
        <is>
          <t>Date</t>
        </is>
      </c>
      <c r="C52" s="46" t="inlineStr">
        <is>
          <t>Home Conf</t>
        </is>
      </c>
      <c r="D52" s="46" t="inlineStr">
        <is>
          <t>Away Conf</t>
        </is>
      </c>
      <c r="E52" s="46" t="inlineStr">
        <is>
          <t>Away Team</t>
        </is>
      </c>
      <c r="F52" s="46" t="inlineStr">
        <is>
          <t>Home Team</t>
        </is>
      </c>
      <c r="G52" s="46" t="inlineStr">
        <is>
          <t>Model Line (Home)</t>
        </is>
      </c>
      <c r="H52" s="46" t="inlineStr">
        <is>
          <t>Market Line (Home)</t>
        </is>
      </c>
      <c r="I52" s="46" t="inlineStr">
        <is>
          <t>Spread Edge (pts)</t>
        </is>
      </c>
      <c r="J52" s="46" t="inlineStr">
        <is>
          <t>Ridge Line (Home)</t>
        </is>
      </c>
      <c r="K52" s="46" t="inlineStr">
        <is>
          <t>Massey Line (Home)</t>
        </is>
      </c>
      <c r="L52" s="46" t="inlineStr">
        <is>
          <t>Model Total</t>
        </is>
      </c>
      <c r="M52" s="46" t="inlineStr">
        <is>
          <t>Market Total</t>
        </is>
      </c>
      <c r="N52" s="46" t="inlineStr">
        <is>
          <t>Total Edge (pts)</t>
        </is>
      </c>
      <c r="O52" s="46" t="inlineStr">
        <is>
          <t>Away Pts</t>
        </is>
      </c>
      <c r="P52" s="46" t="inlineStr">
        <is>
          <t>Home Pts</t>
        </is>
      </c>
      <c r="Q52" s="46" t="inlineStr">
        <is>
          <t>Model Result (SU)</t>
        </is>
      </c>
      <c r="R52" s="46" t="inlineStr">
        <is>
          <t>XGBoost Line (Home)</t>
        </is>
      </c>
      <c r="S52" s="46" t="inlineStr">
        <is>
          <t>Gamma ATS</t>
        </is>
      </c>
      <c r="T52" s="46" t="inlineStr">
        <is>
          <t>Ridge ATS</t>
        </is>
      </c>
      <c r="U52" s="46" t="inlineStr">
        <is>
          <t>XGBoost ATS</t>
        </is>
      </c>
      <c r="V52" s="46" t="inlineStr">
        <is>
          <t>Massey ATS</t>
        </is>
      </c>
    </row>
    <row r="53" ht="26.25" customHeight="1">
      <c r="A53" s="42" t="n">
        <v>6</v>
      </c>
      <c r="B53" s="42" t="inlineStr">
        <is>
          <t>2026-10-08</t>
        </is>
      </c>
      <c r="C53" s="42" t="inlineStr">
        <is>
          <t>American Athletic</t>
        </is>
      </c>
      <c r="D53" s="42" t="inlineStr">
        <is>
          <t>American Athletic</t>
        </is>
      </c>
      <c r="E53" s="42" t="inlineStr">
        <is>
          <t>South Florida</t>
        </is>
      </c>
      <c r="F53" s="42" t="inlineStr">
        <is>
          <t>UTSA</t>
        </is>
      </c>
      <c r="G53" s="42" t="n">
        <v>-3.1</v>
      </c>
      <c r="H53" s="42" t="n">
        <v>-5.5</v>
      </c>
      <c r="I53" s="47" t="n">
        <v>-2.4</v>
      </c>
      <c r="J53" s="42" t="n">
        <v>-6.8</v>
      </c>
      <c r="K53" s="42" t="n">
        <v>-1.2</v>
      </c>
      <c r="L53" s="42" t="n">
        <v>55.6</v>
      </c>
      <c r="M53" s="42" t="n">
        <v>49.5</v>
      </c>
      <c r="N53" s="47" t="n">
        <v>6.1</v>
      </c>
      <c r="O53" s="42" t="n">
        <v>24</v>
      </c>
      <c r="P53" s="42" t="n">
        <v>31</v>
      </c>
      <c r="Q53" s="47" t="inlineStr">
        <is>
          <t>Win</t>
        </is>
      </c>
      <c r="R53" s="42" t="n">
        <v>-8.1</v>
      </c>
      <c r="S53" s="53" t="inlineStr">
        <is>
          <t>Loss</t>
        </is>
      </c>
      <c r="T53" s="52" t="inlineStr">
        <is>
          <t>Win</t>
        </is>
      </c>
      <c r="U53" s="52" t="inlineStr">
        <is>
          <t>Win</t>
        </is>
      </c>
      <c r="V53" s="53" t="inlineStr">
        <is>
          <t>Loss</t>
        </is>
      </c>
    </row>
    <row r="54">
      <c r="A54" s="42" t="n">
        <v>6</v>
      </c>
      <c r="B54" s="42" t="inlineStr">
        <is>
          <t>2026-10-10</t>
        </is>
      </c>
      <c r="C54" s="42" t="inlineStr">
        <is>
          <t>American Athletic</t>
        </is>
      </c>
      <c r="D54" s="42" t="inlineStr">
        <is>
          <t>American Athletic</t>
        </is>
      </c>
      <c r="E54" s="42" t="inlineStr">
        <is>
          <t>Tulane</t>
        </is>
      </c>
      <c r="F54" s="42" t="inlineStr">
        <is>
          <t>Army</t>
        </is>
      </c>
      <c r="G54" s="42" t="n">
        <v>-4</v>
      </c>
      <c r="H54" s="42" t="n">
        <v>-3</v>
      </c>
      <c r="I54" s="42" t="n">
        <v>1</v>
      </c>
      <c r="J54" s="42" t="n">
        <v>3.8</v>
      </c>
      <c r="K54" s="42" t="n">
        <v>-12</v>
      </c>
      <c r="L54" s="42" t="n">
        <v>57.7</v>
      </c>
      <c r="M54" s="42" t="n">
        <v>48.5</v>
      </c>
      <c r="N54" s="47" t="n">
        <v>9.199999999999999</v>
      </c>
      <c r="O54" s="42" t="n">
        <v>17</v>
      </c>
      <c r="P54" s="42" t="n">
        <v>20</v>
      </c>
      <c r="Q54" s="47" t="inlineStr">
        <is>
          <t>Win</t>
        </is>
      </c>
      <c r="R54" s="42" t="n">
        <v>-4.1</v>
      </c>
      <c r="S54" s="54" t="inlineStr">
        <is>
          <t>Push</t>
        </is>
      </c>
      <c r="T54" s="54" t="inlineStr">
        <is>
          <t>Push</t>
        </is>
      </c>
      <c r="U54" s="54" t="inlineStr">
        <is>
          <t>Push</t>
        </is>
      </c>
      <c r="V54" s="54" t="inlineStr">
        <is>
          <t>Push</t>
        </is>
      </c>
    </row>
    <row r="55">
      <c r="A55" s="42" t="n">
        <v>6</v>
      </c>
      <c r="B55" s="42" t="inlineStr">
        <is>
          <t>2026-10-10</t>
        </is>
      </c>
      <c r="C55" s="42" t="inlineStr">
        <is>
          <t>American Athletic</t>
        </is>
      </c>
      <c r="D55" s="42" t="inlineStr">
        <is>
          <t>American Athletic</t>
        </is>
      </c>
      <c r="E55" s="42" t="inlineStr">
        <is>
          <t>Rice</t>
        </is>
      </c>
      <c r="F55" s="42" t="inlineStr">
        <is>
          <t>East Carolina</t>
        </is>
      </c>
      <c r="G55" s="42" t="n">
        <v>-16.6</v>
      </c>
      <c r="H55" s="42" t="n">
        <v>-10</v>
      </c>
      <c r="I55" s="56" t="n">
        <v>6.6</v>
      </c>
      <c r="J55" s="42" t="n">
        <v>-10.5</v>
      </c>
      <c r="K55" s="42" t="n">
        <v>-8.5</v>
      </c>
      <c r="L55" s="42" t="n">
        <v>47.1</v>
      </c>
      <c r="M55" s="42" t="n">
        <v>47.2</v>
      </c>
      <c r="N55" s="42" t="n">
        <v>-0.2</v>
      </c>
      <c r="O55" s="42" t="n">
        <v>12</v>
      </c>
      <c r="P55" s="42" t="n">
        <v>28</v>
      </c>
      <c r="Q55" s="47" t="inlineStr">
        <is>
          <t>Win</t>
        </is>
      </c>
      <c r="R55" s="42" t="n">
        <v>-10.9</v>
      </c>
      <c r="S55" s="52" t="inlineStr">
        <is>
          <t>Win</t>
        </is>
      </c>
      <c r="T55" s="52" t="inlineStr">
        <is>
          <t>Win</t>
        </is>
      </c>
      <c r="U55" s="52" t="inlineStr">
        <is>
          <t>Win</t>
        </is>
      </c>
      <c r="V55" s="53" t="inlineStr">
        <is>
          <t>Loss</t>
        </is>
      </c>
    </row>
    <row r="56">
      <c r="A56" s="42" t="n">
        <v>6</v>
      </c>
      <c r="B56" s="42" t="inlineStr">
        <is>
          <t>2026-10-10</t>
        </is>
      </c>
      <c r="C56" s="42" t="inlineStr">
        <is>
          <t>American Athletic</t>
        </is>
      </c>
      <c r="D56" s="42" t="inlineStr">
        <is>
          <t>American Athletic</t>
        </is>
      </c>
      <c r="E56" s="42" t="inlineStr">
        <is>
          <t>UAB</t>
        </is>
      </c>
      <c r="F56" s="42" t="inlineStr">
        <is>
          <t>Memphis</t>
        </is>
      </c>
      <c r="G56" s="42" t="n">
        <v>-14.8</v>
      </c>
      <c r="H56" s="42" t="n">
        <v>-14</v>
      </c>
      <c r="I56" s="42" t="n">
        <v>0.8</v>
      </c>
      <c r="J56" s="42" t="n">
        <v>-12.8</v>
      </c>
      <c r="K56" s="42" t="n">
        <v>-14.4</v>
      </c>
      <c r="L56" s="42" t="n">
        <v>56.8</v>
      </c>
      <c r="M56" s="42" t="n">
        <v>53</v>
      </c>
      <c r="N56" s="47" t="n">
        <v>3.8</v>
      </c>
      <c r="O56" s="42" t="n">
        <v>13</v>
      </c>
      <c r="P56" s="42" t="n">
        <v>38</v>
      </c>
      <c r="Q56" s="47" t="inlineStr">
        <is>
          <t>Win</t>
        </is>
      </c>
      <c r="R56" s="42" t="n">
        <v>-11.7</v>
      </c>
      <c r="S56" s="52" t="inlineStr">
        <is>
          <t>Win</t>
        </is>
      </c>
      <c r="T56" s="53" t="inlineStr">
        <is>
          <t>Loss</t>
        </is>
      </c>
      <c r="U56" s="53" t="inlineStr">
        <is>
          <t>Loss</t>
        </is>
      </c>
      <c r="V56" s="52" t="inlineStr">
        <is>
          <t>Win</t>
        </is>
      </c>
    </row>
    <row r="57">
      <c r="A57" s="42" t="n">
        <v>6</v>
      </c>
      <c r="B57" s="42" t="inlineStr">
        <is>
          <t>2026-10-10</t>
        </is>
      </c>
      <c r="C57" s="42" t="inlineStr">
        <is>
          <t>American Athletic</t>
        </is>
      </c>
      <c r="D57" s="42" t="inlineStr">
        <is>
          <t>American Athletic</t>
        </is>
      </c>
      <c r="E57" s="42" t="inlineStr">
        <is>
          <t>Tulsa</t>
        </is>
      </c>
      <c r="F57" s="42" t="inlineStr">
        <is>
          <t>Navy</t>
        </is>
      </c>
      <c r="G57" s="42" t="n">
        <v>-14.6</v>
      </c>
      <c r="H57" s="42" t="n">
        <v>-1.8</v>
      </c>
      <c r="I57" s="56" t="n">
        <v>12.8</v>
      </c>
      <c r="J57" s="42" t="n">
        <v>-5.8</v>
      </c>
      <c r="K57" s="42" t="n">
        <v>1.8</v>
      </c>
      <c r="L57" s="42" t="n">
        <v>51.5</v>
      </c>
      <c r="M57" s="42" t="n">
        <v>48.8</v>
      </c>
      <c r="N57" s="47" t="n">
        <v>2.8</v>
      </c>
      <c r="O57" s="42" t="n">
        <v>26</v>
      </c>
      <c r="P57" s="42" t="n">
        <v>34</v>
      </c>
      <c r="Q57" s="47" t="inlineStr">
        <is>
          <t>Win</t>
        </is>
      </c>
      <c r="R57" s="42" t="n">
        <v>-5.6</v>
      </c>
      <c r="S57" s="52" t="inlineStr">
        <is>
          <t>Win</t>
        </is>
      </c>
      <c r="T57" s="52" t="inlineStr">
        <is>
          <t>Win</t>
        </is>
      </c>
      <c r="U57" s="52" t="inlineStr">
        <is>
          <t>Win</t>
        </is>
      </c>
      <c r="V57" s="53" t="inlineStr">
        <is>
          <t>Loss</t>
        </is>
      </c>
    </row>
    <row r="58">
      <c r="A58" s="42" t="n">
        <v>6</v>
      </c>
      <c r="B58" s="42" t="inlineStr">
        <is>
          <t>2026-10-10</t>
        </is>
      </c>
      <c r="C58" s="42" t="inlineStr">
        <is>
          <t>American Athletic</t>
        </is>
      </c>
      <c r="D58" s="42" t="inlineStr">
        <is>
          <t>American Athletic</t>
        </is>
      </c>
      <c r="E58" s="42" t="inlineStr">
        <is>
          <t>Charlotte</t>
        </is>
      </c>
      <c r="F58" s="42" t="inlineStr">
        <is>
          <t>North Texas</t>
        </is>
      </c>
      <c r="G58" s="42" t="n">
        <v>-24.7</v>
      </c>
      <c r="H58" s="42" t="n">
        <v>-28.2</v>
      </c>
      <c r="I58" s="47" t="n">
        <v>-3.5</v>
      </c>
      <c r="J58" s="42" t="n">
        <v>-21</v>
      </c>
      <c r="K58" s="42" t="n">
        <v>-24</v>
      </c>
      <c r="L58" s="42" t="n">
        <v>56.5</v>
      </c>
      <c r="M58" s="42" t="n">
        <v>57.8</v>
      </c>
      <c r="N58" s="42" t="n">
        <v>-1.2</v>
      </c>
      <c r="O58" s="42" t="n">
        <v>10</v>
      </c>
      <c r="P58" s="42" t="n">
        <v>50</v>
      </c>
      <c r="Q58" s="47" t="inlineStr">
        <is>
          <t>Win</t>
        </is>
      </c>
      <c r="R58" s="42" t="n">
        <v>-26.1</v>
      </c>
      <c r="S58" s="53" t="inlineStr">
        <is>
          <t>Loss</t>
        </is>
      </c>
      <c r="T58" s="53" t="inlineStr">
        <is>
          <t>Loss</t>
        </is>
      </c>
      <c r="U58" s="53" t="inlineStr">
        <is>
          <t>Loss</t>
        </is>
      </c>
      <c r="V58" s="53" t="inlineStr">
        <is>
          <t>Loss</t>
        </is>
      </c>
    </row>
    <row r="59">
      <c r="A59" s="42" t="n">
        <v>6</v>
      </c>
      <c r="B59" s="42" t="inlineStr">
        <is>
          <t>2026-10-10</t>
        </is>
      </c>
      <c r="C59" s="42" t="inlineStr">
        <is>
          <t>American Athletic</t>
        </is>
      </c>
      <c r="D59" s="42" t="inlineStr">
        <is>
          <t>FBS Independents</t>
        </is>
      </c>
      <c r="E59" s="42" t="inlineStr">
        <is>
          <t>UConn</t>
        </is>
      </c>
      <c r="F59" s="42" t="inlineStr">
        <is>
          <t>Temple</t>
        </is>
      </c>
      <c r="G59" s="42" t="n">
        <v>-8.800000000000001</v>
      </c>
      <c r="H59" s="42" t="n">
        <v>-3.5</v>
      </c>
      <c r="I59" s="56" t="n">
        <v>5.3</v>
      </c>
      <c r="J59" s="42" t="n">
        <v>-7.8</v>
      </c>
      <c r="K59" s="42" t="n">
        <v>-1.9</v>
      </c>
      <c r="L59" s="42" t="n">
        <v>57.5</v>
      </c>
      <c r="M59" s="42" t="n">
        <v>54.5</v>
      </c>
      <c r="N59" s="47" t="n">
        <v>3</v>
      </c>
      <c r="O59" s="42" t="n">
        <v>34</v>
      </c>
      <c r="P59" s="42" t="n">
        <v>20</v>
      </c>
      <c r="Q59" s="48" t="inlineStr">
        <is>
          <t>Loss</t>
        </is>
      </c>
      <c r="R59" s="42" t="n">
        <v>-0.5</v>
      </c>
      <c r="S59" s="53" t="inlineStr">
        <is>
          <t>Loss</t>
        </is>
      </c>
      <c r="T59" s="53" t="inlineStr">
        <is>
          <t>Loss</t>
        </is>
      </c>
      <c r="U59" s="52" t="inlineStr">
        <is>
          <t>Win</t>
        </is>
      </c>
      <c r="V59" s="52" t="inlineStr">
        <is>
          <t>Win</t>
        </is>
      </c>
    </row>
    <row r="61">
      <c r="A61" s="41" t="inlineStr">
        <is>
          <t>Week 5</t>
        </is>
      </c>
    </row>
    <row r="62">
      <c r="A62" s="46" t="inlineStr">
        <is>
          <t>Week</t>
        </is>
      </c>
      <c r="B62" s="46" t="inlineStr">
        <is>
          <t>Date</t>
        </is>
      </c>
      <c r="C62" s="46" t="inlineStr">
        <is>
          <t>Home Conf</t>
        </is>
      </c>
      <c r="D62" s="46" t="inlineStr">
        <is>
          <t>Away Conf</t>
        </is>
      </c>
      <c r="E62" s="46" t="inlineStr">
        <is>
          <t>Away Team</t>
        </is>
      </c>
      <c r="F62" s="46" t="inlineStr">
        <is>
          <t>Home Team</t>
        </is>
      </c>
      <c r="G62" s="46" t="inlineStr">
        <is>
          <t>Model Line (Home)</t>
        </is>
      </c>
      <c r="H62" s="46" t="inlineStr">
        <is>
          <t>Market Line (Home)</t>
        </is>
      </c>
      <c r="I62" s="46" t="inlineStr">
        <is>
          <t>Spread Edge (pts)</t>
        </is>
      </c>
      <c r="J62" s="46" t="inlineStr">
        <is>
          <t>Ridge Line (Home)</t>
        </is>
      </c>
      <c r="K62" s="46" t="inlineStr">
        <is>
          <t>Massey Line (Home)</t>
        </is>
      </c>
      <c r="L62" s="46" t="inlineStr">
        <is>
          <t>Model Total</t>
        </is>
      </c>
      <c r="M62" s="46" t="inlineStr">
        <is>
          <t>Market Total</t>
        </is>
      </c>
      <c r="N62" s="46" t="inlineStr">
        <is>
          <t>Total Edge (pts)</t>
        </is>
      </c>
      <c r="O62" s="46" t="inlineStr">
        <is>
          <t>Away Pts</t>
        </is>
      </c>
      <c r="P62" s="46" t="inlineStr">
        <is>
          <t>Home Pts</t>
        </is>
      </c>
      <c r="Q62" s="46" t="inlineStr">
        <is>
          <t>Model Result (SU)</t>
        </is>
      </c>
      <c r="R62" s="46" t="inlineStr">
        <is>
          <t>XGBoost Line (Home)</t>
        </is>
      </c>
      <c r="S62" s="46" t="inlineStr">
        <is>
          <t>Gamma ATS</t>
        </is>
      </c>
      <c r="T62" s="46" t="inlineStr">
        <is>
          <t>Ridge ATS</t>
        </is>
      </c>
      <c r="U62" s="46" t="inlineStr">
        <is>
          <t>XGBoost ATS</t>
        </is>
      </c>
      <c r="V62" s="46" t="inlineStr">
        <is>
          <t>Massey ATS</t>
        </is>
      </c>
    </row>
    <row r="63">
      <c r="A63" s="42" t="n">
        <v>5</v>
      </c>
      <c r="B63" s="42" t="inlineStr">
        <is>
          <t>2026-10-02</t>
        </is>
      </c>
      <c r="C63" s="42" t="inlineStr">
        <is>
          <t>American Athletic</t>
        </is>
      </c>
      <c r="D63" s="42" t="inlineStr">
        <is>
          <t>American Athletic</t>
        </is>
      </c>
      <c r="E63" s="42" t="inlineStr">
        <is>
          <t>North Texas</t>
        </is>
      </c>
      <c r="F63" s="42" t="inlineStr">
        <is>
          <t>Tulsa</t>
        </is>
      </c>
      <c r="G63" s="42" t="n">
        <v>7.3</v>
      </c>
      <c r="H63" s="42" t="n">
        <v>2</v>
      </c>
      <c r="I63" s="56" t="n">
        <v>-5.3</v>
      </c>
      <c r="J63" s="42" t="n">
        <v>4.4</v>
      </c>
      <c r="K63" s="42" t="n">
        <v>-3.1</v>
      </c>
      <c r="L63" s="42" t="n">
        <v>56.4</v>
      </c>
      <c r="M63" s="42" t="n">
        <v>56.8</v>
      </c>
      <c r="N63" s="42" t="n">
        <v>-0.4</v>
      </c>
      <c r="O63" s="42" t="n">
        <v>45</v>
      </c>
      <c r="P63" s="42" t="n">
        <v>44</v>
      </c>
      <c r="Q63" s="47" t="inlineStr">
        <is>
          <t>Win</t>
        </is>
      </c>
      <c r="R63" s="42" t="n">
        <v>1.9</v>
      </c>
      <c r="S63" s="53" t="inlineStr">
        <is>
          <t>Loss</t>
        </is>
      </c>
      <c r="T63" s="53" t="inlineStr">
        <is>
          <t>Loss</t>
        </is>
      </c>
      <c r="U63" s="53" t="inlineStr">
        <is>
          <t>Loss</t>
        </is>
      </c>
      <c r="V63" s="52" t="inlineStr">
        <is>
          <t>Win</t>
        </is>
      </c>
    </row>
    <row r="64">
      <c r="A64" s="42" t="n">
        <v>5</v>
      </c>
      <c r="B64" s="42" t="inlineStr">
        <is>
          <t>2026-10-03</t>
        </is>
      </c>
      <c r="C64" s="42" t="inlineStr">
        <is>
          <t>American Athletic</t>
        </is>
      </c>
      <c r="D64" s="42" t="inlineStr">
        <is>
          <t>American Athletic</t>
        </is>
      </c>
      <c r="E64" s="42" t="inlineStr">
        <is>
          <t>Memphis</t>
        </is>
      </c>
      <c r="F64" s="42" t="inlineStr">
        <is>
          <t>Charlotte</t>
        </is>
      </c>
      <c r="G64" s="42" t="n">
        <v>20.3</v>
      </c>
      <c r="H64" s="42" t="n">
        <v>19.5</v>
      </c>
      <c r="I64" s="42" t="n">
        <v>-0.8</v>
      </c>
      <c r="J64" s="42" t="n">
        <v>17.4</v>
      </c>
      <c r="K64" s="42" t="n">
        <v>9.699999999999999</v>
      </c>
      <c r="L64" s="42" t="n">
        <v>54.4</v>
      </c>
      <c r="M64" s="42" t="n">
        <v>52.2</v>
      </c>
      <c r="N64" s="47" t="n">
        <v>2.2</v>
      </c>
      <c r="O64" s="42" t="n">
        <v>59</v>
      </c>
      <c r="P64" s="42" t="n">
        <v>8</v>
      </c>
      <c r="Q64" s="47" t="inlineStr">
        <is>
          <t>Win</t>
        </is>
      </c>
      <c r="R64" s="42" t="n">
        <v>19.1</v>
      </c>
      <c r="S64" s="52" t="inlineStr">
        <is>
          <t>Win</t>
        </is>
      </c>
      <c r="T64" s="53" t="inlineStr">
        <is>
          <t>Loss</t>
        </is>
      </c>
      <c r="U64" s="52" t="inlineStr">
        <is>
          <t>Win</t>
        </is>
      </c>
      <c r="V64" s="53" t="inlineStr">
        <is>
          <t>Loss</t>
        </is>
      </c>
    </row>
    <row r="65">
      <c r="A65" s="42" t="n">
        <v>5</v>
      </c>
      <c r="B65" s="42" t="inlineStr">
        <is>
          <t>2026-10-03</t>
        </is>
      </c>
      <c r="C65" s="42" t="inlineStr">
        <is>
          <t>American Athletic</t>
        </is>
      </c>
      <c r="D65" s="42" t="inlineStr">
        <is>
          <t>SWAC</t>
        </is>
      </c>
      <c r="E65" s="42" t="inlineStr">
        <is>
          <t>Texas Southern</t>
        </is>
      </c>
      <c r="F65" s="42" t="inlineStr">
        <is>
          <t>Florida Atlantic</t>
        </is>
      </c>
      <c r="G65" s="42" t="n">
        <v>-27.8</v>
      </c>
      <c r="H65" s="42" t="n">
        <v>-45.8</v>
      </c>
      <c r="I65" s="56" t="n">
        <v>-18</v>
      </c>
      <c r="J65" s="42" t="n">
        <v>-18.2</v>
      </c>
      <c r="K65" s="42" t="n">
        <v>-20.2</v>
      </c>
      <c r="L65" s="42" t="n">
        <v>56.5</v>
      </c>
      <c r="M65" s="42" t="n">
        <v>62</v>
      </c>
      <c r="N65" s="47" t="n">
        <v>-5.5</v>
      </c>
      <c r="O65" s="42" t="n">
        <v>10</v>
      </c>
      <c r="P65" s="42" t="n">
        <v>66</v>
      </c>
      <c r="Q65" s="47" t="inlineStr">
        <is>
          <t>Win</t>
        </is>
      </c>
      <c r="R65" s="42" t="n">
        <v>-31.9</v>
      </c>
      <c r="S65" s="53" t="inlineStr">
        <is>
          <t>Loss</t>
        </is>
      </c>
      <c r="T65" s="53" t="inlineStr">
        <is>
          <t>Loss</t>
        </is>
      </c>
      <c r="U65" s="53" t="inlineStr">
        <is>
          <t>Loss</t>
        </is>
      </c>
      <c r="V65" s="53" t="inlineStr">
        <is>
          <t>Loss</t>
        </is>
      </c>
    </row>
    <row r="66">
      <c r="A66" s="42" t="n">
        <v>5</v>
      </c>
      <c r="B66" s="42" t="inlineStr">
        <is>
          <t>2026-10-03</t>
        </is>
      </c>
      <c r="C66" s="42" t="inlineStr">
        <is>
          <t>American Athletic</t>
        </is>
      </c>
      <c r="D66" s="42" t="inlineStr">
        <is>
          <t>American Athletic</t>
        </is>
      </c>
      <c r="E66" s="42" t="inlineStr">
        <is>
          <t>UTSA</t>
        </is>
      </c>
      <c r="F66" s="42" t="inlineStr">
        <is>
          <t>Rice</t>
        </is>
      </c>
      <c r="G66" s="42" t="n">
        <v>13.7</v>
      </c>
      <c r="H66" s="42" t="n">
        <v>12</v>
      </c>
      <c r="I66" s="42" t="n">
        <v>-1.7</v>
      </c>
      <c r="J66" s="42" t="n">
        <v>10.3</v>
      </c>
      <c r="K66" s="42" t="n">
        <v>9.9</v>
      </c>
      <c r="L66" s="42" t="n">
        <v>55</v>
      </c>
      <c r="M66" s="42" t="n">
        <v>56.2</v>
      </c>
      <c r="N66" s="42" t="n">
        <v>-1.2</v>
      </c>
      <c r="O66" s="42" t="n">
        <v>16</v>
      </c>
      <c r="P66" s="42" t="n">
        <v>14</v>
      </c>
      <c r="Q66" s="47" t="inlineStr">
        <is>
          <t>Win</t>
        </is>
      </c>
      <c r="R66" s="42" t="n">
        <v>15.2</v>
      </c>
      <c r="S66" s="53" t="inlineStr">
        <is>
          <t>Loss</t>
        </is>
      </c>
      <c r="T66" s="52" t="inlineStr">
        <is>
          <t>Win</t>
        </is>
      </c>
      <c r="U66" s="53" t="inlineStr">
        <is>
          <t>Loss</t>
        </is>
      </c>
      <c r="V66" s="52" t="inlineStr">
        <is>
          <t>Win</t>
        </is>
      </c>
    </row>
    <row r="67">
      <c r="A67" s="42" t="n">
        <v>5</v>
      </c>
      <c r="B67" s="42" t="inlineStr">
        <is>
          <t>2026-10-03</t>
        </is>
      </c>
      <c r="C67" s="42" t="inlineStr">
        <is>
          <t>American Athletic</t>
        </is>
      </c>
      <c r="D67" s="42" t="inlineStr">
        <is>
          <t>American Athletic</t>
        </is>
      </c>
      <c r="E67" s="42" t="inlineStr">
        <is>
          <t>Temple</t>
        </is>
      </c>
      <c r="F67" s="42" t="inlineStr">
        <is>
          <t>South Florida</t>
        </is>
      </c>
      <c r="G67" s="42" t="n">
        <v>-11.6</v>
      </c>
      <c r="H67" s="42" t="n">
        <v>-5.5</v>
      </c>
      <c r="I67" s="56" t="n">
        <v>6.1</v>
      </c>
      <c r="J67" s="42" t="n">
        <v>-14.1</v>
      </c>
      <c r="K67" s="42" t="n">
        <v>-6.8</v>
      </c>
      <c r="L67" s="42" t="n">
        <v>58.3</v>
      </c>
      <c r="M67" s="42" t="n">
        <v>49.5</v>
      </c>
      <c r="N67" s="47" t="n">
        <v>8.800000000000001</v>
      </c>
      <c r="O67" s="42" t="n">
        <v>17</v>
      </c>
      <c r="P67" s="42" t="n">
        <v>13</v>
      </c>
      <c r="Q67" s="48" t="inlineStr">
        <is>
          <t>Loss</t>
        </is>
      </c>
      <c r="R67" s="42" t="n">
        <v>-11.2</v>
      </c>
      <c r="S67" s="53" t="inlineStr">
        <is>
          <t>Loss</t>
        </is>
      </c>
      <c r="T67" s="53" t="inlineStr">
        <is>
          <t>Loss</t>
        </is>
      </c>
      <c r="U67" s="53" t="inlineStr">
        <is>
          <t>Loss</t>
        </is>
      </c>
      <c r="V67" s="53" t="inlineStr">
        <is>
          <t>Loss</t>
        </is>
      </c>
    </row>
    <row r="68">
      <c r="A68" s="42" t="n">
        <v>5</v>
      </c>
      <c r="B68" s="42" t="inlineStr">
        <is>
          <t>2026-10-03</t>
        </is>
      </c>
      <c r="C68" s="42" t="inlineStr">
        <is>
          <t>American Athletic</t>
        </is>
      </c>
      <c r="D68" s="42" t="inlineStr">
        <is>
          <t>Southern</t>
        </is>
      </c>
      <c r="E68" s="42" t="inlineStr">
        <is>
          <t>Samford</t>
        </is>
      </c>
      <c r="F68" s="42" t="inlineStr">
        <is>
          <t>UAB</t>
        </is>
      </c>
      <c r="G68" s="42" t="n">
        <v>-31.3</v>
      </c>
      <c r="H68" s="42" t="n">
        <v>-30.5</v>
      </c>
      <c r="I68" s="42" t="n">
        <v>0.8</v>
      </c>
      <c r="J68" s="42" t="n">
        <v>-18</v>
      </c>
      <c r="K68" s="42" t="n">
        <v>-0.8</v>
      </c>
      <c r="L68" s="42" t="n">
        <v>57.5</v>
      </c>
      <c r="M68" s="42" t="n">
        <v>54.2</v>
      </c>
      <c r="N68" s="47" t="n">
        <v>3.2</v>
      </c>
      <c r="O68" s="42" t="n">
        <v>14</v>
      </c>
      <c r="P68" s="42" t="n">
        <v>33</v>
      </c>
      <c r="Q68" s="47" t="inlineStr">
        <is>
          <t>Win</t>
        </is>
      </c>
      <c r="R68" s="42" t="n">
        <v>-24.4</v>
      </c>
      <c r="S68" s="53" t="inlineStr">
        <is>
          <t>Loss</t>
        </is>
      </c>
      <c r="T68" s="52" t="inlineStr">
        <is>
          <t>Win</t>
        </is>
      </c>
      <c r="U68" s="52" t="inlineStr">
        <is>
          <t>Win</t>
        </is>
      </c>
      <c r="V68" s="52" t="inlineStr">
        <is>
          <t>Win</t>
        </is>
      </c>
    </row>
    <row r="69">
      <c r="A69" s="42" t="n">
        <v>5</v>
      </c>
      <c r="B69" s="42" t="inlineStr">
        <is>
          <t>2026-10-03</t>
        </is>
      </c>
      <c r="C69" s="42" t="inlineStr">
        <is>
          <t>Mountain West</t>
        </is>
      </c>
      <c r="D69" s="42" t="inlineStr">
        <is>
          <t>American Athletic</t>
        </is>
      </c>
      <c r="E69" s="42" t="inlineStr">
        <is>
          <t>Navy</t>
        </is>
      </c>
      <c r="F69" s="42" t="inlineStr">
        <is>
          <t>Air Force</t>
        </is>
      </c>
      <c r="G69" s="42" t="n">
        <v>4.5</v>
      </c>
      <c r="H69" s="42" t="n">
        <v>-2.8</v>
      </c>
      <c r="I69" s="56" t="n">
        <v>-7.3</v>
      </c>
      <c r="J69" s="42" t="n">
        <v>-8.5</v>
      </c>
      <c r="K69" s="42" t="n">
        <v>-7</v>
      </c>
      <c r="L69" s="42" t="n">
        <v>55.1</v>
      </c>
      <c r="M69" s="42" t="n">
        <v>45.2</v>
      </c>
      <c r="N69" s="47" t="n">
        <v>9.800000000000001</v>
      </c>
      <c r="O69" s="42" t="n">
        <v>9</v>
      </c>
      <c r="P69" s="42" t="n">
        <v>14</v>
      </c>
      <c r="Q69" s="48" t="inlineStr">
        <is>
          <t>Loss</t>
        </is>
      </c>
      <c r="R69" s="42" t="n">
        <v>-4.4</v>
      </c>
      <c r="S69" s="53" t="inlineStr">
        <is>
          <t>Loss</t>
        </is>
      </c>
      <c r="T69" s="52" t="inlineStr">
        <is>
          <t>Win</t>
        </is>
      </c>
      <c r="U69" s="52" t="inlineStr">
        <is>
          <t>Win</t>
        </is>
      </c>
      <c r="V69" s="52" t="inlineStr">
        <is>
          <t>Win</t>
        </is>
      </c>
    </row>
    <row r="70">
      <c r="A70" s="42" t="n">
        <v>5</v>
      </c>
      <c r="B70" s="42" t="inlineStr">
        <is>
          <t>2026-10-03</t>
        </is>
      </c>
      <c r="C70" s="42" t="inlineStr">
        <is>
          <t>Sun Belt</t>
        </is>
      </c>
      <c r="D70" s="42" t="inlineStr">
        <is>
          <t>American Athletic</t>
        </is>
      </c>
      <c r="E70" s="42" t="inlineStr">
        <is>
          <t>Army</t>
        </is>
      </c>
      <c r="F70" s="42" t="inlineStr">
        <is>
          <t>Louisiana Tech</t>
        </is>
      </c>
      <c r="G70" s="42" t="n">
        <v>9.199999999999999</v>
      </c>
      <c r="H70" s="42" t="n">
        <v>-0.2</v>
      </c>
      <c r="I70" s="56" t="n">
        <v>-9.4</v>
      </c>
      <c r="J70" s="42" t="n">
        <v>-8.1</v>
      </c>
      <c r="K70" s="42" t="n">
        <v>-0.1</v>
      </c>
      <c r="L70" s="42" t="n">
        <v>53.3</v>
      </c>
      <c r="M70" s="42" t="n">
        <v>46.8</v>
      </c>
      <c r="N70" s="47" t="n">
        <v>6.5</v>
      </c>
      <c r="O70" s="42" t="n">
        <v>29</v>
      </c>
      <c r="P70" s="42" t="n">
        <v>31</v>
      </c>
      <c r="Q70" s="48" t="inlineStr">
        <is>
          <t>Loss</t>
        </is>
      </c>
      <c r="R70" s="42" t="n">
        <v>-5.4</v>
      </c>
      <c r="S70" s="53" t="inlineStr">
        <is>
          <t>Loss</t>
        </is>
      </c>
      <c r="T70" s="52" t="inlineStr">
        <is>
          <t>Win</t>
        </is>
      </c>
      <c r="U70" s="52" t="inlineStr">
        <is>
          <t>Win</t>
        </is>
      </c>
      <c r="V70" s="52" t="inlineStr">
        <is>
          <t>Win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74"/>
  <sheetViews>
    <sheetView showGridLines="0" workbookViewId="0">
      <selection activeCell="E47" sqref="E47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Big 12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42-38-1</t>
        </is>
      </c>
      <c r="C3" s="45" t="n">
        <v>0.525</v>
      </c>
    </row>
    <row r="4">
      <c r="A4" s="42" t="inlineStr">
        <is>
          <t>Weekly ATS (Wk 8)</t>
        </is>
      </c>
      <c r="B4" s="42" t="inlineStr">
        <is>
          <t>3-5-0</t>
        </is>
      </c>
      <c r="C4" s="45" t="n">
        <v>0.375</v>
      </c>
    </row>
    <row r="5">
      <c r="A5" s="42" t="inlineStr">
        <is>
          <t>Model pick W-L, straight-up (Wk 8)</t>
        </is>
      </c>
      <c r="B5" s="42" t="inlineStr">
        <is>
          <t>3-5</t>
        </is>
      </c>
      <c r="C5" s="45" t="n">
        <v>0.375</v>
      </c>
    </row>
    <row r="6" ht="15.65" customHeight="1"/>
    <row r="7" ht="15.65" customHeight="1">
      <c r="A7" s="41" t="inlineStr">
        <is>
          <t>Big 12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Utah</t>
        </is>
      </c>
      <c r="B9" s="42" t="n">
        <v>4</v>
      </c>
      <c r="C9" s="42" t="n">
        <v>0</v>
      </c>
      <c r="D9" s="42" t="n">
        <v>1</v>
      </c>
      <c r="E9" s="42" t="n">
        <v>7</v>
      </c>
      <c r="F9" s="42" t="n">
        <v>0</v>
      </c>
    </row>
    <row r="10">
      <c r="A10" s="42" t="inlineStr">
        <is>
          <t>Arizona</t>
        </is>
      </c>
      <c r="B10" s="42" t="n">
        <v>3</v>
      </c>
      <c r="C10" s="42" t="n">
        <v>1</v>
      </c>
      <c r="D10" s="42" t="n">
        <v>0.75</v>
      </c>
      <c r="E10" s="42" t="n">
        <v>6</v>
      </c>
      <c r="F10" s="42" t="n">
        <v>1</v>
      </c>
    </row>
    <row r="11">
      <c r="A11" s="42" t="inlineStr">
        <is>
          <t>BYU</t>
        </is>
      </c>
      <c r="B11" s="42" t="n">
        <v>3</v>
      </c>
      <c r="C11" s="42" t="n">
        <v>1</v>
      </c>
      <c r="D11" s="42" t="n">
        <v>0.75</v>
      </c>
      <c r="E11" s="42" t="n">
        <v>6</v>
      </c>
      <c r="F11" s="42" t="n">
        <v>1</v>
      </c>
    </row>
    <row r="12">
      <c r="A12" s="42" t="inlineStr">
        <is>
          <t>Texas Tech</t>
        </is>
      </c>
      <c r="B12" s="42" t="n">
        <v>3</v>
      </c>
      <c r="C12" s="42" t="n">
        <v>1</v>
      </c>
      <c r="D12" s="42" t="n">
        <v>0.75</v>
      </c>
      <c r="E12" s="42" t="n">
        <v>6</v>
      </c>
      <c r="F12" s="42" t="n">
        <v>1</v>
      </c>
    </row>
    <row r="13">
      <c r="A13" s="42" t="inlineStr">
        <is>
          <t>Oklahoma State</t>
        </is>
      </c>
      <c r="B13" s="42" t="n">
        <v>3</v>
      </c>
      <c r="C13" s="42" t="n">
        <v>1</v>
      </c>
      <c r="D13" s="42" t="n">
        <v>0.75</v>
      </c>
      <c r="E13" s="42" t="n">
        <v>5</v>
      </c>
      <c r="F13" s="42" t="n">
        <v>2</v>
      </c>
    </row>
    <row r="14">
      <c r="A14" s="42" t="inlineStr">
        <is>
          <t>Houston</t>
        </is>
      </c>
      <c r="B14" s="42" t="n">
        <v>3</v>
      </c>
      <c r="C14" s="42" t="n">
        <v>2</v>
      </c>
      <c r="D14" s="42" t="n">
        <v>0.6</v>
      </c>
      <c r="E14" s="42" t="n">
        <v>6</v>
      </c>
      <c r="F14" s="42" t="n">
        <v>2</v>
      </c>
    </row>
    <row r="15">
      <c r="A15" s="42" t="inlineStr">
        <is>
          <t>Cincinnati</t>
        </is>
      </c>
      <c r="B15" s="42" t="n">
        <v>2</v>
      </c>
      <c r="C15" s="42" t="n">
        <v>2</v>
      </c>
      <c r="D15" s="42" t="n">
        <v>0.5</v>
      </c>
      <c r="E15" s="42" t="n">
        <v>5</v>
      </c>
      <c r="F15" s="42" t="n">
        <v>2</v>
      </c>
    </row>
    <row r="16">
      <c r="A16" s="42" t="inlineStr">
        <is>
          <t>Arizona State</t>
        </is>
      </c>
      <c r="B16" s="42" t="n">
        <v>2</v>
      </c>
      <c r="C16" s="42" t="n">
        <v>2</v>
      </c>
      <c r="D16" s="42" t="n">
        <v>0.5</v>
      </c>
      <c r="E16" s="42" t="n">
        <v>4</v>
      </c>
      <c r="F16" s="42" t="n">
        <v>3</v>
      </c>
    </row>
    <row r="17">
      <c r="A17" s="42" t="inlineStr">
        <is>
          <t>Baylor</t>
        </is>
      </c>
      <c r="B17" s="42" t="n">
        <v>2</v>
      </c>
      <c r="C17" s="42" t="n">
        <v>2</v>
      </c>
      <c r="D17" s="42" t="n">
        <v>0.5</v>
      </c>
      <c r="E17" s="42" t="n">
        <v>4</v>
      </c>
      <c r="F17" s="42" t="n">
        <v>3</v>
      </c>
    </row>
    <row r="18">
      <c r="A18" s="42" t="inlineStr">
        <is>
          <t>UCF</t>
        </is>
      </c>
      <c r="B18" s="42" t="n">
        <v>2</v>
      </c>
      <c r="C18" s="42" t="n">
        <v>2</v>
      </c>
      <c r="D18" s="42" t="n">
        <v>0.5</v>
      </c>
      <c r="E18" s="42" t="n">
        <v>4</v>
      </c>
      <c r="F18" s="42" t="n">
        <v>3</v>
      </c>
    </row>
    <row r="19">
      <c r="A19" s="42" t="inlineStr">
        <is>
          <t>West Virginia</t>
        </is>
      </c>
      <c r="B19" s="42" t="n">
        <v>2</v>
      </c>
      <c r="C19" s="42" t="n">
        <v>3</v>
      </c>
      <c r="D19" s="42" t="n">
        <v>0.4</v>
      </c>
      <c r="E19" s="42" t="n">
        <v>5</v>
      </c>
      <c r="F19" s="42" t="n">
        <v>3</v>
      </c>
    </row>
    <row r="20" ht="26.5" customHeight="1">
      <c r="A20" s="42" t="inlineStr">
        <is>
          <t>Kansas State</t>
        </is>
      </c>
      <c r="B20" s="42" t="n">
        <v>1</v>
      </c>
      <c r="C20" s="42" t="n">
        <v>3</v>
      </c>
      <c r="D20" s="42" t="n">
        <v>0.25</v>
      </c>
      <c r="E20" s="42" t="n">
        <v>4</v>
      </c>
      <c r="F20" s="42" t="n">
        <v>3</v>
      </c>
    </row>
    <row r="21">
      <c r="A21" s="42" t="inlineStr">
        <is>
          <t>Iowa State</t>
        </is>
      </c>
      <c r="B21" s="42" t="n">
        <v>1</v>
      </c>
      <c r="C21" s="42" t="n">
        <v>3</v>
      </c>
      <c r="D21" s="42" t="n">
        <v>0.25</v>
      </c>
      <c r="E21" s="42" t="n">
        <v>3</v>
      </c>
      <c r="F21" s="42" t="n">
        <v>4</v>
      </c>
    </row>
    <row r="22">
      <c r="A22" s="42" t="inlineStr">
        <is>
          <t>Kansas</t>
        </is>
      </c>
      <c r="B22" s="42" t="n">
        <v>1</v>
      </c>
      <c r="C22" s="42" t="n">
        <v>3</v>
      </c>
      <c r="D22" s="42" t="n">
        <v>0.25</v>
      </c>
      <c r="E22" s="42" t="n">
        <v>3</v>
      </c>
      <c r="F22" s="42" t="n">
        <v>4</v>
      </c>
    </row>
    <row r="23">
      <c r="A23" s="42" t="inlineStr">
        <is>
          <t>TCU</t>
        </is>
      </c>
      <c r="B23" s="42" t="n">
        <v>1</v>
      </c>
      <c r="C23" s="42" t="n">
        <v>3</v>
      </c>
      <c r="D23" s="42" t="n">
        <v>0.25</v>
      </c>
      <c r="E23" s="42" t="n">
        <v>3</v>
      </c>
      <c r="F23" s="42" t="n">
        <v>4</v>
      </c>
    </row>
    <row r="24">
      <c r="A24" s="42" t="inlineStr">
        <is>
          <t>Colorado</t>
        </is>
      </c>
      <c r="B24" s="42" t="n">
        <v>0</v>
      </c>
      <c r="C24" s="42" t="n">
        <v>4</v>
      </c>
      <c r="D24" s="42" t="n">
        <v>0</v>
      </c>
      <c r="E24" s="42" t="n">
        <v>2</v>
      </c>
      <c r="F24" s="42" t="n">
        <v>5</v>
      </c>
    </row>
    <row r="25" ht="26.5" customHeight="1"/>
    <row r="26" ht="26.25" customHeight="1">
      <c r="A26" s="41" t="inlineStr">
        <is>
          <t>Week 9</t>
        </is>
      </c>
    </row>
    <row r="27" ht="26.5" customHeight="1">
      <c r="A27" s="46" t="inlineStr">
        <is>
          <t>Week</t>
        </is>
      </c>
      <c r="B27" s="46" t="inlineStr">
        <is>
          <t>Date</t>
        </is>
      </c>
      <c r="C27" s="46" t="inlineStr">
        <is>
          <t>Home Conf</t>
        </is>
      </c>
      <c r="D27" s="46" t="inlineStr">
        <is>
          <t>Away Conf</t>
        </is>
      </c>
      <c r="E27" s="46" t="inlineStr">
        <is>
          <t>Away Team</t>
        </is>
      </c>
      <c r="F27" s="46" t="inlineStr">
        <is>
          <t>Home Team</t>
        </is>
      </c>
      <c r="G27" s="46" t="inlineStr">
        <is>
          <t>Model Line (Home)</t>
        </is>
      </c>
      <c r="H27" s="46" t="inlineStr">
        <is>
          <t>Market Line (Home)</t>
        </is>
      </c>
      <c r="I27" s="46" t="inlineStr">
        <is>
          <t>Spread Edge (pts)</t>
        </is>
      </c>
      <c r="J27" s="46" t="inlineStr">
        <is>
          <t>Ridge Line (Home)</t>
        </is>
      </c>
      <c r="K27" s="46" t="inlineStr">
        <is>
          <t>Massey Line (Home)</t>
        </is>
      </c>
      <c r="L27" s="46" t="inlineStr">
        <is>
          <t>Model Total</t>
        </is>
      </c>
      <c r="M27" s="46" t="inlineStr">
        <is>
          <t>Market Total</t>
        </is>
      </c>
      <c r="N27" s="46" t="inlineStr">
        <is>
          <t>Total Edge (pts)</t>
        </is>
      </c>
      <c r="O27" s="46" t="inlineStr">
        <is>
          <t>Away Pts</t>
        </is>
      </c>
      <c r="P27" s="46" t="inlineStr">
        <is>
          <t>Home Pts</t>
        </is>
      </c>
      <c r="Q27" s="46" t="inlineStr">
        <is>
          <t>Model Result (SU)</t>
        </is>
      </c>
      <c r="R27" s="46" t="inlineStr">
        <is>
          <t>XGBoost Line (Home)</t>
        </is>
      </c>
      <c r="S27" s="46" t="inlineStr">
        <is>
          <t>Gamma ATS</t>
        </is>
      </c>
      <c r="T27" s="46" t="inlineStr">
        <is>
          <t>Ridge ATS</t>
        </is>
      </c>
      <c r="U27" s="46" t="inlineStr">
        <is>
          <t>XGBoost ATS</t>
        </is>
      </c>
      <c r="V27" s="46" t="inlineStr">
        <is>
          <t>Massey ATS</t>
        </is>
      </c>
    </row>
    <row r="28">
      <c r="A28" s="42" t="n">
        <v>9</v>
      </c>
      <c r="B28" s="42" t="inlineStr">
        <is>
          <t>2026-10-30</t>
        </is>
      </c>
      <c r="C28" s="42" t="inlineStr">
        <is>
          <t>Big 12</t>
        </is>
      </c>
      <c r="D28" s="42" t="inlineStr">
        <is>
          <t>Big 12</t>
        </is>
      </c>
      <c r="E28" s="42" t="inlineStr">
        <is>
          <t>Baylor</t>
        </is>
      </c>
      <c r="F28" s="42" t="inlineStr">
        <is>
          <t>UCF</t>
        </is>
      </c>
      <c r="G28" s="42" t="n">
        <v>1.1</v>
      </c>
      <c r="H28" s="42" t="n">
        <v>-2.5</v>
      </c>
      <c r="I28" s="47" t="n">
        <v>-3.6</v>
      </c>
      <c r="J28" s="42" t="n">
        <v>3</v>
      </c>
      <c r="K28" s="42" t="n">
        <v>-4.2</v>
      </c>
      <c r="L28" s="42" t="n">
        <v>47.7</v>
      </c>
      <c r="M28" s="42" t="n">
        <v>47.5</v>
      </c>
      <c r="N28" s="42" t="n">
        <v>0.2</v>
      </c>
      <c r="O28" s="42" t="n"/>
      <c r="P28" s="42" t="n"/>
      <c r="Q28" s="42" t="n"/>
      <c r="R28" s="42" t="n">
        <v>3.1</v>
      </c>
      <c r="S28" s="51" t="n"/>
      <c r="T28" s="51" t="n"/>
      <c r="U28" s="51" t="n"/>
      <c r="V28" s="51" t="n"/>
    </row>
    <row r="29">
      <c r="A29" s="42" t="n">
        <v>9</v>
      </c>
      <c r="B29" s="42" t="inlineStr">
        <is>
          <t>2026-10-31</t>
        </is>
      </c>
      <c r="C29" s="42" t="inlineStr">
        <is>
          <t>Big 12</t>
        </is>
      </c>
      <c r="D29" s="42" t="inlineStr">
        <is>
          <t>Big 12</t>
        </is>
      </c>
      <c r="E29" s="42" t="inlineStr">
        <is>
          <t>Arizona State</t>
        </is>
      </c>
      <c r="F29" s="42" t="inlineStr">
        <is>
          <t>BYU</t>
        </is>
      </c>
      <c r="G29" s="42" t="n">
        <v>-14.5</v>
      </c>
      <c r="H29" s="42" t="n">
        <v>-15.5</v>
      </c>
      <c r="I29" s="42" t="n">
        <v>-1</v>
      </c>
      <c r="J29" s="42" t="n">
        <v>-16.9</v>
      </c>
      <c r="K29" s="42" t="n">
        <v>-16.3</v>
      </c>
      <c r="L29" s="42" t="n">
        <v>50.2</v>
      </c>
      <c r="M29" s="42" t="n">
        <v>49.5</v>
      </c>
      <c r="N29" s="42" t="n">
        <v>0.7</v>
      </c>
      <c r="O29" s="42" t="n"/>
      <c r="P29" s="42" t="n"/>
      <c r="Q29" s="42" t="n"/>
      <c r="R29" s="42" t="n">
        <v>-16.1</v>
      </c>
      <c r="S29" s="51" t="n"/>
      <c r="T29" s="51" t="n"/>
      <c r="U29" s="51" t="n"/>
      <c r="V29" s="51" t="n"/>
    </row>
    <row r="30">
      <c r="A30" s="42" t="n">
        <v>9</v>
      </c>
      <c r="B30" s="42" t="inlineStr">
        <is>
          <t>2026-10-31</t>
        </is>
      </c>
      <c r="C30" s="42" t="inlineStr">
        <is>
          <t>Big 12</t>
        </is>
      </c>
      <c r="D30" s="42" t="inlineStr">
        <is>
          <t>Big 12</t>
        </is>
      </c>
      <c r="E30" s="42" t="inlineStr">
        <is>
          <t>Utah</t>
        </is>
      </c>
      <c r="F30" s="42" t="inlineStr">
        <is>
          <t>Cincinnati</t>
        </is>
      </c>
      <c r="G30" s="42" t="n">
        <v>8.9</v>
      </c>
      <c r="H30" s="42" t="n">
        <v>6.5</v>
      </c>
      <c r="I30" s="47" t="n">
        <v>-2.4</v>
      </c>
      <c r="J30" s="42" t="n">
        <v>14.6</v>
      </c>
      <c r="K30" s="42" t="n">
        <v>6.6</v>
      </c>
      <c r="L30" s="42" t="n">
        <v>57.2</v>
      </c>
      <c r="M30" s="42" t="n">
        <v>57.5</v>
      </c>
      <c r="N30" s="42" t="n">
        <v>-0.3</v>
      </c>
      <c r="O30" s="42" t="n"/>
      <c r="P30" s="42" t="n"/>
      <c r="Q30" s="42" t="n"/>
      <c r="R30" s="42" t="n">
        <v>11</v>
      </c>
      <c r="S30" s="51" t="n"/>
      <c r="T30" s="51" t="n"/>
      <c r="U30" s="51" t="n"/>
      <c r="V30" s="51" t="n"/>
    </row>
    <row r="31">
      <c r="A31" s="42" t="n">
        <v>9</v>
      </c>
      <c r="B31" s="42" t="inlineStr">
        <is>
          <t>2026-10-31</t>
        </is>
      </c>
      <c r="C31" s="42" t="inlineStr">
        <is>
          <t>Big 12</t>
        </is>
      </c>
      <c r="D31" s="42" t="inlineStr">
        <is>
          <t>Big 12</t>
        </is>
      </c>
      <c r="E31" s="42" t="inlineStr">
        <is>
          <t>Kansas State</t>
        </is>
      </c>
      <c r="F31" s="42" t="inlineStr">
        <is>
          <t>Colorado</t>
        </is>
      </c>
      <c r="G31" s="42" t="n">
        <v>4.7</v>
      </c>
      <c r="H31" s="42" t="n">
        <v>2.5</v>
      </c>
      <c r="I31" s="47" t="n">
        <v>-2.2</v>
      </c>
      <c r="J31" s="42" t="n">
        <v>10.4</v>
      </c>
      <c r="K31" s="42" t="n">
        <v>6.4</v>
      </c>
      <c r="L31" s="42" t="n">
        <v>49.6</v>
      </c>
      <c r="M31" s="42" t="n">
        <v>48.5</v>
      </c>
      <c r="N31" s="42" t="n">
        <v>1.1</v>
      </c>
      <c r="O31" s="42" t="n"/>
      <c r="P31" s="42" t="n"/>
      <c r="Q31" s="42" t="n"/>
      <c r="R31" s="42" t="n">
        <v>11.1</v>
      </c>
      <c r="S31" s="51" t="n"/>
      <c r="T31" s="51" t="n"/>
      <c r="U31" s="51" t="n"/>
      <c r="V31" s="51" t="n"/>
    </row>
    <row r="32">
      <c r="A32" s="42" t="n">
        <v>9</v>
      </c>
      <c r="B32" s="42" t="inlineStr">
        <is>
          <t>2026-10-31</t>
        </is>
      </c>
      <c r="C32" s="42" t="inlineStr">
        <is>
          <t>Big 12</t>
        </is>
      </c>
      <c r="D32" s="42" t="inlineStr">
        <is>
          <t>Big 12</t>
        </is>
      </c>
      <c r="E32" s="42" t="inlineStr">
        <is>
          <t>Oklahoma State</t>
        </is>
      </c>
      <c r="F32" s="42" t="inlineStr">
        <is>
          <t>Iowa State</t>
        </is>
      </c>
      <c r="G32" s="42" t="n">
        <v>-6</v>
      </c>
      <c r="H32" s="42" t="n">
        <v>10</v>
      </c>
      <c r="I32" s="56" t="n">
        <v>16</v>
      </c>
      <c r="J32" s="42" t="n">
        <v>-5.6</v>
      </c>
      <c r="K32" s="42" t="n">
        <v>7.4</v>
      </c>
      <c r="L32" s="42" t="n">
        <v>49</v>
      </c>
      <c r="M32" s="42" t="n">
        <v>57.5</v>
      </c>
      <c r="N32" s="47" t="n">
        <v>-8.5</v>
      </c>
      <c r="O32" s="42" t="n"/>
      <c r="P32" s="42" t="n"/>
      <c r="Q32" s="42" t="n"/>
      <c r="R32" s="42" t="n">
        <v>-11</v>
      </c>
      <c r="S32" s="51" t="n"/>
      <c r="T32" s="51" t="n"/>
      <c r="U32" s="51" t="n"/>
      <c r="V32" s="51" t="n"/>
    </row>
    <row r="33">
      <c r="A33" s="42" t="n">
        <v>9</v>
      </c>
      <c r="B33" s="42" t="inlineStr">
        <is>
          <t>2026-10-31</t>
        </is>
      </c>
      <c r="C33" s="42" t="inlineStr">
        <is>
          <t>Big 12</t>
        </is>
      </c>
      <c r="D33" s="42" t="inlineStr">
        <is>
          <t>Big 12</t>
        </is>
      </c>
      <c r="E33" s="42" t="inlineStr">
        <is>
          <t>Kansas</t>
        </is>
      </c>
      <c r="F33" s="42" t="inlineStr">
        <is>
          <t>TCU</t>
        </is>
      </c>
      <c r="G33" s="42" t="n">
        <v>-6</v>
      </c>
      <c r="H33" s="42" t="n">
        <v>-5.5</v>
      </c>
      <c r="I33" s="42" t="n">
        <v>0.5</v>
      </c>
      <c r="J33" s="42" t="n">
        <v>-9.699999999999999</v>
      </c>
      <c r="K33" s="42" t="n">
        <v>-5.5</v>
      </c>
      <c r="L33" s="42" t="n">
        <v>48.7</v>
      </c>
      <c r="M33" s="42" t="n">
        <v>46.5</v>
      </c>
      <c r="N33" s="47" t="n">
        <v>2.2</v>
      </c>
      <c r="O33" s="42" t="n"/>
      <c r="P33" s="42" t="n"/>
      <c r="Q33" s="42" t="n"/>
      <c r="R33" s="42" t="n">
        <v>-9.6</v>
      </c>
      <c r="S33" s="51" t="n"/>
      <c r="T33" s="51" t="n"/>
      <c r="U33" s="51" t="n"/>
      <c r="V33" s="51" t="n"/>
    </row>
    <row r="34" ht="15.75" customHeight="1">
      <c r="A34" s="42" t="n">
        <v>9</v>
      </c>
      <c r="B34" s="42" t="inlineStr">
        <is>
          <t>2026-10-31</t>
        </is>
      </c>
      <c r="C34" s="42" t="inlineStr">
        <is>
          <t>Big 12</t>
        </is>
      </c>
      <c r="D34" s="42" t="inlineStr">
        <is>
          <t>Big 12</t>
        </is>
      </c>
      <c r="E34" s="42" t="inlineStr">
        <is>
          <t>Arizona</t>
        </is>
      </c>
      <c r="F34" s="42" t="inlineStr">
        <is>
          <t>Texas Tech</t>
        </is>
      </c>
      <c r="G34" s="42" t="n">
        <v>-4.6</v>
      </c>
      <c r="H34" s="42" t="n">
        <v>-3.5</v>
      </c>
      <c r="I34" s="42" t="n">
        <v>1.1</v>
      </c>
      <c r="J34" s="42" t="n">
        <v>-3.6</v>
      </c>
      <c r="K34" s="42" t="n">
        <v>-1.8</v>
      </c>
      <c r="L34" s="42" t="n">
        <v>49.3</v>
      </c>
      <c r="M34" s="42" t="n">
        <v>54.5</v>
      </c>
      <c r="N34" s="47" t="n">
        <v>-5.2</v>
      </c>
      <c r="O34" s="42" t="n"/>
      <c r="P34" s="42" t="n"/>
      <c r="Q34" s="42" t="n"/>
      <c r="R34" s="42" t="n">
        <v>-6.1</v>
      </c>
      <c r="S34" s="51" t="n"/>
      <c r="T34" s="51" t="n"/>
      <c r="U34" s="51" t="n"/>
      <c r="V34" s="51" t="n"/>
    </row>
    <row r="35" ht="26.25" customHeight="1"/>
    <row r="36" ht="26.5" customHeight="1">
      <c r="A36" s="41" t="inlineStr">
        <is>
          <t>Week 8</t>
        </is>
      </c>
    </row>
    <row r="37" ht="26.25" customHeight="1">
      <c r="A37" s="46" t="inlineStr">
        <is>
          <t>Week</t>
        </is>
      </c>
      <c r="B37" s="46" t="inlineStr">
        <is>
          <t>Date</t>
        </is>
      </c>
      <c r="C37" s="46" t="inlineStr">
        <is>
          <t>Home Conf</t>
        </is>
      </c>
      <c r="D37" s="46" t="inlineStr">
        <is>
          <t>Away Conf</t>
        </is>
      </c>
      <c r="E37" s="46" t="inlineStr">
        <is>
          <t>Away Team</t>
        </is>
      </c>
      <c r="F37" s="46" t="inlineStr">
        <is>
          <t>Home Team</t>
        </is>
      </c>
      <c r="G37" s="46" t="inlineStr">
        <is>
          <t>Model Line (Home)</t>
        </is>
      </c>
      <c r="H37" s="46" t="inlineStr">
        <is>
          <t>Market Line (Home)</t>
        </is>
      </c>
      <c r="I37" s="46" t="inlineStr">
        <is>
          <t>Spread Edge (pts)</t>
        </is>
      </c>
      <c r="J37" s="46" t="inlineStr">
        <is>
          <t>Ridge Line (Home)</t>
        </is>
      </c>
      <c r="K37" s="46" t="inlineStr">
        <is>
          <t>Massey Line (Home)</t>
        </is>
      </c>
      <c r="L37" s="46" t="inlineStr">
        <is>
          <t>Model Total</t>
        </is>
      </c>
      <c r="M37" s="46" t="inlineStr">
        <is>
          <t>Market Total</t>
        </is>
      </c>
      <c r="N37" s="46" t="inlineStr">
        <is>
          <t>Total Edge (pts)</t>
        </is>
      </c>
      <c r="O37" s="46" t="inlineStr">
        <is>
          <t>Away Pts</t>
        </is>
      </c>
      <c r="P37" s="46" t="inlineStr">
        <is>
          <t>Home Pts</t>
        </is>
      </c>
      <c r="Q37" s="46" t="inlineStr">
        <is>
          <t>Model Result (SU)</t>
        </is>
      </c>
      <c r="R37" s="46" t="inlineStr">
        <is>
          <t>XGBoost Line (Home)</t>
        </is>
      </c>
      <c r="S37" s="46" t="inlineStr">
        <is>
          <t>Gamma ATS</t>
        </is>
      </c>
      <c r="T37" s="46" t="inlineStr">
        <is>
          <t>Ridge ATS</t>
        </is>
      </c>
      <c r="U37" s="46" t="inlineStr">
        <is>
          <t>XGBoost ATS</t>
        </is>
      </c>
      <c r="V37" s="46" t="inlineStr">
        <is>
          <t>Massey ATS</t>
        </is>
      </c>
    </row>
    <row r="38" ht="26.25" customHeight="1">
      <c r="A38" s="42" t="n">
        <v>8</v>
      </c>
      <c r="B38" s="42" t="inlineStr">
        <is>
          <t>2026-10-24</t>
        </is>
      </c>
      <c r="C38" s="42" t="inlineStr">
        <is>
          <t>Big 12</t>
        </is>
      </c>
      <c r="D38" s="42" t="inlineStr">
        <is>
          <t>Big 12</t>
        </is>
      </c>
      <c r="E38" s="42" t="inlineStr">
        <is>
          <t>Iowa State</t>
        </is>
      </c>
      <c r="F38" s="42" t="inlineStr">
        <is>
          <t>Arizona</t>
        </is>
      </c>
      <c r="G38" s="42" t="n">
        <v>-7.5</v>
      </c>
      <c r="H38" s="42" t="n">
        <v>-9.800000000000001</v>
      </c>
      <c r="I38" s="47" t="n">
        <v>-2.3</v>
      </c>
      <c r="J38" s="42" t="n">
        <v>-13.3</v>
      </c>
      <c r="K38" s="42" t="n">
        <v>-6.2</v>
      </c>
      <c r="L38" s="42" t="n">
        <v>48.9</v>
      </c>
      <c r="M38" s="42" t="n">
        <v>51.5</v>
      </c>
      <c r="N38" s="47" t="n">
        <v>-2.6</v>
      </c>
      <c r="O38" s="42" t="n">
        <v>3</v>
      </c>
      <c r="P38" s="42" t="n">
        <v>39</v>
      </c>
      <c r="Q38" s="47" t="inlineStr">
        <is>
          <t>Win</t>
        </is>
      </c>
      <c r="R38" s="42" t="n">
        <v>-13.2</v>
      </c>
      <c r="S38" s="53" t="inlineStr">
        <is>
          <t>Loss</t>
        </is>
      </c>
      <c r="T38" s="52" t="inlineStr">
        <is>
          <t>Win</t>
        </is>
      </c>
      <c r="U38" s="52" t="inlineStr">
        <is>
          <t>Win</t>
        </is>
      </c>
      <c r="V38" s="53" t="inlineStr">
        <is>
          <t>Loss</t>
        </is>
      </c>
    </row>
    <row r="39">
      <c r="A39" s="42" t="n">
        <v>8</v>
      </c>
      <c r="B39" s="42" t="inlineStr">
        <is>
          <t>2026-10-24</t>
        </is>
      </c>
      <c r="C39" s="42" t="inlineStr">
        <is>
          <t>Big 12</t>
        </is>
      </c>
      <c r="D39" s="42" t="inlineStr">
        <is>
          <t>Big 12</t>
        </is>
      </c>
      <c r="E39" s="42" t="inlineStr">
        <is>
          <t>Kansas State</t>
        </is>
      </c>
      <c r="F39" s="42" t="inlineStr">
        <is>
          <t>Arizona State</t>
        </is>
      </c>
      <c r="G39" s="42" t="n">
        <v>0.4</v>
      </c>
      <c r="H39" s="42" t="n">
        <v>2.5</v>
      </c>
      <c r="I39" s="47" t="n">
        <v>2.1</v>
      </c>
      <c r="J39" s="42" t="n">
        <v>2.1</v>
      </c>
      <c r="K39" s="42" t="n">
        <v>6.3</v>
      </c>
      <c r="L39" s="42" t="n">
        <v>52</v>
      </c>
      <c r="M39" s="42" t="n">
        <v>55.2</v>
      </c>
      <c r="N39" s="47" t="n">
        <v>-3.2</v>
      </c>
      <c r="O39" s="42" t="n">
        <v>17</v>
      </c>
      <c r="P39" s="42" t="n">
        <v>28</v>
      </c>
      <c r="Q39" s="48" t="inlineStr">
        <is>
          <t>Loss</t>
        </is>
      </c>
      <c r="R39" s="42" t="n">
        <v>1.5</v>
      </c>
      <c r="S39" s="52" t="inlineStr">
        <is>
          <t>Win</t>
        </is>
      </c>
      <c r="T39" s="53" t="inlineStr">
        <is>
          <t>Loss</t>
        </is>
      </c>
      <c r="U39" s="52" t="inlineStr">
        <is>
          <t>Win</t>
        </is>
      </c>
      <c r="V39" s="53" t="inlineStr">
        <is>
          <t>Loss</t>
        </is>
      </c>
    </row>
    <row r="40">
      <c r="A40" s="42" t="n">
        <v>8</v>
      </c>
      <c r="B40" s="42" t="inlineStr">
        <is>
          <t>2026-10-24</t>
        </is>
      </c>
      <c r="C40" s="42" t="inlineStr">
        <is>
          <t>Big 12</t>
        </is>
      </c>
      <c r="D40" s="42" t="inlineStr">
        <is>
          <t>Big 12</t>
        </is>
      </c>
      <c r="E40" s="42" t="inlineStr">
        <is>
          <t>Texas Tech</t>
        </is>
      </c>
      <c r="F40" s="42" t="inlineStr">
        <is>
          <t>Cincinnati</t>
        </is>
      </c>
      <c r="G40" s="42" t="n">
        <v>13.7</v>
      </c>
      <c r="H40" s="42" t="n">
        <v>11.5</v>
      </c>
      <c r="I40" s="47" t="n">
        <v>-2.2</v>
      </c>
      <c r="J40" s="42" t="n">
        <v>16.9</v>
      </c>
      <c r="K40" s="42" t="n">
        <v>8.4</v>
      </c>
      <c r="L40" s="42" t="n">
        <v>55</v>
      </c>
      <c r="M40" s="42" t="n">
        <v>56.8</v>
      </c>
      <c r="N40" s="42" t="n">
        <v>-1.7</v>
      </c>
      <c r="O40" s="42" t="n">
        <v>24</v>
      </c>
      <c r="P40" s="42" t="n">
        <v>37</v>
      </c>
      <c r="Q40" s="48" t="inlineStr">
        <is>
          <t>Loss</t>
        </is>
      </c>
      <c r="R40" s="42" t="n">
        <v>14.8</v>
      </c>
      <c r="S40" s="53" t="inlineStr">
        <is>
          <t>Loss</t>
        </is>
      </c>
      <c r="T40" s="53" t="inlineStr">
        <is>
          <t>Loss</t>
        </is>
      </c>
      <c r="U40" s="53" t="inlineStr">
        <is>
          <t>Loss</t>
        </is>
      </c>
      <c r="V40" s="52" t="inlineStr">
        <is>
          <t>Win</t>
        </is>
      </c>
    </row>
    <row r="41">
      <c r="A41" s="42" t="n">
        <v>8</v>
      </c>
      <c r="B41" s="42" t="inlineStr">
        <is>
          <t>2026-10-24</t>
        </is>
      </c>
      <c r="C41" s="42" t="inlineStr">
        <is>
          <t>Big 12</t>
        </is>
      </c>
      <c r="D41" s="42" t="inlineStr">
        <is>
          <t>Big 12</t>
        </is>
      </c>
      <c r="E41" s="42" t="inlineStr">
        <is>
          <t>Baylor</t>
        </is>
      </c>
      <c r="F41" s="42" t="inlineStr">
        <is>
          <t>Kansas</t>
        </is>
      </c>
      <c r="G41" s="42" t="n">
        <v>3.1</v>
      </c>
      <c r="H41" s="42" t="n">
        <v>1.2</v>
      </c>
      <c r="I41" s="42" t="n">
        <v>-1.9</v>
      </c>
      <c r="J41" s="42" t="n">
        <v>4.7</v>
      </c>
      <c r="K41" s="42" t="n">
        <v>2.2</v>
      </c>
      <c r="L41" s="42" t="n">
        <v>51.5</v>
      </c>
      <c r="M41" s="42" t="n">
        <v>53.5</v>
      </c>
      <c r="N41" s="47" t="n">
        <v>-2</v>
      </c>
      <c r="O41" s="42" t="n">
        <v>24</v>
      </c>
      <c r="P41" s="42" t="n">
        <v>25</v>
      </c>
      <c r="Q41" s="48" t="inlineStr">
        <is>
          <t>Loss</t>
        </is>
      </c>
      <c r="R41" s="42" t="n">
        <v>6.2</v>
      </c>
      <c r="S41" s="53" t="inlineStr">
        <is>
          <t>Loss</t>
        </is>
      </c>
      <c r="T41" s="53" t="inlineStr">
        <is>
          <t>Loss</t>
        </is>
      </c>
      <c r="U41" s="53" t="inlineStr">
        <is>
          <t>Loss</t>
        </is>
      </c>
      <c r="V41" s="53" t="inlineStr">
        <is>
          <t>Loss</t>
        </is>
      </c>
    </row>
    <row r="42">
      <c r="A42" s="42" t="n">
        <v>8</v>
      </c>
      <c r="B42" s="42" t="inlineStr">
        <is>
          <t>2026-10-24</t>
        </is>
      </c>
      <c r="C42" s="42" t="inlineStr">
        <is>
          <t>Big 12</t>
        </is>
      </c>
      <c r="D42" s="42" t="inlineStr">
        <is>
          <t>Big 12</t>
        </is>
      </c>
      <c r="E42" s="42" t="inlineStr">
        <is>
          <t>Colorado</t>
        </is>
      </c>
      <c r="F42" s="42" t="inlineStr">
        <is>
          <t>Oklahoma State</t>
        </is>
      </c>
      <c r="G42" s="42" t="n">
        <v>-1.5</v>
      </c>
      <c r="H42" s="42" t="n">
        <v>-13.5</v>
      </c>
      <c r="I42" s="56" t="n">
        <v>-12</v>
      </c>
      <c r="J42" s="42" t="n">
        <v>-5.1</v>
      </c>
      <c r="K42" s="42" t="n">
        <v>-16</v>
      </c>
      <c r="L42" s="42" t="n">
        <v>46.4</v>
      </c>
      <c r="M42" s="42" t="n">
        <v>56.2</v>
      </c>
      <c r="N42" s="47" t="n">
        <v>-9.9</v>
      </c>
      <c r="O42" s="42" t="n">
        <v>24</v>
      </c>
      <c r="P42" s="42" t="n">
        <v>57</v>
      </c>
      <c r="Q42" s="47" t="inlineStr">
        <is>
          <t>Win</t>
        </is>
      </c>
      <c r="R42" s="42" t="n">
        <v>-3.4</v>
      </c>
      <c r="S42" s="53" t="inlineStr">
        <is>
          <t>Loss</t>
        </is>
      </c>
      <c r="T42" s="53" t="inlineStr">
        <is>
          <t>Loss</t>
        </is>
      </c>
      <c r="U42" s="53" t="inlineStr">
        <is>
          <t>Loss</t>
        </is>
      </c>
      <c r="V42" s="52" t="inlineStr">
        <is>
          <t>Win</t>
        </is>
      </c>
    </row>
    <row r="43">
      <c r="A43" s="42" t="n">
        <v>8</v>
      </c>
      <c r="B43" s="42" t="inlineStr">
        <is>
          <t>2026-10-24</t>
        </is>
      </c>
      <c r="C43" s="42" t="inlineStr">
        <is>
          <t>Big 12</t>
        </is>
      </c>
      <c r="D43" s="42" t="inlineStr">
        <is>
          <t>Big 12</t>
        </is>
      </c>
      <c r="E43" s="42" t="inlineStr">
        <is>
          <t>West Virginia</t>
        </is>
      </c>
      <c r="F43" s="42" t="inlineStr">
        <is>
          <t>TCU</t>
        </is>
      </c>
      <c r="G43" s="42" t="n">
        <v>-15</v>
      </c>
      <c r="H43" s="42" t="n">
        <v>-10.2</v>
      </c>
      <c r="I43" s="56" t="n">
        <v>4.8</v>
      </c>
      <c r="J43" s="42" t="n">
        <v>-10.6</v>
      </c>
      <c r="K43" s="42" t="n">
        <v>-10.5</v>
      </c>
      <c r="L43" s="42" t="n">
        <v>51.4</v>
      </c>
      <c r="M43" s="42" t="n">
        <v>57.5</v>
      </c>
      <c r="N43" s="47" t="n">
        <v>-6.1</v>
      </c>
      <c r="O43" s="42" t="n">
        <v>24</v>
      </c>
      <c r="P43" s="42" t="n">
        <v>20</v>
      </c>
      <c r="Q43" s="48" t="inlineStr">
        <is>
          <t>Loss</t>
        </is>
      </c>
      <c r="R43" s="42" t="n">
        <v>-8.9</v>
      </c>
      <c r="S43" s="53" t="inlineStr">
        <is>
          <t>Loss</t>
        </is>
      </c>
      <c r="T43" s="53" t="inlineStr">
        <is>
          <t>Loss</t>
        </is>
      </c>
      <c r="U43" s="52" t="inlineStr">
        <is>
          <t>Win</t>
        </is>
      </c>
      <c r="V43" s="53" t="inlineStr">
        <is>
          <t>Loss</t>
        </is>
      </c>
    </row>
    <row r="44">
      <c r="A44" s="42" t="n">
        <v>8</v>
      </c>
      <c r="B44" s="42" t="inlineStr">
        <is>
          <t>2026-10-24</t>
        </is>
      </c>
      <c r="C44" s="42" t="inlineStr">
        <is>
          <t>Big 12</t>
        </is>
      </c>
      <c r="D44" s="42" t="inlineStr">
        <is>
          <t>Big 12</t>
        </is>
      </c>
      <c r="E44" s="42" t="inlineStr">
        <is>
          <t>BYU</t>
        </is>
      </c>
      <c r="F44" s="42" t="inlineStr">
        <is>
          <t>UCF</t>
        </is>
      </c>
      <c r="G44" s="42" t="n">
        <v>10.6</v>
      </c>
      <c r="H44" s="42" t="n">
        <v>7.5</v>
      </c>
      <c r="I44" s="47" t="n">
        <v>-3.1</v>
      </c>
      <c r="J44" s="42" t="n">
        <v>22.3</v>
      </c>
      <c r="K44" s="42" t="n">
        <v>1.8</v>
      </c>
      <c r="L44" s="42" t="n">
        <v>48.9</v>
      </c>
      <c r="M44" s="42" t="n">
        <v>43.5</v>
      </c>
      <c r="N44" s="47" t="n">
        <v>5.4</v>
      </c>
      <c r="O44" s="42" t="n">
        <v>31</v>
      </c>
      <c r="P44" s="42" t="n">
        <v>39</v>
      </c>
      <c r="Q44" s="48" t="inlineStr">
        <is>
          <t>Loss</t>
        </is>
      </c>
      <c r="R44" s="42" t="n">
        <v>18</v>
      </c>
      <c r="S44" s="53" t="inlineStr">
        <is>
          <t>Loss</t>
        </is>
      </c>
      <c r="T44" s="53" t="inlineStr">
        <is>
          <t>Loss</t>
        </is>
      </c>
      <c r="U44" s="53" t="inlineStr">
        <is>
          <t>Loss</t>
        </is>
      </c>
      <c r="V44" s="52" t="inlineStr">
        <is>
          <t>Win</t>
        </is>
      </c>
    </row>
    <row r="45" ht="15.75" customHeight="1">
      <c r="A45" s="42" t="n">
        <v>8</v>
      </c>
      <c r="B45" s="42" t="inlineStr">
        <is>
          <t>2026-10-25</t>
        </is>
      </c>
      <c r="C45" s="42" t="inlineStr">
        <is>
          <t>Big 12</t>
        </is>
      </c>
      <c r="D45" s="42" t="inlineStr">
        <is>
          <t>Big 12</t>
        </is>
      </c>
      <c r="E45" s="42" t="inlineStr">
        <is>
          <t>Houston</t>
        </is>
      </c>
      <c r="F45" s="42" t="inlineStr">
        <is>
          <t>Utah</t>
        </is>
      </c>
      <c r="G45" s="42" t="n">
        <v>-14.1</v>
      </c>
      <c r="H45" s="42" t="n">
        <v>-6.5</v>
      </c>
      <c r="I45" s="56" t="n">
        <v>7.6</v>
      </c>
      <c r="J45" s="42" t="n">
        <v>-7.6</v>
      </c>
      <c r="K45" s="42" t="n">
        <v>-1.6</v>
      </c>
      <c r="L45" s="42" t="n">
        <v>57</v>
      </c>
      <c r="M45" s="42" t="n">
        <v>56.8</v>
      </c>
      <c r="N45" s="42" t="n">
        <v>0.2</v>
      </c>
      <c r="O45" s="42" t="n">
        <v>13</v>
      </c>
      <c r="P45" s="42" t="n">
        <v>21</v>
      </c>
      <c r="Q45" s="47" t="inlineStr">
        <is>
          <t>Win</t>
        </is>
      </c>
      <c r="R45" s="42" t="n">
        <v>-7.4</v>
      </c>
      <c r="S45" s="52" t="inlineStr">
        <is>
          <t>Win</t>
        </is>
      </c>
      <c r="T45" s="52" t="inlineStr">
        <is>
          <t>Win</t>
        </is>
      </c>
      <c r="U45" s="52" t="inlineStr">
        <is>
          <t>Win</t>
        </is>
      </c>
      <c r="V45" s="53" t="inlineStr">
        <is>
          <t>Loss</t>
        </is>
      </c>
    </row>
    <row r="46" ht="26.25" customHeight="1"/>
    <row r="47" ht="15.75" customHeight="1">
      <c r="A47" s="41" t="inlineStr">
        <is>
          <t>Week 7</t>
        </is>
      </c>
    </row>
    <row r="48" ht="26.25" customHeight="1">
      <c r="A48" s="46" t="inlineStr">
        <is>
          <t>Week</t>
        </is>
      </c>
      <c r="B48" s="46" t="inlineStr">
        <is>
          <t>Date</t>
        </is>
      </c>
      <c r="C48" s="46" t="inlineStr">
        <is>
          <t>Home Conf</t>
        </is>
      </c>
      <c r="D48" s="46" t="inlineStr">
        <is>
          <t>Away Conf</t>
        </is>
      </c>
      <c r="E48" s="46" t="inlineStr">
        <is>
          <t>Away Team</t>
        </is>
      </c>
      <c r="F48" s="46" t="inlineStr">
        <is>
          <t>Home Team</t>
        </is>
      </c>
      <c r="G48" s="46" t="inlineStr">
        <is>
          <t>Model Line (Home)</t>
        </is>
      </c>
      <c r="H48" s="46" t="inlineStr">
        <is>
          <t>Market Line (Home)</t>
        </is>
      </c>
      <c r="I48" s="46" t="inlineStr">
        <is>
          <t>Spread Edge (pts)</t>
        </is>
      </c>
      <c r="J48" s="46" t="inlineStr">
        <is>
          <t>Ridge Line (Home)</t>
        </is>
      </c>
      <c r="K48" s="46" t="inlineStr">
        <is>
          <t>Massey Line (Home)</t>
        </is>
      </c>
      <c r="L48" s="46" t="inlineStr">
        <is>
          <t>Model Total</t>
        </is>
      </c>
      <c r="M48" s="46" t="inlineStr">
        <is>
          <t>Market Total</t>
        </is>
      </c>
      <c r="N48" s="46" t="inlineStr">
        <is>
          <t>Total Edge (pts)</t>
        </is>
      </c>
      <c r="O48" s="46" t="inlineStr">
        <is>
          <t>Away Pts</t>
        </is>
      </c>
      <c r="P48" s="46" t="inlineStr">
        <is>
          <t>Home Pts</t>
        </is>
      </c>
      <c r="Q48" s="46" t="inlineStr">
        <is>
          <t>Model Result (SU)</t>
        </is>
      </c>
      <c r="R48" s="46" t="inlineStr">
        <is>
          <t>XGBoost Line (Home)</t>
        </is>
      </c>
      <c r="S48" s="46" t="inlineStr">
        <is>
          <t>Gamma ATS</t>
        </is>
      </c>
      <c r="T48" s="46" t="inlineStr">
        <is>
          <t>Ridge ATS</t>
        </is>
      </c>
      <c r="U48" s="46" t="inlineStr">
        <is>
          <t>XGBoost ATS</t>
        </is>
      </c>
      <c r="V48" s="46" t="inlineStr">
        <is>
          <t>Massey ATS</t>
        </is>
      </c>
    </row>
    <row r="49">
      <c r="A49" s="42" t="n">
        <v>7</v>
      </c>
      <c r="B49" s="42" t="inlineStr">
        <is>
          <t>2026-10-17</t>
        </is>
      </c>
      <c r="C49" s="42" t="inlineStr">
        <is>
          <t>Big 12</t>
        </is>
      </c>
      <c r="D49" s="42" t="inlineStr">
        <is>
          <t>FBS Independents</t>
        </is>
      </c>
      <c r="E49" s="42" t="inlineStr">
        <is>
          <t>Notre Dame</t>
        </is>
      </c>
      <c r="F49" s="42" t="inlineStr">
        <is>
          <t>BYU</t>
        </is>
      </c>
      <c r="G49" s="42" t="n">
        <v>6.2</v>
      </c>
      <c r="H49" s="42" t="n">
        <v>10.5</v>
      </c>
      <c r="I49" s="56" t="n">
        <v>4.3</v>
      </c>
      <c r="J49" s="42" t="n">
        <v>-6.9</v>
      </c>
      <c r="K49" s="42" t="n">
        <v>6.2</v>
      </c>
      <c r="L49" s="42" t="n">
        <v>54.1</v>
      </c>
      <c r="M49" s="42" t="n">
        <v>46.5</v>
      </c>
      <c r="N49" s="47" t="n">
        <v>7.6</v>
      </c>
      <c r="O49" s="42" t="n">
        <v>24</v>
      </c>
      <c r="P49" s="42" t="n">
        <v>28</v>
      </c>
      <c r="Q49" s="48" t="inlineStr">
        <is>
          <t>Loss</t>
        </is>
      </c>
      <c r="R49" s="42" t="n">
        <v>1.5</v>
      </c>
      <c r="S49" s="52" t="inlineStr">
        <is>
          <t>Win</t>
        </is>
      </c>
      <c r="T49" s="52" t="inlineStr">
        <is>
          <t>Win</t>
        </is>
      </c>
      <c r="U49" s="52" t="inlineStr">
        <is>
          <t>Win</t>
        </is>
      </c>
      <c r="V49" s="52" t="inlineStr">
        <is>
          <t>Win</t>
        </is>
      </c>
    </row>
    <row r="50">
      <c r="A50" s="42" t="n">
        <v>7</v>
      </c>
      <c r="B50" s="42" t="inlineStr">
        <is>
          <t>2026-10-17</t>
        </is>
      </c>
      <c r="C50" s="42" t="inlineStr">
        <is>
          <t>Big 12</t>
        </is>
      </c>
      <c r="D50" s="42" t="inlineStr">
        <is>
          <t>Big 12</t>
        </is>
      </c>
      <c r="E50" s="42" t="inlineStr">
        <is>
          <t>TCU</t>
        </is>
      </c>
      <c r="F50" s="42" t="inlineStr">
        <is>
          <t>Baylor</t>
        </is>
      </c>
      <c r="G50" s="42" t="n">
        <v>-3.6</v>
      </c>
      <c r="H50" s="42" t="n">
        <v>-6</v>
      </c>
      <c r="I50" s="47" t="n">
        <v>-2.4</v>
      </c>
      <c r="J50" s="42" t="n">
        <v>-5</v>
      </c>
      <c r="K50" s="42" t="n">
        <v>-6.4</v>
      </c>
      <c r="L50" s="42" t="n">
        <v>48.4</v>
      </c>
      <c r="M50" s="42" t="n">
        <v>48.2</v>
      </c>
      <c r="N50" s="42" t="n">
        <v>0.1</v>
      </c>
      <c r="O50" s="42" t="n">
        <v>17</v>
      </c>
      <c r="P50" s="42" t="n">
        <v>6</v>
      </c>
      <c r="Q50" s="48" t="inlineStr">
        <is>
          <t>Loss</t>
        </is>
      </c>
      <c r="R50" s="42" t="n">
        <v>-1.5</v>
      </c>
      <c r="S50" s="52" t="inlineStr">
        <is>
          <t>Win</t>
        </is>
      </c>
      <c r="T50" s="52" t="inlineStr">
        <is>
          <t>Win</t>
        </is>
      </c>
      <c r="U50" s="52" t="inlineStr">
        <is>
          <t>Win</t>
        </is>
      </c>
      <c r="V50" s="53" t="inlineStr">
        <is>
          <t>Loss</t>
        </is>
      </c>
    </row>
    <row r="51">
      <c r="A51" s="42" t="n">
        <v>7</v>
      </c>
      <c r="B51" s="42" t="inlineStr">
        <is>
          <t>2026-10-17</t>
        </is>
      </c>
      <c r="C51" s="42" t="inlineStr">
        <is>
          <t>Big 12</t>
        </is>
      </c>
      <c r="D51" s="42" t="inlineStr">
        <is>
          <t>Big 12</t>
        </is>
      </c>
      <c r="E51" s="42" t="inlineStr">
        <is>
          <t>Oklahoma State</t>
        </is>
      </c>
      <c r="F51" s="42" t="inlineStr">
        <is>
          <t>Houston</t>
        </is>
      </c>
      <c r="G51" s="42" t="n">
        <v>-15.8</v>
      </c>
      <c r="H51" s="42" t="n">
        <v>-4.8</v>
      </c>
      <c r="I51" s="56" t="n">
        <v>11</v>
      </c>
      <c r="J51" s="42" t="n">
        <v>-18.4</v>
      </c>
      <c r="K51" s="42" t="n">
        <v>-8.9</v>
      </c>
      <c r="L51" s="42" t="n">
        <v>54.4</v>
      </c>
      <c r="M51" s="42" t="n">
        <v>62.5</v>
      </c>
      <c r="N51" s="47" t="n">
        <v>-8.1</v>
      </c>
      <c r="O51" s="42" t="n">
        <v>32</v>
      </c>
      <c r="P51" s="42" t="n">
        <v>35</v>
      </c>
      <c r="Q51" s="47" t="inlineStr">
        <is>
          <t>Win</t>
        </is>
      </c>
      <c r="R51" s="42" t="n">
        <v>-14.9</v>
      </c>
      <c r="S51" s="53" t="inlineStr">
        <is>
          <t>Loss</t>
        </is>
      </c>
      <c r="T51" s="53" t="inlineStr">
        <is>
          <t>Loss</t>
        </is>
      </c>
      <c r="U51" s="53" t="inlineStr">
        <is>
          <t>Loss</t>
        </is>
      </c>
      <c r="V51" s="53" t="inlineStr">
        <is>
          <t>Loss</t>
        </is>
      </c>
    </row>
    <row r="52">
      <c r="A52" s="42" t="n">
        <v>7</v>
      </c>
      <c r="B52" s="42" t="inlineStr">
        <is>
          <t>2026-10-17</t>
        </is>
      </c>
      <c r="C52" s="42" t="inlineStr">
        <is>
          <t>Big 12</t>
        </is>
      </c>
      <c r="D52" s="42" t="inlineStr">
        <is>
          <t>Big 12</t>
        </is>
      </c>
      <c r="E52" s="42" t="inlineStr">
        <is>
          <t>Kansas</t>
        </is>
      </c>
      <c r="F52" s="42" t="inlineStr">
        <is>
          <t>Kansas State</t>
        </is>
      </c>
      <c r="G52" s="42" t="n">
        <v>-6.5</v>
      </c>
      <c r="H52" s="42" t="n">
        <v>-4.5</v>
      </c>
      <c r="I52" s="47" t="n">
        <v>2</v>
      </c>
      <c r="J52" s="42" t="n">
        <v>-10.3</v>
      </c>
      <c r="K52" s="42" t="n">
        <v>-1.6</v>
      </c>
      <c r="L52" s="42" t="n">
        <v>55</v>
      </c>
      <c r="M52" s="42" t="n">
        <v>55.5</v>
      </c>
      <c r="N52" s="42" t="n">
        <v>-0.5</v>
      </c>
      <c r="O52" s="42" t="n">
        <v>24</v>
      </c>
      <c r="P52" s="42" t="n">
        <v>35</v>
      </c>
      <c r="Q52" s="47" t="inlineStr">
        <is>
          <t>Win</t>
        </is>
      </c>
      <c r="R52" s="42" t="n">
        <v>-10.9</v>
      </c>
      <c r="S52" s="52" t="inlineStr">
        <is>
          <t>Win</t>
        </is>
      </c>
      <c r="T52" s="52" t="inlineStr">
        <is>
          <t>Win</t>
        </is>
      </c>
      <c r="U52" s="52" t="inlineStr">
        <is>
          <t>Win</t>
        </is>
      </c>
      <c r="V52" s="53" t="inlineStr">
        <is>
          <t>Loss</t>
        </is>
      </c>
    </row>
    <row r="53">
      <c r="A53" s="42" t="n">
        <v>7</v>
      </c>
      <c r="B53" s="42" t="inlineStr">
        <is>
          <t>2026-10-17</t>
        </is>
      </c>
      <c r="C53" s="42" t="inlineStr">
        <is>
          <t>Big 12</t>
        </is>
      </c>
      <c r="D53" s="42" t="inlineStr">
        <is>
          <t>Big 12</t>
        </is>
      </c>
      <c r="E53" s="42" t="inlineStr">
        <is>
          <t>Arizona State</t>
        </is>
      </c>
      <c r="F53" s="42" t="inlineStr">
        <is>
          <t>Texas Tech</t>
        </is>
      </c>
      <c r="G53" s="42" t="n">
        <v>-18.4</v>
      </c>
      <c r="H53" s="42" t="n">
        <v>-15.5</v>
      </c>
      <c r="I53" s="47" t="n">
        <v>2.9</v>
      </c>
      <c r="J53" s="42" t="n">
        <v>-16.8</v>
      </c>
      <c r="K53" s="42" t="n">
        <v>-16.8</v>
      </c>
      <c r="L53" s="42" t="n">
        <v>47.7</v>
      </c>
      <c r="M53" s="42" t="n">
        <v>48.8</v>
      </c>
      <c r="N53" s="42" t="n">
        <v>-1.1</v>
      </c>
      <c r="O53" s="42" t="n">
        <v>25</v>
      </c>
      <c r="P53" s="42" t="n">
        <v>53</v>
      </c>
      <c r="Q53" s="47" t="inlineStr">
        <is>
          <t>Win</t>
        </is>
      </c>
      <c r="R53" s="42" t="n">
        <v>-18</v>
      </c>
      <c r="S53" s="52" t="inlineStr">
        <is>
          <t>Win</t>
        </is>
      </c>
      <c r="T53" s="52" t="inlineStr">
        <is>
          <t>Win</t>
        </is>
      </c>
      <c r="U53" s="52" t="inlineStr">
        <is>
          <t>Win</t>
        </is>
      </c>
      <c r="V53" s="52" t="inlineStr">
        <is>
          <t>Win</t>
        </is>
      </c>
    </row>
    <row r="54">
      <c r="A54" s="42" t="n">
        <v>7</v>
      </c>
      <c r="B54" s="42" t="inlineStr">
        <is>
          <t>2026-10-17</t>
        </is>
      </c>
      <c r="C54" s="42" t="inlineStr">
        <is>
          <t>Big 12</t>
        </is>
      </c>
      <c r="D54" s="42" t="inlineStr">
        <is>
          <t>Big 12</t>
        </is>
      </c>
      <c r="E54" s="42" t="inlineStr">
        <is>
          <t>Cincinnati</t>
        </is>
      </c>
      <c r="F54" s="42" t="inlineStr">
        <is>
          <t>West Virginia</t>
        </is>
      </c>
      <c r="G54" s="42" t="n">
        <v>3.7</v>
      </c>
      <c r="H54" s="42" t="n">
        <v>-1.8</v>
      </c>
      <c r="I54" s="56" t="n">
        <v>-5.5</v>
      </c>
      <c r="J54" s="42" t="n">
        <v>-0.3</v>
      </c>
      <c r="K54" s="42" t="n">
        <v>-1.8</v>
      </c>
      <c r="L54" s="42" t="n">
        <v>56.8</v>
      </c>
      <c r="M54" s="42" t="n">
        <v>63.5</v>
      </c>
      <c r="N54" s="47" t="n">
        <v>-6.7</v>
      </c>
      <c r="O54" s="42" t="n">
        <v>42</v>
      </c>
      <c r="P54" s="42" t="n">
        <v>45</v>
      </c>
      <c r="Q54" s="48" t="inlineStr">
        <is>
          <t>Loss</t>
        </is>
      </c>
      <c r="R54" s="42" t="n">
        <v>-1.7</v>
      </c>
      <c r="S54" s="53" t="inlineStr">
        <is>
          <t>Loss</t>
        </is>
      </c>
      <c r="T54" s="53" t="inlineStr">
        <is>
          <t>Loss</t>
        </is>
      </c>
      <c r="U54" s="52" t="inlineStr">
        <is>
          <t>Win</t>
        </is>
      </c>
      <c r="V54" s="52" t="inlineStr">
        <is>
          <t>Win</t>
        </is>
      </c>
    </row>
    <row r="55">
      <c r="A55" s="42" t="n">
        <v>7</v>
      </c>
      <c r="B55" s="42" t="inlineStr">
        <is>
          <t>2026-10-18</t>
        </is>
      </c>
      <c r="C55" s="42" t="inlineStr">
        <is>
          <t>Big 12</t>
        </is>
      </c>
      <c r="D55" s="42" t="inlineStr">
        <is>
          <t>Big 12</t>
        </is>
      </c>
      <c r="E55" s="42" t="inlineStr">
        <is>
          <t>Utah</t>
        </is>
      </c>
      <c r="F55" s="42" t="inlineStr">
        <is>
          <t>Colorado</t>
        </is>
      </c>
      <c r="G55" s="42" t="n">
        <v>20.8</v>
      </c>
      <c r="H55" s="42" t="n">
        <v>15.5</v>
      </c>
      <c r="I55" s="56" t="n">
        <v>-5.3</v>
      </c>
      <c r="J55" s="42" t="n">
        <v>20.9</v>
      </c>
      <c r="K55" s="42" t="n">
        <v>18.1</v>
      </c>
      <c r="L55" s="42" t="n">
        <v>47.6</v>
      </c>
      <c r="M55" s="42" t="n">
        <v>49.5</v>
      </c>
      <c r="N55" s="42" t="n">
        <v>-1.9</v>
      </c>
      <c r="O55" s="42" t="n">
        <v>27</v>
      </c>
      <c r="P55" s="42" t="n">
        <v>24</v>
      </c>
      <c r="Q55" s="47" t="inlineStr">
        <is>
          <t>Win</t>
        </is>
      </c>
      <c r="R55" s="42" t="n">
        <v>19.8</v>
      </c>
      <c r="S55" s="53" t="inlineStr">
        <is>
          <t>Loss</t>
        </is>
      </c>
      <c r="T55" s="53" t="inlineStr">
        <is>
          <t>Loss</t>
        </is>
      </c>
      <c r="U55" s="53" t="inlineStr">
        <is>
          <t>Loss</t>
        </is>
      </c>
      <c r="V55" s="53" t="inlineStr">
        <is>
          <t>Loss</t>
        </is>
      </c>
    </row>
    <row r="56" ht="15.75" customHeight="1"/>
    <row r="57" ht="26.25" customHeight="1">
      <c r="A57" s="41" t="inlineStr">
        <is>
          <t>Week 6</t>
        </is>
      </c>
    </row>
    <row r="58">
      <c r="A58" s="46" t="inlineStr">
        <is>
          <t>Week</t>
        </is>
      </c>
      <c r="B58" s="46" t="inlineStr">
        <is>
          <t>Date</t>
        </is>
      </c>
      <c r="C58" s="46" t="inlineStr">
        <is>
          <t>Home Conf</t>
        </is>
      </c>
      <c r="D58" s="46" t="inlineStr">
        <is>
          <t>Away Conf</t>
        </is>
      </c>
      <c r="E58" s="46" t="inlineStr">
        <is>
          <t>Away Team</t>
        </is>
      </c>
      <c r="F58" s="46" t="inlineStr">
        <is>
          <t>Home Team</t>
        </is>
      </c>
      <c r="G58" s="46" t="inlineStr">
        <is>
          <t>Model Line (Home)</t>
        </is>
      </c>
      <c r="H58" s="46" t="inlineStr">
        <is>
          <t>Market Line (Home)</t>
        </is>
      </c>
      <c r="I58" s="46" t="inlineStr">
        <is>
          <t>Spread Edge (pts)</t>
        </is>
      </c>
      <c r="J58" s="46" t="inlineStr">
        <is>
          <t>Ridge Line (Home)</t>
        </is>
      </c>
      <c r="K58" s="46" t="inlineStr">
        <is>
          <t>Massey Line (Home)</t>
        </is>
      </c>
      <c r="L58" s="46" t="inlineStr">
        <is>
          <t>Model Total</t>
        </is>
      </c>
      <c r="M58" s="46" t="inlineStr">
        <is>
          <t>Market Total</t>
        </is>
      </c>
      <c r="N58" s="46" t="inlineStr">
        <is>
          <t>Total Edge (pts)</t>
        </is>
      </c>
      <c r="O58" s="46" t="inlineStr">
        <is>
          <t>Away Pts</t>
        </is>
      </c>
      <c r="P58" s="46" t="inlineStr">
        <is>
          <t>Home Pts</t>
        </is>
      </c>
      <c r="Q58" s="46" t="inlineStr">
        <is>
          <t>Model Result (SU)</t>
        </is>
      </c>
      <c r="R58" s="46" t="inlineStr">
        <is>
          <t>XGBoost Line (Home)</t>
        </is>
      </c>
      <c r="S58" s="46" t="inlineStr">
        <is>
          <t>Gamma ATS</t>
        </is>
      </c>
      <c r="T58" s="46" t="inlineStr">
        <is>
          <t>Ridge ATS</t>
        </is>
      </c>
      <c r="U58" s="46" t="inlineStr">
        <is>
          <t>XGBoost ATS</t>
        </is>
      </c>
      <c r="V58" s="46" t="inlineStr">
        <is>
          <t>Massey ATS</t>
        </is>
      </c>
    </row>
    <row r="59">
      <c r="A59" s="42" t="n">
        <v>6</v>
      </c>
      <c r="B59" s="42" t="inlineStr">
        <is>
          <t>2026-10-10</t>
        </is>
      </c>
      <c r="C59" s="42" t="inlineStr">
        <is>
          <t>Big 12</t>
        </is>
      </c>
      <c r="D59" s="42" t="inlineStr">
        <is>
          <t>Big 12</t>
        </is>
      </c>
      <c r="E59" s="42" t="inlineStr">
        <is>
          <t>Iowa State</t>
        </is>
      </c>
      <c r="F59" s="42" t="inlineStr">
        <is>
          <t>BYU</t>
        </is>
      </c>
      <c r="G59" s="42" t="n">
        <v>-9.300000000000001</v>
      </c>
      <c r="H59" s="42" t="n">
        <v>-10.5</v>
      </c>
      <c r="I59" s="42" t="n">
        <v>-1.2</v>
      </c>
      <c r="J59" s="42" t="n">
        <v>-17.9</v>
      </c>
      <c r="K59" s="42" t="n">
        <v>-8.199999999999999</v>
      </c>
      <c r="L59" s="42" t="n">
        <v>50.5</v>
      </c>
      <c r="M59" s="42" t="n">
        <v>46.2</v>
      </c>
      <c r="N59" s="47" t="n">
        <v>4.2</v>
      </c>
      <c r="O59" s="42" t="n">
        <v>10</v>
      </c>
      <c r="P59" s="42" t="n">
        <v>24</v>
      </c>
      <c r="Q59" s="47" t="inlineStr">
        <is>
          <t>Win</t>
        </is>
      </c>
      <c r="R59" s="42" t="n">
        <v>-14.5</v>
      </c>
      <c r="S59" s="53" t="inlineStr">
        <is>
          <t>Loss</t>
        </is>
      </c>
      <c r="T59" s="52" t="inlineStr">
        <is>
          <t>Win</t>
        </is>
      </c>
      <c r="U59" s="52" t="inlineStr">
        <is>
          <t>Win</t>
        </is>
      </c>
      <c r="V59" s="53" t="inlineStr">
        <is>
          <t>Loss</t>
        </is>
      </c>
    </row>
    <row r="60">
      <c r="A60" s="42" t="n">
        <v>6</v>
      </c>
      <c r="B60" s="42" t="inlineStr">
        <is>
          <t>2026-10-10</t>
        </is>
      </c>
      <c r="C60" s="42" t="inlineStr">
        <is>
          <t>Big 12</t>
        </is>
      </c>
      <c r="D60" s="42" t="inlineStr">
        <is>
          <t>Big 12</t>
        </is>
      </c>
      <c r="E60" s="42" t="inlineStr">
        <is>
          <t>Houston</t>
        </is>
      </c>
      <c r="F60" s="42" t="inlineStr">
        <is>
          <t>Kansas State</t>
        </is>
      </c>
      <c r="G60" s="42" t="n">
        <v>-5.6</v>
      </c>
      <c r="H60" s="42" t="n">
        <v>-2.5</v>
      </c>
      <c r="I60" s="47" t="n">
        <v>3.1</v>
      </c>
      <c r="J60" s="42" t="n">
        <v>-1.1</v>
      </c>
      <c r="K60" s="42" t="n">
        <v>4.4</v>
      </c>
      <c r="L60" s="42" t="n">
        <v>57.5</v>
      </c>
      <c r="M60" s="42" t="n">
        <v>55.2</v>
      </c>
      <c r="N60" s="47" t="n">
        <v>2.2</v>
      </c>
      <c r="O60" s="42" t="n">
        <v>35</v>
      </c>
      <c r="P60" s="42" t="n">
        <v>16</v>
      </c>
      <c r="Q60" s="48" t="inlineStr">
        <is>
          <t>Loss</t>
        </is>
      </c>
      <c r="R60" s="42" t="n">
        <v>-2.7</v>
      </c>
      <c r="S60" s="53" t="inlineStr">
        <is>
          <t>Loss</t>
        </is>
      </c>
      <c r="T60" s="52" t="inlineStr">
        <is>
          <t>Win</t>
        </is>
      </c>
      <c r="U60" s="53" t="inlineStr">
        <is>
          <t>Loss</t>
        </is>
      </c>
      <c r="V60" s="52" t="inlineStr">
        <is>
          <t>Win</t>
        </is>
      </c>
    </row>
    <row r="61">
      <c r="A61" s="42" t="n">
        <v>6</v>
      </c>
      <c r="B61" s="42" t="inlineStr">
        <is>
          <t>2026-10-10</t>
        </is>
      </c>
      <c r="C61" s="42" t="inlineStr">
        <is>
          <t>Big 12</t>
        </is>
      </c>
      <c r="D61" s="42" t="inlineStr">
        <is>
          <t>Big 12</t>
        </is>
      </c>
      <c r="E61" s="42" t="inlineStr">
        <is>
          <t>UCF</t>
        </is>
      </c>
      <c r="F61" s="42" t="inlineStr">
        <is>
          <t>Oklahoma State</t>
        </is>
      </c>
      <c r="G61" s="42" t="n">
        <v>2</v>
      </c>
      <c r="H61" s="42" t="n">
        <v>-10.5</v>
      </c>
      <c r="I61" s="56" t="n">
        <v>-12.5</v>
      </c>
      <c r="J61" s="42" t="n">
        <v>1.5</v>
      </c>
      <c r="K61" s="42" t="n">
        <v>0.1</v>
      </c>
      <c r="L61" s="42" t="n">
        <v>44.9</v>
      </c>
      <c r="M61" s="42" t="n">
        <v>53.5</v>
      </c>
      <c r="N61" s="47" t="n">
        <v>-8.6</v>
      </c>
      <c r="O61" s="42" t="n">
        <v>28</v>
      </c>
      <c r="P61" s="42" t="n">
        <v>42</v>
      </c>
      <c r="Q61" s="48" t="inlineStr">
        <is>
          <t>Loss</t>
        </is>
      </c>
      <c r="R61" s="42" t="n">
        <v>0.6</v>
      </c>
      <c r="S61" s="53" t="inlineStr">
        <is>
          <t>Loss</t>
        </is>
      </c>
      <c r="T61" s="53" t="inlineStr">
        <is>
          <t>Loss</t>
        </is>
      </c>
      <c r="U61" s="53" t="inlineStr">
        <is>
          <t>Loss</t>
        </is>
      </c>
      <c r="V61" s="53" t="inlineStr">
        <is>
          <t>Loss</t>
        </is>
      </c>
    </row>
    <row r="62">
      <c r="A62" s="42" t="n">
        <v>6</v>
      </c>
      <c r="B62" s="42" t="inlineStr">
        <is>
          <t>2026-10-10</t>
        </is>
      </c>
      <c r="C62" s="42" t="inlineStr">
        <is>
          <t>Big 12</t>
        </is>
      </c>
      <c r="D62" s="42" t="inlineStr">
        <is>
          <t>Big 12</t>
        </is>
      </c>
      <c r="E62" s="42" t="inlineStr">
        <is>
          <t>Arizona</t>
        </is>
      </c>
      <c r="F62" s="42" t="inlineStr">
        <is>
          <t>West Virginia</t>
        </is>
      </c>
      <c r="G62" s="42" t="n">
        <v>5.1</v>
      </c>
      <c r="H62" s="42" t="n">
        <v>3</v>
      </c>
      <c r="I62" s="47" t="n">
        <v>-2.1</v>
      </c>
      <c r="J62" s="42" t="n">
        <v>10.5</v>
      </c>
      <c r="K62" s="42" t="n">
        <v>0.4</v>
      </c>
      <c r="L62" s="42" t="n">
        <v>54.1</v>
      </c>
      <c r="M62" s="42" t="n">
        <v>60.8</v>
      </c>
      <c r="N62" s="47" t="n">
        <v>-6.7</v>
      </c>
      <c r="O62" s="42" t="n">
        <v>52</v>
      </c>
      <c r="P62" s="42" t="n">
        <v>31</v>
      </c>
      <c r="Q62" s="47" t="inlineStr">
        <is>
          <t>Win</t>
        </is>
      </c>
      <c r="R62" s="42" t="n">
        <v>6.8</v>
      </c>
      <c r="S62" s="52" t="inlineStr">
        <is>
          <t>Win</t>
        </is>
      </c>
      <c r="T62" s="52" t="inlineStr">
        <is>
          <t>Win</t>
        </is>
      </c>
      <c r="U62" s="52" t="inlineStr">
        <is>
          <t>Win</t>
        </is>
      </c>
      <c r="V62" s="53" t="inlineStr">
        <is>
          <t>Loss</t>
        </is>
      </c>
    </row>
    <row r="63">
      <c r="A63" s="42" t="n">
        <v>6</v>
      </c>
      <c r="B63" s="42" t="inlineStr">
        <is>
          <t>2026-10-11</t>
        </is>
      </c>
      <c r="C63" s="42" t="inlineStr">
        <is>
          <t>Big 12</t>
        </is>
      </c>
      <c r="D63" s="42" t="inlineStr">
        <is>
          <t>Mountain West</t>
        </is>
      </c>
      <c r="E63" s="42" t="inlineStr">
        <is>
          <t>Hawai'i</t>
        </is>
      </c>
      <c r="F63" s="42" t="inlineStr">
        <is>
          <t>Arizona State</t>
        </is>
      </c>
      <c r="G63" s="42" t="n">
        <v>-17.3</v>
      </c>
      <c r="H63" s="42" t="n">
        <v>-20.8</v>
      </c>
      <c r="I63" s="47" t="n">
        <v>-3.5</v>
      </c>
      <c r="J63" s="42" t="n">
        <v>-17.2</v>
      </c>
      <c r="K63" s="42" t="n">
        <v>-14.5</v>
      </c>
      <c r="L63" s="42" t="n">
        <v>47.9</v>
      </c>
      <c r="M63" s="42" t="n">
        <v>50.5</v>
      </c>
      <c r="N63" s="47" t="n">
        <v>-2.6</v>
      </c>
      <c r="O63" s="42" t="n">
        <v>12</v>
      </c>
      <c r="P63" s="42" t="n">
        <v>30</v>
      </c>
      <c r="Q63" s="47" t="inlineStr">
        <is>
          <t>Win</t>
        </is>
      </c>
      <c r="R63" s="42" t="n">
        <v>-14.6</v>
      </c>
      <c r="S63" s="52" t="inlineStr">
        <is>
          <t>Win</t>
        </is>
      </c>
      <c r="T63" s="52" t="inlineStr">
        <is>
          <t>Win</t>
        </is>
      </c>
      <c r="U63" s="52" t="inlineStr">
        <is>
          <t>Win</t>
        </is>
      </c>
      <c r="V63" s="52" t="inlineStr">
        <is>
          <t>Win</t>
        </is>
      </c>
    </row>
    <row r="64">
      <c r="A64" s="42" t="n">
        <v>6</v>
      </c>
      <c r="B64" s="42" t="inlineStr">
        <is>
          <t>2026-10-11</t>
        </is>
      </c>
      <c r="C64" s="42" t="inlineStr">
        <is>
          <t>Big 12</t>
        </is>
      </c>
      <c r="D64" s="42" t="inlineStr">
        <is>
          <t>Big 12</t>
        </is>
      </c>
      <c r="E64" s="42" t="inlineStr">
        <is>
          <t>Kansas</t>
        </is>
      </c>
      <c r="F64" s="42" t="inlineStr">
        <is>
          <t>Utah</t>
        </is>
      </c>
      <c r="G64" s="42" t="n">
        <v>-24.1</v>
      </c>
      <c r="H64" s="42" t="n">
        <v>-15.8</v>
      </c>
      <c r="I64" s="56" t="n">
        <v>8.300000000000001</v>
      </c>
      <c r="J64" s="42" t="n">
        <v>-20.3</v>
      </c>
      <c r="K64" s="42" t="n">
        <v>-12.3</v>
      </c>
      <c r="L64" s="42" t="n">
        <v>52.6</v>
      </c>
      <c r="M64" s="42" t="n">
        <v>51.2</v>
      </c>
      <c r="N64" s="42" t="n">
        <v>1.3</v>
      </c>
      <c r="O64" s="42" t="n">
        <v>24</v>
      </c>
      <c r="P64" s="42" t="n">
        <v>41</v>
      </c>
      <c r="Q64" s="47" t="inlineStr">
        <is>
          <t>Win</t>
        </is>
      </c>
      <c r="R64" s="42" t="n">
        <v>-21.2</v>
      </c>
      <c r="S64" s="52" t="inlineStr">
        <is>
          <t>Win</t>
        </is>
      </c>
      <c r="T64" s="52" t="inlineStr">
        <is>
          <t>Win</t>
        </is>
      </c>
      <c r="U64" s="52" t="inlineStr">
        <is>
          <t>Win</t>
        </is>
      </c>
      <c r="V64" s="53" t="inlineStr">
        <is>
          <t>Loss</t>
        </is>
      </c>
    </row>
    <row r="66">
      <c r="A66" s="41" t="inlineStr">
        <is>
          <t>Week 5</t>
        </is>
      </c>
    </row>
    <row r="67">
      <c r="A67" s="46" t="inlineStr">
        <is>
          <t>Week</t>
        </is>
      </c>
      <c r="B67" s="46" t="inlineStr">
        <is>
          <t>Date</t>
        </is>
      </c>
      <c r="C67" s="46" t="inlineStr">
        <is>
          <t>Home Conf</t>
        </is>
      </c>
      <c r="D67" s="46" t="inlineStr">
        <is>
          <t>Away Conf</t>
        </is>
      </c>
      <c r="E67" s="46" t="inlineStr">
        <is>
          <t>Away Team</t>
        </is>
      </c>
      <c r="F67" s="46" t="inlineStr">
        <is>
          <t>Home Team</t>
        </is>
      </c>
      <c r="G67" s="46" t="inlineStr">
        <is>
          <t>Model Line (Home)</t>
        </is>
      </c>
      <c r="H67" s="46" t="inlineStr">
        <is>
          <t>Market Line (Home)</t>
        </is>
      </c>
      <c r="I67" s="46" t="inlineStr">
        <is>
          <t>Spread Edge (pts)</t>
        </is>
      </c>
      <c r="J67" s="46" t="inlineStr">
        <is>
          <t>Ridge Line (Home)</t>
        </is>
      </c>
      <c r="K67" s="46" t="inlineStr">
        <is>
          <t>Massey Line (Home)</t>
        </is>
      </c>
      <c r="L67" s="46" t="inlineStr">
        <is>
          <t>Model Total</t>
        </is>
      </c>
      <c r="M67" s="46" t="inlineStr">
        <is>
          <t>Market Total</t>
        </is>
      </c>
      <c r="N67" s="46" t="inlineStr">
        <is>
          <t>Total Edge (pts)</t>
        </is>
      </c>
      <c r="O67" s="46" t="inlineStr">
        <is>
          <t>Away Pts</t>
        </is>
      </c>
      <c r="P67" s="46" t="inlineStr">
        <is>
          <t>Home Pts</t>
        </is>
      </c>
      <c r="Q67" s="46" t="inlineStr">
        <is>
          <t>Model Result (SU)</t>
        </is>
      </c>
      <c r="R67" s="46" t="inlineStr">
        <is>
          <t>XGBoost Line (Home)</t>
        </is>
      </c>
      <c r="S67" s="46" t="inlineStr">
        <is>
          <t>Gamma ATS</t>
        </is>
      </c>
      <c r="T67" s="46" t="inlineStr">
        <is>
          <t>Ridge ATS</t>
        </is>
      </c>
      <c r="U67" s="46" t="inlineStr">
        <is>
          <t>XGBoost ATS</t>
        </is>
      </c>
      <c r="V67" s="46" t="inlineStr">
        <is>
          <t>Massey ATS</t>
        </is>
      </c>
    </row>
    <row r="68">
      <c r="A68" s="42" t="n">
        <v>5</v>
      </c>
      <c r="B68" s="42" t="inlineStr">
        <is>
          <t>2026-10-03</t>
        </is>
      </c>
      <c r="C68" s="42" t="inlineStr">
        <is>
          <t>Big 12</t>
        </is>
      </c>
      <c r="D68" s="42" t="inlineStr">
        <is>
          <t>Big 12</t>
        </is>
      </c>
      <c r="E68" s="42" t="inlineStr">
        <is>
          <t>Texas Tech</t>
        </is>
      </c>
      <c r="F68" s="42" t="inlineStr">
        <is>
          <t>Colorado</t>
        </is>
      </c>
      <c r="G68" s="42" t="n">
        <v>20.4</v>
      </c>
      <c r="H68" s="42" t="n">
        <v>13.5</v>
      </c>
      <c r="I68" s="56" t="n">
        <v>-6.9</v>
      </c>
      <c r="J68" s="42" t="n">
        <v>18.9</v>
      </c>
      <c r="K68" s="42" t="n">
        <v>11.2</v>
      </c>
      <c r="L68" s="42" t="n">
        <v>48.9</v>
      </c>
      <c r="M68" s="42" t="n">
        <v>50</v>
      </c>
      <c r="N68" s="42" t="n">
        <v>-1.1</v>
      </c>
      <c r="O68" s="42" t="n">
        <v>29</v>
      </c>
      <c r="P68" s="42" t="n">
        <v>7</v>
      </c>
      <c r="Q68" s="47" t="inlineStr">
        <is>
          <t>Win</t>
        </is>
      </c>
      <c r="R68" s="42" t="n">
        <v>19.2</v>
      </c>
      <c r="S68" s="52" t="inlineStr">
        <is>
          <t>Win</t>
        </is>
      </c>
      <c r="T68" s="52" t="inlineStr">
        <is>
          <t>Win</t>
        </is>
      </c>
      <c r="U68" s="52" t="inlineStr">
        <is>
          <t>Win</t>
        </is>
      </c>
      <c r="V68" s="53" t="inlineStr">
        <is>
          <t>Loss</t>
        </is>
      </c>
    </row>
    <row r="69">
      <c r="A69" s="42" t="n">
        <v>5</v>
      </c>
      <c r="B69" s="42" t="inlineStr">
        <is>
          <t>2026-10-03</t>
        </is>
      </c>
      <c r="C69" s="42" t="inlineStr">
        <is>
          <t>Big 12</t>
        </is>
      </c>
      <c r="D69" s="42" t="inlineStr">
        <is>
          <t>Big 12</t>
        </is>
      </c>
      <c r="E69" s="42" t="inlineStr">
        <is>
          <t>UCF</t>
        </is>
      </c>
      <c r="F69" s="42" t="inlineStr">
        <is>
          <t>Houston</t>
        </is>
      </c>
      <c r="G69" s="42" t="n">
        <v>-9.6</v>
      </c>
      <c r="H69" s="42" t="n">
        <v>-10.5</v>
      </c>
      <c r="I69" s="42" t="n">
        <v>-0.9</v>
      </c>
      <c r="J69" s="42" t="n">
        <v>-11.9</v>
      </c>
      <c r="K69" s="42" t="n">
        <v>-2</v>
      </c>
      <c r="L69" s="42" t="n">
        <v>53.8</v>
      </c>
      <c r="M69" s="42" t="n">
        <v>50.8</v>
      </c>
      <c r="N69" s="47" t="n">
        <v>3.1</v>
      </c>
      <c r="O69" s="42" t="n">
        <v>17</v>
      </c>
      <c r="P69" s="42" t="n">
        <v>27</v>
      </c>
      <c r="Q69" s="47" t="inlineStr">
        <is>
          <t>Win</t>
        </is>
      </c>
      <c r="R69" s="42" t="n">
        <v>-12</v>
      </c>
      <c r="S69" s="53" t="inlineStr">
        <is>
          <t>Loss</t>
        </is>
      </c>
      <c r="T69" s="53" t="inlineStr">
        <is>
          <t>Loss</t>
        </is>
      </c>
      <c r="U69" s="53" t="inlineStr">
        <is>
          <t>Loss</t>
        </is>
      </c>
      <c r="V69" s="52" t="inlineStr">
        <is>
          <t>Win</t>
        </is>
      </c>
    </row>
    <row r="70">
      <c r="A70" s="42" t="n">
        <v>5</v>
      </c>
      <c r="B70" s="42" t="inlineStr">
        <is>
          <t>2026-10-03</t>
        </is>
      </c>
      <c r="C70" s="42" t="inlineStr">
        <is>
          <t>Big 12</t>
        </is>
      </c>
      <c r="D70" s="42" t="inlineStr">
        <is>
          <t>Big 12</t>
        </is>
      </c>
      <c r="E70" s="42" t="inlineStr">
        <is>
          <t>West Virginia</t>
        </is>
      </c>
      <c r="F70" s="42" t="inlineStr">
        <is>
          <t>Iowa State</t>
        </is>
      </c>
      <c r="G70" s="42" t="n">
        <v>-13.7</v>
      </c>
      <c r="H70" s="42" t="n">
        <v>-3</v>
      </c>
      <c r="I70" s="56" t="n">
        <v>10.7</v>
      </c>
      <c r="J70" s="42" t="n">
        <v>-5.5</v>
      </c>
      <c r="K70" s="42" t="n">
        <v>-4.9</v>
      </c>
      <c r="L70" s="42" t="n">
        <v>49</v>
      </c>
      <c r="M70" s="42" t="n">
        <v>53.2</v>
      </c>
      <c r="N70" s="47" t="n">
        <v>-4.2</v>
      </c>
      <c r="O70" s="42" t="n">
        <v>42</v>
      </c>
      <c r="P70" s="42" t="n">
        <v>45</v>
      </c>
      <c r="Q70" s="47" t="inlineStr">
        <is>
          <t>Win</t>
        </is>
      </c>
      <c r="R70" s="42" t="n">
        <v>-4.9</v>
      </c>
      <c r="S70" s="54" t="inlineStr">
        <is>
          <t>Push</t>
        </is>
      </c>
      <c r="T70" s="54" t="inlineStr">
        <is>
          <t>Push</t>
        </is>
      </c>
      <c r="U70" s="54" t="inlineStr">
        <is>
          <t>Push</t>
        </is>
      </c>
      <c r="V70" s="54" t="inlineStr">
        <is>
          <t>Push</t>
        </is>
      </c>
    </row>
    <row r="71">
      <c r="A71" s="42" t="n">
        <v>5</v>
      </c>
      <c r="B71" s="42" t="inlineStr">
        <is>
          <t>2026-10-03</t>
        </is>
      </c>
      <c r="C71" s="42" t="inlineStr">
        <is>
          <t>Big 12</t>
        </is>
      </c>
      <c r="D71" s="42" t="inlineStr">
        <is>
          <t>Conference USA</t>
        </is>
      </c>
      <c r="E71" s="42" t="inlineStr">
        <is>
          <t>Middle Tennessee</t>
        </is>
      </c>
      <c r="F71" s="42" t="inlineStr">
        <is>
          <t>Kansas</t>
        </is>
      </c>
      <c r="G71" s="42" t="n">
        <v>-16.9</v>
      </c>
      <c r="H71" s="42" t="n">
        <v>-21</v>
      </c>
      <c r="I71" s="56" t="n">
        <v>-4.1</v>
      </c>
      <c r="J71" s="42" t="n">
        <v>-19.5</v>
      </c>
      <c r="K71" s="42" t="n">
        <v>-6.3</v>
      </c>
      <c r="L71" s="42" t="n">
        <v>54.2</v>
      </c>
      <c r="M71" s="42" t="n">
        <v>51</v>
      </c>
      <c r="N71" s="47" t="n">
        <v>3.2</v>
      </c>
      <c r="O71" s="42" t="n">
        <v>0</v>
      </c>
      <c r="P71" s="42" t="n">
        <v>55</v>
      </c>
      <c r="Q71" s="47" t="inlineStr">
        <is>
          <t>Win</t>
        </is>
      </c>
      <c r="R71" s="42" t="n">
        <v>-14.4</v>
      </c>
      <c r="S71" s="53" t="inlineStr">
        <is>
          <t>Loss</t>
        </is>
      </c>
      <c r="T71" s="53" t="inlineStr">
        <is>
          <t>Loss</t>
        </is>
      </c>
      <c r="U71" s="53" t="inlineStr">
        <is>
          <t>Loss</t>
        </is>
      </c>
      <c r="V71" s="53" t="inlineStr">
        <is>
          <t>Loss</t>
        </is>
      </c>
    </row>
    <row r="72">
      <c r="A72" s="42" t="n">
        <v>5</v>
      </c>
      <c r="B72" s="42" t="inlineStr">
        <is>
          <t>2026-10-03</t>
        </is>
      </c>
      <c r="C72" s="42" t="inlineStr">
        <is>
          <t>Big 12</t>
        </is>
      </c>
      <c r="D72" s="42" t="inlineStr">
        <is>
          <t>Big 12</t>
        </is>
      </c>
      <c r="E72" s="42" t="inlineStr">
        <is>
          <t>BYU</t>
        </is>
      </c>
      <c r="F72" s="42" t="inlineStr">
        <is>
          <t>TCU</t>
        </is>
      </c>
      <c r="G72" s="42" t="n">
        <v>8.199999999999999</v>
      </c>
      <c r="H72" s="42" t="n">
        <v>5.8</v>
      </c>
      <c r="I72" s="47" t="n">
        <v>-2.4</v>
      </c>
      <c r="J72" s="42" t="n">
        <v>8.800000000000001</v>
      </c>
      <c r="K72" s="42" t="n">
        <v>1.3</v>
      </c>
      <c r="L72" s="42" t="n">
        <v>52.3</v>
      </c>
      <c r="M72" s="42" t="n">
        <v>48.2</v>
      </c>
      <c r="N72" s="47" t="n">
        <v>4</v>
      </c>
      <c r="O72" s="42" t="n">
        <v>17</v>
      </c>
      <c r="P72" s="42" t="n">
        <v>10</v>
      </c>
      <c r="Q72" s="47" t="inlineStr">
        <is>
          <t>Win</t>
        </is>
      </c>
      <c r="R72" s="42" t="n">
        <v>7.2</v>
      </c>
      <c r="S72" s="52" t="inlineStr">
        <is>
          <t>Win</t>
        </is>
      </c>
      <c r="T72" s="52" t="inlineStr">
        <is>
          <t>Win</t>
        </is>
      </c>
      <c r="U72" s="52" t="inlineStr">
        <is>
          <t>Win</t>
        </is>
      </c>
      <c r="V72" s="53" t="inlineStr">
        <is>
          <t>Loss</t>
        </is>
      </c>
    </row>
    <row r="73">
      <c r="A73" s="42" t="n">
        <v>5</v>
      </c>
      <c r="B73" s="42" t="inlineStr">
        <is>
          <t>2026-10-04</t>
        </is>
      </c>
      <c r="C73" s="42" t="inlineStr">
        <is>
          <t>Big 12</t>
        </is>
      </c>
      <c r="D73" s="42" t="inlineStr">
        <is>
          <t>Big 12</t>
        </is>
      </c>
      <c r="E73" s="42" t="inlineStr">
        <is>
          <t>Cincinnati</t>
        </is>
      </c>
      <c r="F73" s="42" t="inlineStr">
        <is>
          <t>Arizona</t>
        </is>
      </c>
      <c r="G73" s="42" t="n">
        <v>-1.1</v>
      </c>
      <c r="H73" s="42" t="n">
        <v>-6.8</v>
      </c>
      <c r="I73" s="56" t="n">
        <v>-5.7</v>
      </c>
      <c r="J73" s="42" t="n">
        <v>-11</v>
      </c>
      <c r="K73" s="42" t="n">
        <v>0.5</v>
      </c>
      <c r="L73" s="42" t="n">
        <v>55.7</v>
      </c>
      <c r="M73" s="42" t="n">
        <v>56</v>
      </c>
      <c r="N73" s="42" t="n">
        <v>-0.3</v>
      </c>
      <c r="O73" s="42" t="n">
        <v>7</v>
      </c>
      <c r="P73" s="42" t="n">
        <v>34</v>
      </c>
      <c r="Q73" s="47" t="inlineStr">
        <is>
          <t>Win</t>
        </is>
      </c>
      <c r="R73" s="42" t="n">
        <v>-12.1</v>
      </c>
      <c r="S73" s="53" t="inlineStr">
        <is>
          <t>Loss</t>
        </is>
      </c>
      <c r="T73" s="52" t="inlineStr">
        <is>
          <t>Win</t>
        </is>
      </c>
      <c r="U73" s="52" t="inlineStr">
        <is>
          <t>Win</t>
        </is>
      </c>
      <c r="V73" s="53" t="inlineStr">
        <is>
          <t>Loss</t>
        </is>
      </c>
    </row>
    <row r="74">
      <c r="A74" s="42" t="n">
        <v>5</v>
      </c>
      <c r="B74" s="42" t="inlineStr">
        <is>
          <t>2026-10-04</t>
        </is>
      </c>
      <c r="C74" s="42" t="inlineStr">
        <is>
          <t>Big 12</t>
        </is>
      </c>
      <c r="D74" s="42" t="inlineStr">
        <is>
          <t>Big 12</t>
        </is>
      </c>
      <c r="E74" s="42" t="inlineStr">
        <is>
          <t>Baylor</t>
        </is>
      </c>
      <c r="F74" s="42" t="inlineStr">
        <is>
          <t>Arizona State</t>
        </is>
      </c>
      <c r="G74" s="42" t="n">
        <v>-2.6</v>
      </c>
      <c r="H74" s="42" t="n">
        <v>-3.5</v>
      </c>
      <c r="I74" s="42" t="n">
        <v>-0.9</v>
      </c>
      <c r="J74" s="42" t="n">
        <v>-3.9</v>
      </c>
      <c r="K74" s="42" t="n">
        <v>1</v>
      </c>
      <c r="L74" s="42" t="n">
        <v>46.7</v>
      </c>
      <c r="M74" s="42" t="n">
        <v>49</v>
      </c>
      <c r="N74" s="47" t="n">
        <v>-2.3</v>
      </c>
      <c r="O74" s="42" t="n">
        <v>55</v>
      </c>
      <c r="P74" s="42" t="n">
        <v>19</v>
      </c>
      <c r="Q74" s="48" t="inlineStr">
        <is>
          <t>Loss</t>
        </is>
      </c>
      <c r="R74" s="42" t="n">
        <v>-6.6</v>
      </c>
      <c r="S74" s="53" t="inlineStr">
        <is>
          <t>Loss</t>
        </is>
      </c>
      <c r="T74" s="53" t="inlineStr">
        <is>
          <t>Loss</t>
        </is>
      </c>
      <c r="U74" s="53" t="inlineStr">
        <is>
          <t>Loss</t>
        </is>
      </c>
      <c r="V74" s="52" t="inlineStr">
        <is>
          <t>Win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79"/>
  <sheetViews>
    <sheetView showGridLines="0" workbookViewId="0">
      <selection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Big Ten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44-46-1</t>
        </is>
      </c>
      <c r="C3" s="45" t="n">
        <v>0.489</v>
      </c>
    </row>
    <row r="4">
      <c r="A4" s="42" t="inlineStr">
        <is>
          <t>Weekly ATS (Wk 8)</t>
        </is>
      </c>
      <c r="B4" s="42" t="inlineStr">
        <is>
          <t>2-4-0</t>
        </is>
      </c>
      <c r="C4" s="45" t="n">
        <v>0.333</v>
      </c>
    </row>
    <row r="5">
      <c r="A5" s="42" t="inlineStr">
        <is>
          <t>Model pick W-L, straight-up (Wk 8)</t>
        </is>
      </c>
      <c r="B5" s="42" t="inlineStr">
        <is>
          <t>3-3</t>
        </is>
      </c>
      <c r="C5" s="45" t="n">
        <v>0.5</v>
      </c>
    </row>
    <row r="6" ht="15.65" customHeight="1"/>
    <row r="7" ht="15.65" customHeight="1">
      <c r="A7" s="41" t="inlineStr">
        <is>
          <t>Big Ten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UCLA</t>
        </is>
      </c>
      <c r="B9" s="42" t="n">
        <v>5</v>
      </c>
      <c r="C9" s="42" t="n">
        <v>0</v>
      </c>
      <c r="D9" s="42" t="n">
        <v>1</v>
      </c>
      <c r="E9" s="42" t="n">
        <v>7</v>
      </c>
      <c r="F9" s="42" t="n">
        <v>0</v>
      </c>
    </row>
    <row r="10">
      <c r="A10" s="42" t="inlineStr">
        <is>
          <t>Ohio State</t>
        </is>
      </c>
      <c r="B10" s="42" t="n">
        <v>4</v>
      </c>
      <c r="C10" s="42" t="n">
        <v>0</v>
      </c>
      <c r="D10" s="42" t="n">
        <v>1</v>
      </c>
      <c r="E10" s="42" t="n">
        <v>6</v>
      </c>
      <c r="F10" s="42" t="n">
        <v>1</v>
      </c>
    </row>
    <row r="11">
      <c r="A11" s="42" t="inlineStr">
        <is>
          <t>Indiana</t>
        </is>
      </c>
      <c r="B11" s="42" t="n">
        <v>4</v>
      </c>
      <c r="C11" s="42" t="n">
        <v>1</v>
      </c>
      <c r="D11" s="42" t="n">
        <v>0.8</v>
      </c>
      <c r="E11" s="42" t="n">
        <v>7</v>
      </c>
      <c r="F11" s="42" t="n">
        <v>1</v>
      </c>
    </row>
    <row r="12">
      <c r="A12" s="42" t="inlineStr">
        <is>
          <t>Northwestern</t>
        </is>
      </c>
      <c r="B12" s="42" t="n">
        <v>3</v>
      </c>
      <c r="C12" s="42" t="n">
        <v>1</v>
      </c>
      <c r="D12" s="42" t="n">
        <v>0.75</v>
      </c>
      <c r="E12" s="42" t="n">
        <v>6</v>
      </c>
      <c r="F12" s="42" t="n">
        <v>1</v>
      </c>
    </row>
    <row r="13">
      <c r="A13" s="42" t="inlineStr">
        <is>
          <t>Minnesota</t>
        </is>
      </c>
      <c r="B13" s="42" t="n">
        <v>3</v>
      </c>
      <c r="C13" s="42" t="n">
        <v>1</v>
      </c>
      <c r="D13" s="42" t="n">
        <v>0.75</v>
      </c>
      <c r="E13" s="42" t="n">
        <v>5</v>
      </c>
      <c r="F13" s="42" t="n">
        <v>2</v>
      </c>
    </row>
    <row r="14">
      <c r="A14" s="42" t="inlineStr">
        <is>
          <t>Wisconsin</t>
        </is>
      </c>
      <c r="B14" s="42" t="n">
        <v>3</v>
      </c>
      <c r="C14" s="42" t="n">
        <v>1</v>
      </c>
      <c r="D14" s="42" t="n">
        <v>0.75</v>
      </c>
      <c r="E14" s="42" t="n">
        <v>5</v>
      </c>
      <c r="F14" s="42" t="n">
        <v>2</v>
      </c>
    </row>
    <row r="15">
      <c r="A15" s="42" t="inlineStr">
        <is>
          <t>USC</t>
        </is>
      </c>
      <c r="B15" s="42" t="n">
        <v>3</v>
      </c>
      <c r="C15" s="42" t="n">
        <v>2</v>
      </c>
      <c r="D15" s="42" t="n">
        <v>0.6</v>
      </c>
      <c r="E15" s="42" t="n">
        <v>6</v>
      </c>
      <c r="F15" s="42" t="n">
        <v>2</v>
      </c>
    </row>
    <row r="16">
      <c r="A16" s="42" t="inlineStr">
        <is>
          <t>Iowa</t>
        </is>
      </c>
      <c r="B16" s="42" t="n">
        <v>2</v>
      </c>
      <c r="C16" s="42" t="n">
        <v>2</v>
      </c>
      <c r="D16" s="42" t="n">
        <v>0.5</v>
      </c>
      <c r="E16" s="42" t="n">
        <v>5</v>
      </c>
      <c r="F16" s="42" t="n">
        <v>2</v>
      </c>
    </row>
    <row r="17">
      <c r="A17" s="42" t="inlineStr">
        <is>
          <t>Nebraska</t>
        </is>
      </c>
      <c r="B17" s="42" t="n">
        <v>2</v>
      </c>
      <c r="C17" s="42" t="n">
        <v>2</v>
      </c>
      <c r="D17" s="42" t="n">
        <v>0.5</v>
      </c>
      <c r="E17" s="42" t="n">
        <v>5</v>
      </c>
      <c r="F17" s="42" t="n">
        <v>2</v>
      </c>
    </row>
    <row r="18">
      <c r="A18" s="42" t="inlineStr">
        <is>
          <t>Illinois</t>
        </is>
      </c>
      <c r="B18" s="42" t="n">
        <v>2</v>
      </c>
      <c r="C18" s="42" t="n">
        <v>2</v>
      </c>
      <c r="D18" s="42" t="n">
        <v>0.5</v>
      </c>
      <c r="E18" s="42" t="n">
        <v>4</v>
      </c>
      <c r="F18" s="42" t="n">
        <v>3</v>
      </c>
    </row>
    <row r="19">
      <c r="A19" s="42" t="inlineStr">
        <is>
          <t>Oregon</t>
        </is>
      </c>
      <c r="B19" s="42" t="n">
        <v>2</v>
      </c>
      <c r="C19" s="42" t="n">
        <v>2</v>
      </c>
      <c r="D19" s="42" t="n">
        <v>0.5</v>
      </c>
      <c r="E19" s="42" t="n">
        <v>4</v>
      </c>
      <c r="F19" s="42" t="n">
        <v>3</v>
      </c>
    </row>
    <row r="20">
      <c r="A20" s="42" t="inlineStr">
        <is>
          <t>Purdue</t>
        </is>
      </c>
      <c r="B20" s="42" t="n">
        <v>2</v>
      </c>
      <c r="C20" s="42" t="n">
        <v>2</v>
      </c>
      <c r="D20" s="42" t="n">
        <v>0.5</v>
      </c>
      <c r="E20" s="42" t="n">
        <v>3</v>
      </c>
      <c r="F20" s="42" t="n">
        <v>4</v>
      </c>
    </row>
    <row r="21">
      <c r="A21" s="42" t="inlineStr">
        <is>
          <t>Michigan</t>
        </is>
      </c>
      <c r="B21" s="42" t="n">
        <v>1</v>
      </c>
      <c r="C21" s="42" t="n">
        <v>3</v>
      </c>
      <c r="D21" s="42" t="n">
        <v>0.25</v>
      </c>
      <c r="E21" s="42" t="n">
        <v>4</v>
      </c>
      <c r="F21" s="42" t="n">
        <v>3</v>
      </c>
    </row>
    <row r="22" ht="26.5" customHeight="1">
      <c r="A22" s="42" t="inlineStr">
        <is>
          <t>Washington</t>
        </is>
      </c>
      <c r="B22" s="42" t="n">
        <v>1</v>
      </c>
      <c r="C22" s="42" t="n">
        <v>3</v>
      </c>
      <c r="D22" s="42" t="n">
        <v>0.25</v>
      </c>
      <c r="E22" s="42" t="n">
        <v>4</v>
      </c>
      <c r="F22" s="42" t="n">
        <v>3</v>
      </c>
    </row>
    <row r="23">
      <c r="A23" s="42" t="inlineStr">
        <is>
          <t>Rutgers</t>
        </is>
      </c>
      <c r="B23" s="42" t="n">
        <v>1</v>
      </c>
      <c r="C23" s="42" t="n">
        <v>3</v>
      </c>
      <c r="D23" s="42" t="n">
        <v>0.25</v>
      </c>
      <c r="E23" s="42" t="n">
        <v>2</v>
      </c>
      <c r="F23" s="42" t="n">
        <v>5</v>
      </c>
    </row>
    <row r="24">
      <c r="A24" s="42" t="inlineStr">
        <is>
          <t>Penn State</t>
        </is>
      </c>
      <c r="B24" s="42" t="n">
        <v>0</v>
      </c>
      <c r="C24" s="42" t="n">
        <v>4</v>
      </c>
      <c r="D24" s="42" t="n">
        <v>0</v>
      </c>
      <c r="E24" s="42" t="n">
        <v>3</v>
      </c>
      <c r="F24" s="42" t="n">
        <v>4</v>
      </c>
    </row>
    <row r="25">
      <c r="A25" s="42" t="inlineStr">
        <is>
          <t>Maryland</t>
        </is>
      </c>
      <c r="B25" s="42" t="n">
        <v>0</v>
      </c>
      <c r="C25" s="42" t="n">
        <v>4</v>
      </c>
      <c r="D25" s="42" t="n">
        <v>0</v>
      </c>
      <c r="E25" s="42" t="n">
        <v>2</v>
      </c>
      <c r="F25" s="42" t="n">
        <v>5</v>
      </c>
    </row>
    <row r="26">
      <c r="A26" s="42" t="inlineStr">
        <is>
          <t>Michigan State</t>
        </is>
      </c>
      <c r="B26" s="42" t="n">
        <v>0</v>
      </c>
      <c r="C26" s="42" t="n">
        <v>5</v>
      </c>
      <c r="D26" s="42" t="n">
        <v>0</v>
      </c>
      <c r="E26" s="42" t="n">
        <v>2</v>
      </c>
      <c r="F26" s="42" t="n">
        <v>6</v>
      </c>
    </row>
    <row r="27" ht="26.5" customHeight="1"/>
    <row r="28" ht="26.25" customHeight="1">
      <c r="A28" s="41" t="inlineStr">
        <is>
          <t>Week 9</t>
        </is>
      </c>
    </row>
    <row r="29" ht="26.5" customHeight="1">
      <c r="A29" s="46" t="inlineStr">
        <is>
          <t>Week</t>
        </is>
      </c>
      <c r="B29" s="46" t="inlineStr">
        <is>
          <t>Date</t>
        </is>
      </c>
      <c r="C29" s="46" t="inlineStr">
        <is>
          <t>Home Conf</t>
        </is>
      </c>
      <c r="D29" s="46" t="inlineStr">
        <is>
          <t>Away Conf</t>
        </is>
      </c>
      <c r="E29" s="46" t="inlineStr">
        <is>
          <t>Away Team</t>
        </is>
      </c>
      <c r="F29" s="46" t="inlineStr">
        <is>
          <t>Home Team</t>
        </is>
      </c>
      <c r="G29" s="46" t="inlineStr">
        <is>
          <t>Model Line (Home)</t>
        </is>
      </c>
      <c r="H29" s="46" t="inlineStr">
        <is>
          <t>Market Line (Home)</t>
        </is>
      </c>
      <c r="I29" s="46" t="inlineStr">
        <is>
          <t>Spread Edge (pts)</t>
        </is>
      </c>
      <c r="J29" s="46" t="inlineStr">
        <is>
          <t>Ridge Line (Home)</t>
        </is>
      </c>
      <c r="K29" s="46" t="inlineStr">
        <is>
          <t>Massey Line (Home)</t>
        </is>
      </c>
      <c r="L29" s="46" t="inlineStr">
        <is>
          <t>Model Total</t>
        </is>
      </c>
      <c r="M29" s="46" t="inlineStr">
        <is>
          <t>Market Total</t>
        </is>
      </c>
      <c r="N29" s="46" t="inlineStr">
        <is>
          <t>Total Edge (pts)</t>
        </is>
      </c>
      <c r="O29" s="46" t="inlineStr">
        <is>
          <t>Away Pts</t>
        </is>
      </c>
      <c r="P29" s="46" t="inlineStr">
        <is>
          <t>Home Pts</t>
        </is>
      </c>
      <c r="Q29" s="46" t="inlineStr">
        <is>
          <t>Model Result (SU)</t>
        </is>
      </c>
      <c r="R29" s="46" t="inlineStr">
        <is>
          <t>XGBoost Line (Home)</t>
        </is>
      </c>
      <c r="S29" s="46" t="inlineStr">
        <is>
          <t>Gamma ATS</t>
        </is>
      </c>
      <c r="T29" s="46" t="inlineStr">
        <is>
          <t>Ridge ATS</t>
        </is>
      </c>
      <c r="U29" s="46" t="inlineStr">
        <is>
          <t>XGBoost ATS</t>
        </is>
      </c>
      <c r="V29" s="46" t="inlineStr">
        <is>
          <t>Massey ATS</t>
        </is>
      </c>
    </row>
    <row r="30">
      <c r="A30" s="42" t="n">
        <v>9</v>
      </c>
      <c r="B30" s="42" t="inlineStr">
        <is>
          <t>2026-10-31</t>
        </is>
      </c>
      <c r="C30" s="42" t="inlineStr">
        <is>
          <t>Big Ten</t>
        </is>
      </c>
      <c r="D30" s="42" t="inlineStr">
        <is>
          <t>Big Ten</t>
        </is>
      </c>
      <c r="E30" s="42" t="inlineStr">
        <is>
          <t>Minnesota</t>
        </is>
      </c>
      <c r="F30" s="42" t="inlineStr">
        <is>
          <t>Indiana</t>
        </is>
      </c>
      <c r="G30" s="42" t="n">
        <v>-22.2</v>
      </c>
      <c r="H30" s="42" t="n">
        <v>-19.5</v>
      </c>
      <c r="I30" s="47" t="n">
        <v>2.7</v>
      </c>
      <c r="J30" s="42" t="n">
        <v>-16.3</v>
      </c>
      <c r="K30" s="42" t="n">
        <v>-18.7</v>
      </c>
      <c r="L30" s="42" t="n">
        <v>46.9</v>
      </c>
      <c r="M30" s="42" t="n">
        <v>42.5</v>
      </c>
      <c r="N30" s="47" t="n">
        <v>4.4</v>
      </c>
      <c r="O30" s="42" t="n"/>
      <c r="P30" s="42" t="n"/>
      <c r="Q30" s="42" t="n"/>
      <c r="R30" s="42" t="n">
        <v>-14.7</v>
      </c>
      <c r="S30" s="51" t="n"/>
      <c r="T30" s="51" t="n"/>
      <c r="U30" s="51" t="n"/>
      <c r="V30" s="51" t="n"/>
    </row>
    <row r="31">
      <c r="A31" s="42" t="n">
        <v>9</v>
      </c>
      <c r="B31" s="42" t="inlineStr">
        <is>
          <t>2026-10-31</t>
        </is>
      </c>
      <c r="C31" s="42" t="inlineStr">
        <is>
          <t>Big Ten</t>
        </is>
      </c>
      <c r="D31" s="42" t="inlineStr">
        <is>
          <t>Big Ten</t>
        </is>
      </c>
      <c r="E31" s="42" t="inlineStr">
        <is>
          <t>Wisconsin</t>
        </is>
      </c>
      <c r="F31" s="42" t="inlineStr">
        <is>
          <t>Iowa</t>
        </is>
      </c>
      <c r="G31" s="42" t="n">
        <v>-10.3</v>
      </c>
      <c r="H31" s="42" t="n">
        <v>-3.5</v>
      </c>
      <c r="I31" s="56" t="n">
        <v>6.8</v>
      </c>
      <c r="J31" s="42" t="n">
        <v>-10.2</v>
      </c>
      <c r="K31" s="42" t="n">
        <v>0.1</v>
      </c>
      <c r="L31" s="42" t="n">
        <v>42.5</v>
      </c>
      <c r="M31" s="42" t="n">
        <v>36.5</v>
      </c>
      <c r="N31" s="47" t="n">
        <v>6</v>
      </c>
      <c r="O31" s="42" t="n"/>
      <c r="P31" s="42" t="n"/>
      <c r="Q31" s="42" t="n"/>
      <c r="R31" s="42" t="n">
        <v>-11</v>
      </c>
      <c r="S31" s="51" t="n"/>
      <c r="T31" s="51" t="n"/>
      <c r="U31" s="51" t="n"/>
      <c r="V31" s="51" t="n"/>
    </row>
    <row r="32">
      <c r="A32" s="42" t="n">
        <v>9</v>
      </c>
      <c r="B32" s="42" t="inlineStr">
        <is>
          <t>2026-10-31</t>
        </is>
      </c>
      <c r="C32" s="42" t="inlineStr">
        <is>
          <t>Big Ten</t>
        </is>
      </c>
      <c r="D32" s="42" t="inlineStr">
        <is>
          <t>Big Ten</t>
        </is>
      </c>
      <c r="E32" s="42" t="inlineStr">
        <is>
          <t>Illinois</t>
        </is>
      </c>
      <c r="F32" s="42" t="inlineStr">
        <is>
          <t>Maryland</t>
        </is>
      </c>
      <c r="G32" s="42" t="n">
        <v>8</v>
      </c>
      <c r="H32" s="42" t="n">
        <v>2.5</v>
      </c>
      <c r="I32" s="56" t="n">
        <v>-5.5</v>
      </c>
      <c r="J32" s="42" t="n">
        <v>11.3</v>
      </c>
      <c r="K32" s="42" t="n">
        <v>3.6</v>
      </c>
      <c r="L32" s="42" t="n">
        <v>52.9</v>
      </c>
      <c r="M32" s="42" t="n">
        <v>52.5</v>
      </c>
      <c r="N32" s="42" t="n">
        <v>0.4</v>
      </c>
      <c r="O32" s="42" t="n"/>
      <c r="P32" s="42" t="n"/>
      <c r="Q32" s="42" t="n"/>
      <c r="R32" s="42" t="n">
        <v>6.1</v>
      </c>
      <c r="S32" s="51" t="n"/>
      <c r="T32" s="51" t="n"/>
      <c r="U32" s="51" t="n"/>
      <c r="V32" s="51" t="n"/>
    </row>
    <row r="33">
      <c r="A33" s="42" t="n">
        <v>9</v>
      </c>
      <c r="B33" s="42" t="inlineStr">
        <is>
          <t>2026-10-31</t>
        </is>
      </c>
      <c r="C33" s="42" t="inlineStr">
        <is>
          <t>Big Ten</t>
        </is>
      </c>
      <c r="D33" s="42" t="inlineStr">
        <is>
          <t>Big Ten</t>
        </is>
      </c>
      <c r="E33" s="42" t="inlineStr">
        <is>
          <t>Northwestern</t>
        </is>
      </c>
      <c r="F33" s="42" t="inlineStr">
        <is>
          <t>Oregon</t>
        </is>
      </c>
      <c r="G33" s="42" t="n">
        <v>-8.4</v>
      </c>
      <c r="H33" s="42" t="n">
        <v>-3.5</v>
      </c>
      <c r="I33" s="56" t="n">
        <v>4.9</v>
      </c>
      <c r="J33" s="42" t="n">
        <v>-11.5</v>
      </c>
      <c r="K33" s="42" t="n">
        <v>-2.6</v>
      </c>
      <c r="L33" s="42" t="n">
        <v>48.3</v>
      </c>
      <c r="M33" s="42" t="n">
        <v>49.5</v>
      </c>
      <c r="N33" s="42" t="n">
        <v>-1.2</v>
      </c>
      <c r="O33" s="42" t="n"/>
      <c r="P33" s="42" t="n"/>
      <c r="Q33" s="42" t="n"/>
      <c r="R33" s="42" t="n">
        <v>-10.3</v>
      </c>
      <c r="S33" s="51" t="n"/>
      <c r="T33" s="51" t="n"/>
      <c r="U33" s="51" t="n"/>
      <c r="V33" s="51" t="n"/>
    </row>
    <row r="34">
      <c r="A34" s="42" t="n">
        <v>9</v>
      </c>
      <c r="B34" s="42" t="inlineStr">
        <is>
          <t>2026-10-31</t>
        </is>
      </c>
      <c r="C34" s="42" t="inlineStr">
        <is>
          <t>Big Ten</t>
        </is>
      </c>
      <c r="D34" s="42" t="inlineStr">
        <is>
          <t>Big Ten</t>
        </is>
      </c>
      <c r="E34" s="42" t="inlineStr">
        <is>
          <t>Purdue</t>
        </is>
      </c>
      <c r="F34" s="42" t="inlineStr">
        <is>
          <t>Penn State</t>
        </is>
      </c>
      <c r="G34" s="42" t="n">
        <v>-14.9</v>
      </c>
      <c r="H34" s="42" t="n">
        <v>-7.5</v>
      </c>
      <c r="I34" s="56" t="n">
        <v>7.4</v>
      </c>
      <c r="J34" s="42" t="n">
        <v>-10.9</v>
      </c>
      <c r="K34" s="42" t="n">
        <v>-7.9</v>
      </c>
      <c r="L34" s="42" t="n">
        <v>52.9</v>
      </c>
      <c r="M34" s="42" t="n">
        <v>53.5</v>
      </c>
      <c r="N34" s="42" t="n">
        <v>-0.6</v>
      </c>
      <c r="O34" s="42" t="n"/>
      <c r="P34" s="42" t="n"/>
      <c r="Q34" s="42" t="n"/>
      <c r="R34" s="42" t="n">
        <v>-11.9</v>
      </c>
      <c r="S34" s="51" t="n"/>
      <c r="T34" s="51" t="n"/>
      <c r="U34" s="51" t="n"/>
      <c r="V34" s="51" t="n"/>
    </row>
    <row r="35">
      <c r="A35" s="42" t="n">
        <v>9</v>
      </c>
      <c r="B35" s="42" t="inlineStr">
        <is>
          <t>2026-10-31</t>
        </is>
      </c>
      <c r="C35" s="42" t="inlineStr">
        <is>
          <t>Big Ten</t>
        </is>
      </c>
      <c r="D35" s="42" t="inlineStr">
        <is>
          <t>Big Ten</t>
        </is>
      </c>
      <c r="E35" s="42" t="inlineStr">
        <is>
          <t>Michigan</t>
        </is>
      </c>
      <c r="F35" s="42" t="inlineStr">
        <is>
          <t>Rutgers</t>
        </is>
      </c>
      <c r="G35" s="42" t="n">
        <v>8.300000000000001</v>
      </c>
      <c r="H35" s="42" t="n">
        <v>14</v>
      </c>
      <c r="I35" s="56" t="n">
        <v>5.7</v>
      </c>
      <c r="J35" s="42" t="n">
        <v>12.4</v>
      </c>
      <c r="K35" s="42" t="n">
        <v>5.1</v>
      </c>
      <c r="L35" s="42" t="n">
        <v>48.6</v>
      </c>
      <c r="M35" s="42" t="n">
        <v>47.5</v>
      </c>
      <c r="N35" s="42" t="n">
        <v>1.1</v>
      </c>
      <c r="O35" s="42" t="n"/>
      <c r="P35" s="42" t="n"/>
      <c r="Q35" s="42" t="n"/>
      <c r="R35" s="42" t="n">
        <v>12.6</v>
      </c>
      <c r="S35" s="51" t="n"/>
      <c r="T35" s="51" t="n"/>
      <c r="U35" s="51" t="n"/>
      <c r="V35" s="51" t="n"/>
    </row>
    <row r="36">
      <c r="A36" s="42" t="n">
        <v>9</v>
      </c>
      <c r="B36" s="42" t="inlineStr">
        <is>
          <t>2026-10-31</t>
        </is>
      </c>
      <c r="C36" s="42" t="inlineStr">
        <is>
          <t>Big Ten</t>
        </is>
      </c>
      <c r="D36" s="42" t="inlineStr">
        <is>
          <t>Mountain West</t>
        </is>
      </c>
      <c r="E36" s="42" t="inlineStr">
        <is>
          <t>Nevada</t>
        </is>
      </c>
      <c r="F36" s="42" t="inlineStr">
        <is>
          <t>UCLA</t>
        </is>
      </c>
      <c r="G36" s="42" t="n">
        <v>-21.2</v>
      </c>
      <c r="H36" s="42" t="n">
        <v>-22.5</v>
      </c>
      <c r="I36" s="42" t="n">
        <v>-1.3</v>
      </c>
      <c r="J36" s="42" t="n">
        <v>-23.3</v>
      </c>
      <c r="K36" s="42" t="n">
        <v>-19.5</v>
      </c>
      <c r="L36" s="42" t="n">
        <v>43.5</v>
      </c>
      <c r="M36" s="42" t="n">
        <v>44.5</v>
      </c>
      <c r="N36" s="42" t="n">
        <v>-1</v>
      </c>
      <c r="O36" s="42" t="n"/>
      <c r="P36" s="42" t="n"/>
      <c r="Q36" s="42" t="n"/>
      <c r="R36" s="42" t="n">
        <v>-20.6</v>
      </c>
      <c r="S36" s="51" t="n"/>
      <c r="T36" s="51" t="n"/>
      <c r="U36" s="51" t="n"/>
      <c r="V36" s="51" t="n"/>
    </row>
    <row r="37" ht="15.75" customHeight="1">
      <c r="A37" s="42" t="n">
        <v>9</v>
      </c>
      <c r="B37" s="42" t="inlineStr">
        <is>
          <t>2026-10-31</t>
        </is>
      </c>
      <c r="C37" s="42" t="inlineStr">
        <is>
          <t>Big Ten</t>
        </is>
      </c>
      <c r="D37" s="42" t="inlineStr">
        <is>
          <t>Big Ten</t>
        </is>
      </c>
      <c r="E37" s="42" t="inlineStr">
        <is>
          <t>Ohio State</t>
        </is>
      </c>
      <c r="F37" s="42" t="inlineStr">
        <is>
          <t>USC</t>
        </is>
      </c>
      <c r="G37" s="42" t="n">
        <v>12.6</v>
      </c>
      <c r="H37" s="42" t="n">
        <v>7</v>
      </c>
      <c r="I37" s="56" t="n">
        <v>-5.6</v>
      </c>
      <c r="J37" s="42" t="n">
        <v>9.800000000000001</v>
      </c>
      <c r="K37" s="42" t="n">
        <v>10.7</v>
      </c>
      <c r="L37" s="42" t="n">
        <v>53</v>
      </c>
      <c r="M37" s="42" t="n">
        <v>51.5</v>
      </c>
      <c r="N37" s="42" t="n">
        <v>1.5</v>
      </c>
      <c r="O37" s="42" t="n"/>
      <c r="P37" s="42" t="n"/>
      <c r="Q37" s="42" t="n"/>
      <c r="R37" s="42" t="n">
        <v>9.9</v>
      </c>
      <c r="S37" s="51" t="n"/>
      <c r="T37" s="51" t="n"/>
      <c r="U37" s="51" t="n"/>
      <c r="V37" s="51" t="n"/>
    </row>
    <row r="38" ht="15.75" customHeight="1">
      <c r="A38" s="42" t="n">
        <v>9</v>
      </c>
      <c r="B38" s="42" t="inlineStr">
        <is>
          <t>2026-11-01</t>
        </is>
      </c>
      <c r="C38" s="42" t="inlineStr">
        <is>
          <t>Big Ten</t>
        </is>
      </c>
      <c r="D38" s="42" t="inlineStr">
        <is>
          <t>Big Ten</t>
        </is>
      </c>
      <c r="E38" s="42" t="inlineStr">
        <is>
          <t>Washington</t>
        </is>
      </c>
      <c r="F38" s="42" t="inlineStr">
        <is>
          <t>Nebraska</t>
        </is>
      </c>
      <c r="G38" s="42" t="n">
        <v>-6.9</v>
      </c>
      <c r="H38" s="42" t="n">
        <v>-8.5</v>
      </c>
      <c r="I38" s="42" t="n">
        <v>-1.6</v>
      </c>
      <c r="J38" s="42" t="n">
        <v>0.9</v>
      </c>
      <c r="K38" s="42" t="n">
        <v>-16</v>
      </c>
      <c r="L38" s="42" t="n">
        <v>47.6</v>
      </c>
      <c r="M38" s="42" t="n">
        <v>49.5</v>
      </c>
      <c r="N38" s="42" t="n">
        <v>-1.9</v>
      </c>
      <c r="O38" s="42" t="n"/>
      <c r="P38" s="42" t="n"/>
      <c r="Q38" s="42" t="n"/>
      <c r="R38" s="42" t="n">
        <v>1.9</v>
      </c>
      <c r="S38" s="51" t="n"/>
      <c r="T38" s="51" t="n"/>
      <c r="U38" s="51" t="n"/>
      <c r="V38" s="51" t="n"/>
    </row>
    <row r="39" ht="26.25" customHeight="1"/>
    <row r="40" ht="26.5" customHeight="1">
      <c r="A40" s="41" t="inlineStr">
        <is>
          <t>Week 8</t>
        </is>
      </c>
    </row>
    <row r="41">
      <c r="A41" s="46" t="inlineStr">
        <is>
          <t>Week</t>
        </is>
      </c>
      <c r="B41" s="46" t="inlineStr">
        <is>
          <t>Date</t>
        </is>
      </c>
      <c r="C41" s="46" t="inlineStr">
        <is>
          <t>Home Conf</t>
        </is>
      </c>
      <c r="D41" s="46" t="inlineStr">
        <is>
          <t>Away Conf</t>
        </is>
      </c>
      <c r="E41" s="46" t="inlineStr">
        <is>
          <t>Away Team</t>
        </is>
      </c>
      <c r="F41" s="46" t="inlineStr">
        <is>
          <t>Home Team</t>
        </is>
      </c>
      <c r="G41" s="46" t="inlineStr">
        <is>
          <t>Model Line (Home)</t>
        </is>
      </c>
      <c r="H41" s="46" t="inlineStr">
        <is>
          <t>Market Line (Home)</t>
        </is>
      </c>
      <c r="I41" s="46" t="inlineStr">
        <is>
          <t>Spread Edge (pts)</t>
        </is>
      </c>
      <c r="J41" s="46" t="inlineStr">
        <is>
          <t>Ridge Line (Home)</t>
        </is>
      </c>
      <c r="K41" s="46" t="inlineStr">
        <is>
          <t>Massey Line (Home)</t>
        </is>
      </c>
      <c r="L41" s="46" t="inlineStr">
        <is>
          <t>Model Total</t>
        </is>
      </c>
      <c r="M41" s="46" t="inlineStr">
        <is>
          <t>Market Total</t>
        </is>
      </c>
      <c r="N41" s="46" t="inlineStr">
        <is>
          <t>Total Edge (pts)</t>
        </is>
      </c>
      <c r="O41" s="46" t="inlineStr">
        <is>
          <t>Away Pts</t>
        </is>
      </c>
      <c r="P41" s="46" t="inlineStr">
        <is>
          <t>Home Pts</t>
        </is>
      </c>
      <c r="Q41" s="46" t="inlineStr">
        <is>
          <t>Model Result (SU)</t>
        </is>
      </c>
      <c r="R41" s="46" t="inlineStr">
        <is>
          <t>XGBoost Line (Home)</t>
        </is>
      </c>
      <c r="S41" s="46" t="inlineStr">
        <is>
          <t>Gamma ATS</t>
        </is>
      </c>
      <c r="T41" s="46" t="inlineStr">
        <is>
          <t>Ridge ATS</t>
        </is>
      </c>
      <c r="U41" s="46" t="inlineStr">
        <is>
          <t>XGBoost ATS</t>
        </is>
      </c>
      <c r="V41" s="46" t="inlineStr">
        <is>
          <t>Massey ATS</t>
        </is>
      </c>
    </row>
    <row r="42">
      <c r="A42" s="42" t="n">
        <v>8</v>
      </c>
      <c r="B42" s="42" t="inlineStr">
        <is>
          <t>2026-10-24</t>
        </is>
      </c>
      <c r="C42" s="42" t="inlineStr">
        <is>
          <t>Big Ten</t>
        </is>
      </c>
      <c r="D42" s="42" t="inlineStr">
        <is>
          <t>Big Ten</t>
        </is>
      </c>
      <c r="E42" s="42" t="inlineStr">
        <is>
          <t>Oregon</t>
        </is>
      </c>
      <c r="F42" s="42" t="inlineStr">
        <is>
          <t>Illinois</t>
        </is>
      </c>
      <c r="G42" s="42" t="n">
        <v>6.5</v>
      </c>
      <c r="H42" s="42" t="n">
        <v>9.800000000000001</v>
      </c>
      <c r="I42" s="47" t="n">
        <v>3.3</v>
      </c>
      <c r="J42" s="42" t="n">
        <v>16.3</v>
      </c>
      <c r="K42" s="42" t="n">
        <v>9.199999999999999</v>
      </c>
      <c r="L42" s="42" t="n">
        <v>51.6</v>
      </c>
      <c r="M42" s="42" t="n">
        <v>49.8</v>
      </c>
      <c r="N42" s="42" t="n">
        <v>1.9</v>
      </c>
      <c r="O42" s="42" t="n">
        <v>10</v>
      </c>
      <c r="P42" s="42" t="n">
        <v>21</v>
      </c>
      <c r="Q42" s="48" t="inlineStr">
        <is>
          <t>Loss</t>
        </is>
      </c>
      <c r="R42" s="42" t="n">
        <v>11.5</v>
      </c>
      <c r="S42" s="52" t="inlineStr">
        <is>
          <t>Win</t>
        </is>
      </c>
      <c r="T42" s="53" t="inlineStr">
        <is>
          <t>Loss</t>
        </is>
      </c>
      <c r="U42" s="53" t="inlineStr">
        <is>
          <t>Loss</t>
        </is>
      </c>
      <c r="V42" s="53" t="inlineStr">
        <is>
          <t>Loss</t>
        </is>
      </c>
    </row>
    <row r="43">
      <c r="A43" s="42" t="n">
        <v>8</v>
      </c>
      <c r="B43" s="42" t="inlineStr">
        <is>
          <t>2026-10-24</t>
        </is>
      </c>
      <c r="C43" s="42" t="inlineStr">
        <is>
          <t>Big Ten</t>
        </is>
      </c>
      <c r="D43" s="42" t="inlineStr">
        <is>
          <t>Big Ten</t>
        </is>
      </c>
      <c r="E43" s="42" t="inlineStr">
        <is>
          <t>Indiana</t>
        </is>
      </c>
      <c r="F43" s="42" t="inlineStr">
        <is>
          <t>Michigan</t>
        </is>
      </c>
      <c r="G43" s="42" t="n">
        <v>13.4</v>
      </c>
      <c r="H43" s="42" t="n">
        <v>7.5</v>
      </c>
      <c r="I43" s="56" t="n">
        <v>-5.9</v>
      </c>
      <c r="J43" s="42" t="n">
        <v>2.5</v>
      </c>
      <c r="K43" s="42" t="n">
        <v>12.6</v>
      </c>
      <c r="L43" s="42" t="n">
        <v>45.6</v>
      </c>
      <c r="M43" s="42" t="n">
        <v>42.8</v>
      </c>
      <c r="N43" s="47" t="n">
        <v>2.8</v>
      </c>
      <c r="O43" s="42" t="n">
        <v>13</v>
      </c>
      <c r="P43" s="42" t="n">
        <v>6</v>
      </c>
      <c r="Q43" s="47" t="inlineStr">
        <is>
          <t>Win</t>
        </is>
      </c>
      <c r="R43" s="42" t="n">
        <v>4.6</v>
      </c>
      <c r="S43" s="53" t="inlineStr">
        <is>
          <t>Loss</t>
        </is>
      </c>
      <c r="T43" s="52" t="inlineStr">
        <is>
          <t>Win</t>
        </is>
      </c>
      <c r="U43" s="52" t="inlineStr">
        <is>
          <t>Win</t>
        </is>
      </c>
      <c r="V43" s="53" t="inlineStr">
        <is>
          <t>Loss</t>
        </is>
      </c>
    </row>
    <row r="44">
      <c r="A44" s="42" t="n">
        <v>8</v>
      </c>
      <c r="B44" s="42" t="inlineStr">
        <is>
          <t>2026-10-24</t>
        </is>
      </c>
      <c r="C44" s="42" t="inlineStr">
        <is>
          <t>Big Ten</t>
        </is>
      </c>
      <c r="D44" s="42" t="inlineStr">
        <is>
          <t>Big Ten</t>
        </is>
      </c>
      <c r="E44" s="42" t="inlineStr">
        <is>
          <t>Iowa</t>
        </is>
      </c>
      <c r="F44" s="42" t="inlineStr">
        <is>
          <t>Minnesota</t>
        </is>
      </c>
      <c r="G44" s="42" t="n">
        <v>8.9</v>
      </c>
      <c r="H44" s="42" t="n">
        <v>7.5</v>
      </c>
      <c r="I44" s="42" t="n">
        <v>-1.4</v>
      </c>
      <c r="J44" s="42" t="n">
        <v>6.2</v>
      </c>
      <c r="K44" s="42" t="n">
        <v>6.7</v>
      </c>
      <c r="L44" s="42" t="n">
        <v>43.6</v>
      </c>
      <c r="M44" s="42" t="n">
        <v>40.8</v>
      </c>
      <c r="N44" s="47" t="n">
        <v>2.9</v>
      </c>
      <c r="O44" s="42" t="n">
        <v>10</v>
      </c>
      <c r="P44" s="42" t="n">
        <v>13</v>
      </c>
      <c r="Q44" s="48" t="inlineStr">
        <is>
          <t>Loss</t>
        </is>
      </c>
      <c r="R44" s="42" t="n">
        <v>3.9</v>
      </c>
      <c r="S44" s="53" t="inlineStr">
        <is>
          <t>Loss</t>
        </is>
      </c>
      <c r="T44" s="52" t="inlineStr">
        <is>
          <t>Win</t>
        </is>
      </c>
      <c r="U44" s="52" t="inlineStr">
        <is>
          <t>Win</t>
        </is>
      </c>
      <c r="V44" s="53" t="inlineStr">
        <is>
          <t>Loss</t>
        </is>
      </c>
    </row>
    <row r="45">
      <c r="A45" s="42" t="n">
        <v>8</v>
      </c>
      <c r="B45" s="42" t="inlineStr">
        <is>
          <t>2026-10-24</t>
        </is>
      </c>
      <c r="C45" s="42" t="inlineStr">
        <is>
          <t>Big Ten</t>
        </is>
      </c>
      <c r="D45" s="42" t="inlineStr">
        <is>
          <t>Big Ten</t>
        </is>
      </c>
      <c r="E45" s="42" t="inlineStr">
        <is>
          <t>Rutgers</t>
        </is>
      </c>
      <c r="F45" s="42" t="inlineStr">
        <is>
          <t>Northwestern</t>
        </is>
      </c>
      <c r="G45" s="42" t="n">
        <v>-18.5</v>
      </c>
      <c r="H45" s="42" t="n">
        <v>-15.2</v>
      </c>
      <c r="I45" s="47" t="n">
        <v>3.3</v>
      </c>
      <c r="J45" s="42" t="n">
        <v>-13.8</v>
      </c>
      <c r="K45" s="42" t="n">
        <v>-16.8</v>
      </c>
      <c r="L45" s="42" t="n">
        <v>54.8</v>
      </c>
      <c r="M45" s="42" t="n">
        <v>58.8</v>
      </c>
      <c r="N45" s="47" t="n">
        <v>-4</v>
      </c>
      <c r="O45" s="42" t="n">
        <v>14</v>
      </c>
      <c r="P45" s="42" t="n">
        <v>42</v>
      </c>
      <c r="Q45" s="47" t="inlineStr">
        <is>
          <t>Win</t>
        </is>
      </c>
      <c r="R45" s="42" t="n">
        <v>-11.7</v>
      </c>
      <c r="S45" s="52" t="inlineStr">
        <is>
          <t>Win</t>
        </is>
      </c>
      <c r="T45" s="53" t="inlineStr">
        <is>
          <t>Loss</t>
        </is>
      </c>
      <c r="U45" s="53" t="inlineStr">
        <is>
          <t>Loss</t>
        </is>
      </c>
      <c r="V45" s="52" t="inlineStr">
        <is>
          <t>Win</t>
        </is>
      </c>
    </row>
    <row r="46">
      <c r="A46" s="42" t="n">
        <v>8</v>
      </c>
      <c r="B46" s="42" t="inlineStr">
        <is>
          <t>2026-10-24</t>
        </is>
      </c>
      <c r="C46" s="42" t="inlineStr">
        <is>
          <t>Big Ten</t>
        </is>
      </c>
      <c r="D46" s="42" t="inlineStr">
        <is>
          <t>Big Ten</t>
        </is>
      </c>
      <c r="E46" s="42" t="inlineStr">
        <is>
          <t>Michigan State</t>
        </is>
      </c>
      <c r="F46" s="42" t="inlineStr">
        <is>
          <t>UCLA</t>
        </is>
      </c>
      <c r="G46" s="42" t="n">
        <v>-9.5</v>
      </c>
      <c r="H46" s="42" t="n">
        <v>-14.5</v>
      </c>
      <c r="I46" s="56" t="n">
        <v>-5</v>
      </c>
      <c r="J46" s="42" t="n">
        <v>-17.2</v>
      </c>
      <c r="K46" s="42" t="n">
        <v>-17.1</v>
      </c>
      <c r="L46" s="42" t="n">
        <v>47.1</v>
      </c>
      <c r="M46" s="42" t="n">
        <v>43.8</v>
      </c>
      <c r="N46" s="47" t="n">
        <v>3.3</v>
      </c>
      <c r="O46" s="42" t="n">
        <v>10</v>
      </c>
      <c r="P46" s="42" t="n">
        <v>28</v>
      </c>
      <c r="Q46" s="47" t="inlineStr">
        <is>
          <t>Win</t>
        </is>
      </c>
      <c r="R46" s="42" t="n">
        <v>-14.9</v>
      </c>
      <c r="S46" s="53" t="inlineStr">
        <is>
          <t>Loss</t>
        </is>
      </c>
      <c r="T46" s="52" t="inlineStr">
        <is>
          <t>Win</t>
        </is>
      </c>
      <c r="U46" s="52" t="inlineStr">
        <is>
          <t>Win</t>
        </is>
      </c>
      <c r="V46" s="52" t="inlineStr">
        <is>
          <t>Win</t>
        </is>
      </c>
    </row>
    <row r="47" ht="15.75" customHeight="1">
      <c r="A47" s="42" t="n">
        <v>8</v>
      </c>
      <c r="B47" s="42" t="inlineStr">
        <is>
          <t>2026-10-24</t>
        </is>
      </c>
      <c r="C47" s="42" t="inlineStr">
        <is>
          <t>Big Ten</t>
        </is>
      </c>
      <c r="D47" s="42" t="inlineStr">
        <is>
          <t>Big Ten</t>
        </is>
      </c>
      <c r="E47" s="42" t="inlineStr">
        <is>
          <t>USC</t>
        </is>
      </c>
      <c r="F47" s="42" t="inlineStr">
        <is>
          <t>Wisconsin</t>
        </is>
      </c>
      <c r="G47" s="42" t="n">
        <v>2.1</v>
      </c>
      <c r="H47" s="42" t="n">
        <v>2.8</v>
      </c>
      <c r="I47" s="42" t="n">
        <v>0.7</v>
      </c>
      <c r="J47" s="42" t="n">
        <v>11.8</v>
      </c>
      <c r="K47" s="42" t="n">
        <v>-3.7</v>
      </c>
      <c r="L47" s="42" t="n">
        <v>50</v>
      </c>
      <c r="M47" s="42" t="n">
        <v>49.8</v>
      </c>
      <c r="N47" s="42" t="n">
        <v>0.3</v>
      </c>
      <c r="O47" s="42" t="n">
        <v>7</v>
      </c>
      <c r="P47" s="42" t="n">
        <v>24</v>
      </c>
      <c r="Q47" s="48" t="inlineStr">
        <is>
          <t>Loss</t>
        </is>
      </c>
      <c r="R47" s="42" t="n">
        <v>9.199999999999999</v>
      </c>
      <c r="S47" s="53" t="inlineStr">
        <is>
          <t>Loss</t>
        </is>
      </c>
      <c r="T47" s="53" t="inlineStr">
        <is>
          <t>Loss</t>
        </is>
      </c>
      <c r="U47" s="53" t="inlineStr">
        <is>
          <t>Loss</t>
        </is>
      </c>
      <c r="V47" s="52" t="inlineStr">
        <is>
          <t>Win</t>
        </is>
      </c>
    </row>
    <row r="48" ht="26.25" customHeight="1"/>
    <row r="49" ht="15.75" customHeight="1">
      <c r="A49" s="41" t="inlineStr">
        <is>
          <t>Week 7</t>
        </is>
      </c>
    </row>
    <row r="50" ht="26.25" customHeight="1">
      <c r="A50" s="46" t="inlineStr">
        <is>
          <t>Week</t>
        </is>
      </c>
      <c r="B50" s="46" t="inlineStr">
        <is>
          <t>Date</t>
        </is>
      </c>
      <c r="C50" s="46" t="inlineStr">
        <is>
          <t>Home Conf</t>
        </is>
      </c>
      <c r="D50" s="46" t="inlineStr">
        <is>
          <t>Away Conf</t>
        </is>
      </c>
      <c r="E50" s="46" t="inlineStr">
        <is>
          <t>Away Team</t>
        </is>
      </c>
      <c r="F50" s="46" t="inlineStr">
        <is>
          <t>Home Team</t>
        </is>
      </c>
      <c r="G50" s="46" t="inlineStr">
        <is>
          <t>Model Line (Home)</t>
        </is>
      </c>
      <c r="H50" s="46" t="inlineStr">
        <is>
          <t>Market Line (Home)</t>
        </is>
      </c>
      <c r="I50" s="46" t="inlineStr">
        <is>
          <t>Spread Edge (pts)</t>
        </is>
      </c>
      <c r="J50" s="46" t="inlineStr">
        <is>
          <t>Ridge Line (Home)</t>
        </is>
      </c>
      <c r="K50" s="46" t="inlineStr">
        <is>
          <t>Massey Line (Home)</t>
        </is>
      </c>
      <c r="L50" s="46" t="inlineStr">
        <is>
          <t>Model Total</t>
        </is>
      </c>
      <c r="M50" s="46" t="inlineStr">
        <is>
          <t>Market Total</t>
        </is>
      </c>
      <c r="N50" s="46" t="inlineStr">
        <is>
          <t>Total Edge (pts)</t>
        </is>
      </c>
      <c r="O50" s="46" t="inlineStr">
        <is>
          <t>Away Pts</t>
        </is>
      </c>
      <c r="P50" s="46" t="inlineStr">
        <is>
          <t>Home Pts</t>
        </is>
      </c>
      <c r="Q50" s="46" t="inlineStr">
        <is>
          <t>Model Result (SU)</t>
        </is>
      </c>
      <c r="R50" s="46" t="inlineStr">
        <is>
          <t>XGBoost Line (Home)</t>
        </is>
      </c>
      <c r="S50" s="46" t="inlineStr">
        <is>
          <t>Gamma ATS</t>
        </is>
      </c>
      <c r="T50" s="46" t="inlineStr">
        <is>
          <t>Ridge ATS</t>
        </is>
      </c>
      <c r="U50" s="46" t="inlineStr">
        <is>
          <t>XGBoost ATS</t>
        </is>
      </c>
      <c r="V50" s="46" t="inlineStr">
        <is>
          <t>Massey ATS</t>
        </is>
      </c>
    </row>
    <row r="51">
      <c r="A51" s="42" t="n">
        <v>7</v>
      </c>
      <c r="B51" s="42" t="inlineStr">
        <is>
          <t>2026-10-17</t>
        </is>
      </c>
      <c r="C51" s="42" t="inlineStr">
        <is>
          <t>Big Ten</t>
        </is>
      </c>
      <c r="D51" s="42" t="inlineStr">
        <is>
          <t>Big Ten</t>
        </is>
      </c>
      <c r="E51" s="42" t="inlineStr">
        <is>
          <t>Ohio State</t>
        </is>
      </c>
      <c r="F51" s="42" t="inlineStr">
        <is>
          <t>Indiana</t>
        </is>
      </c>
      <c r="G51" s="42" t="n">
        <v>-7.7</v>
      </c>
      <c r="H51" s="42" t="n">
        <v>3.5</v>
      </c>
      <c r="I51" s="56" t="n">
        <v>11.2</v>
      </c>
      <c r="J51" s="42" t="n">
        <v>2.4</v>
      </c>
      <c r="K51" s="42" t="n">
        <v>-1.2</v>
      </c>
      <c r="L51" s="42" t="n">
        <v>50.1</v>
      </c>
      <c r="M51" s="42" t="n">
        <v>50.2</v>
      </c>
      <c r="N51" s="42" t="n">
        <v>-0.2</v>
      </c>
      <c r="O51" s="42" t="n">
        <v>19</v>
      </c>
      <c r="P51" s="42" t="n">
        <v>15</v>
      </c>
      <c r="Q51" s="48" t="inlineStr">
        <is>
          <t>Loss</t>
        </is>
      </c>
      <c r="R51" s="42" t="n">
        <v>2.6</v>
      </c>
      <c r="S51" s="53" t="inlineStr">
        <is>
          <t>Loss</t>
        </is>
      </c>
      <c r="T51" s="53" t="inlineStr">
        <is>
          <t>Loss</t>
        </is>
      </c>
      <c r="U51" s="52" t="inlineStr">
        <is>
          <t>Win</t>
        </is>
      </c>
      <c r="V51" s="53" t="inlineStr">
        <is>
          <t>Loss</t>
        </is>
      </c>
    </row>
    <row r="52">
      <c r="A52" s="42" t="n">
        <v>7</v>
      </c>
      <c r="B52" s="42" t="inlineStr">
        <is>
          <t>2026-10-17</t>
        </is>
      </c>
      <c r="C52" s="42" t="inlineStr">
        <is>
          <t>Big Ten</t>
        </is>
      </c>
      <c r="D52" s="42" t="inlineStr">
        <is>
          <t>Big Ten</t>
        </is>
      </c>
      <c r="E52" s="42" t="inlineStr">
        <is>
          <t>Rutgers</t>
        </is>
      </c>
      <c r="F52" s="42" t="inlineStr">
        <is>
          <t>Maryland</t>
        </is>
      </c>
      <c r="G52" s="42" t="n">
        <v>-6.1</v>
      </c>
      <c r="H52" s="42" t="n">
        <v>-4.5</v>
      </c>
      <c r="I52" s="42" t="n">
        <v>1.6</v>
      </c>
      <c r="J52" s="42" t="n">
        <v>-0.1</v>
      </c>
      <c r="K52" s="42" t="n">
        <v>-7.6</v>
      </c>
      <c r="L52" s="42" t="n">
        <v>50.6</v>
      </c>
      <c r="M52" s="42" t="n">
        <v>56.8</v>
      </c>
      <c r="N52" s="47" t="n">
        <v>-6.1</v>
      </c>
      <c r="O52" s="42" t="n">
        <v>37</v>
      </c>
      <c r="P52" s="42" t="n">
        <v>30</v>
      </c>
      <c r="Q52" s="48" t="inlineStr">
        <is>
          <t>Loss</t>
        </is>
      </c>
      <c r="R52" s="42" t="n">
        <v>3.8</v>
      </c>
      <c r="S52" s="53" t="inlineStr">
        <is>
          <t>Loss</t>
        </is>
      </c>
      <c r="T52" s="52" t="inlineStr">
        <is>
          <t>Win</t>
        </is>
      </c>
      <c r="U52" s="52" t="inlineStr">
        <is>
          <t>Win</t>
        </is>
      </c>
      <c r="V52" s="53" t="inlineStr">
        <is>
          <t>Loss</t>
        </is>
      </c>
    </row>
    <row r="53">
      <c r="A53" s="42" t="n">
        <v>7</v>
      </c>
      <c r="B53" s="42" t="inlineStr">
        <is>
          <t>2026-10-17</t>
        </is>
      </c>
      <c r="C53" s="42" t="inlineStr">
        <is>
          <t>Big Ten</t>
        </is>
      </c>
      <c r="D53" s="42" t="inlineStr">
        <is>
          <t>Big Ten</t>
        </is>
      </c>
      <c r="E53" s="42" t="inlineStr">
        <is>
          <t>Penn State</t>
        </is>
      </c>
      <c r="F53" s="42" t="inlineStr">
        <is>
          <t>Michigan</t>
        </is>
      </c>
      <c r="G53" s="42" t="n">
        <v>-3</v>
      </c>
      <c r="H53" s="42" t="n">
        <v>-7</v>
      </c>
      <c r="I53" s="56" t="n">
        <v>-4</v>
      </c>
      <c r="J53" s="42" t="n">
        <v>-10.2</v>
      </c>
      <c r="K53" s="42" t="n">
        <v>2.9</v>
      </c>
      <c r="L53" s="42" t="n">
        <v>44.3</v>
      </c>
      <c r="M53" s="42" t="n">
        <v>42.8</v>
      </c>
      <c r="N53" s="42" t="n">
        <v>1.6</v>
      </c>
      <c r="O53" s="42" t="n">
        <v>18</v>
      </c>
      <c r="P53" s="42" t="n">
        <v>21</v>
      </c>
      <c r="Q53" s="47" t="inlineStr">
        <is>
          <t>Win</t>
        </is>
      </c>
      <c r="R53" s="42" t="n">
        <v>-8.699999999999999</v>
      </c>
      <c r="S53" s="52" t="inlineStr">
        <is>
          <t>Win</t>
        </is>
      </c>
      <c r="T53" s="53" t="inlineStr">
        <is>
          <t>Loss</t>
        </is>
      </c>
      <c r="U53" s="53" t="inlineStr">
        <is>
          <t>Loss</t>
        </is>
      </c>
      <c r="V53" s="52" t="inlineStr">
        <is>
          <t>Win</t>
        </is>
      </c>
    </row>
    <row r="54">
      <c r="A54" s="42" t="n">
        <v>7</v>
      </c>
      <c r="B54" s="42" t="inlineStr">
        <is>
          <t>2026-10-17</t>
        </is>
      </c>
      <c r="C54" s="42" t="inlineStr">
        <is>
          <t>Big Ten</t>
        </is>
      </c>
      <c r="D54" s="42" t="inlineStr">
        <is>
          <t>Big Ten</t>
        </is>
      </c>
      <c r="E54" s="42" t="inlineStr">
        <is>
          <t>Northwestern</t>
        </is>
      </c>
      <c r="F54" s="42" t="inlineStr">
        <is>
          <t>Michigan State</t>
        </is>
      </c>
      <c r="G54" s="42" t="n">
        <v>7.5</v>
      </c>
      <c r="H54" s="42" t="n">
        <v>7.2</v>
      </c>
      <c r="I54" s="42" t="n">
        <v>-0.3</v>
      </c>
      <c r="J54" s="42" t="n">
        <v>12.9</v>
      </c>
      <c r="K54" s="42" t="n">
        <v>8.800000000000001</v>
      </c>
      <c r="L54" s="42" t="n">
        <v>51.2</v>
      </c>
      <c r="M54" s="42" t="n">
        <v>49.2</v>
      </c>
      <c r="N54" s="42" t="n">
        <v>1.9</v>
      </c>
      <c r="O54" s="42" t="n">
        <v>24</v>
      </c>
      <c r="P54" s="42" t="n">
        <v>21</v>
      </c>
      <c r="Q54" s="47" t="inlineStr">
        <is>
          <t>Win</t>
        </is>
      </c>
      <c r="R54" s="42" t="n">
        <v>10.5</v>
      </c>
      <c r="S54" s="53" t="inlineStr">
        <is>
          <t>Loss</t>
        </is>
      </c>
      <c r="T54" s="53" t="inlineStr">
        <is>
          <t>Loss</t>
        </is>
      </c>
      <c r="U54" s="53" t="inlineStr">
        <is>
          <t>Loss</t>
        </is>
      </c>
      <c r="V54" s="53" t="inlineStr">
        <is>
          <t>Loss</t>
        </is>
      </c>
    </row>
    <row r="55">
      <c r="A55" s="42" t="n">
        <v>7</v>
      </c>
      <c r="B55" s="42" t="inlineStr">
        <is>
          <t>2026-10-17</t>
        </is>
      </c>
      <c r="C55" s="42" t="inlineStr">
        <is>
          <t>Big Ten</t>
        </is>
      </c>
      <c r="D55" s="42" t="inlineStr">
        <is>
          <t>Big Ten</t>
        </is>
      </c>
      <c r="E55" s="42" t="inlineStr">
        <is>
          <t>Washington</t>
        </is>
      </c>
      <c r="F55" s="42" t="inlineStr">
        <is>
          <t>Purdue</t>
        </is>
      </c>
      <c r="G55" s="42" t="n">
        <v>5.9</v>
      </c>
      <c r="H55" s="42" t="n">
        <v>-3.5</v>
      </c>
      <c r="I55" s="56" t="n">
        <v>-9.4</v>
      </c>
      <c r="J55" s="42" t="n">
        <v>8.4</v>
      </c>
      <c r="K55" s="42" t="n">
        <v>-7.1</v>
      </c>
      <c r="L55" s="42" t="n">
        <v>52.4</v>
      </c>
      <c r="M55" s="42" t="n">
        <v>50.5</v>
      </c>
      <c r="N55" s="42" t="n">
        <v>1.9</v>
      </c>
      <c r="O55" s="42" t="n">
        <v>38</v>
      </c>
      <c r="P55" s="42" t="n">
        <v>26</v>
      </c>
      <c r="Q55" s="47" t="inlineStr">
        <is>
          <t>Win</t>
        </is>
      </c>
      <c r="R55" s="42" t="n">
        <v>11</v>
      </c>
      <c r="S55" s="52" t="inlineStr">
        <is>
          <t>Win</t>
        </is>
      </c>
      <c r="T55" s="52" t="inlineStr">
        <is>
          <t>Win</t>
        </is>
      </c>
      <c r="U55" s="52" t="inlineStr">
        <is>
          <t>Win</t>
        </is>
      </c>
      <c r="V55" s="53" t="inlineStr">
        <is>
          <t>Loss</t>
        </is>
      </c>
    </row>
    <row r="56">
      <c r="A56" s="42" t="n">
        <v>7</v>
      </c>
      <c r="B56" s="42" t="inlineStr">
        <is>
          <t>2026-10-17</t>
        </is>
      </c>
      <c r="C56" s="42" t="inlineStr">
        <is>
          <t>Big Ten</t>
        </is>
      </c>
      <c r="D56" s="42" t="inlineStr">
        <is>
          <t>Big Ten</t>
        </is>
      </c>
      <c r="E56" s="42" t="inlineStr">
        <is>
          <t>Wisconsin</t>
        </is>
      </c>
      <c r="F56" s="42" t="inlineStr">
        <is>
          <t>UCLA</t>
        </is>
      </c>
      <c r="G56" s="42" t="n">
        <v>-3.9</v>
      </c>
      <c r="H56" s="42" t="n">
        <v>-2.5</v>
      </c>
      <c r="I56" s="42" t="n">
        <v>1.4</v>
      </c>
      <c r="J56" s="42" t="n">
        <v>-5.4</v>
      </c>
      <c r="K56" s="42" t="n">
        <v>-7.1</v>
      </c>
      <c r="L56" s="42" t="n">
        <v>41.5</v>
      </c>
      <c r="M56" s="42" t="n">
        <v>42.8</v>
      </c>
      <c r="N56" s="42" t="n">
        <v>-1.2</v>
      </c>
      <c r="O56" s="42" t="n">
        <v>7</v>
      </c>
      <c r="P56" s="42" t="n">
        <v>17</v>
      </c>
      <c r="Q56" s="47" t="inlineStr">
        <is>
          <t>Win</t>
        </is>
      </c>
      <c r="R56" s="42" t="n">
        <v>-8.199999999999999</v>
      </c>
      <c r="S56" s="52" t="inlineStr">
        <is>
          <t>Win</t>
        </is>
      </c>
      <c r="T56" s="52" t="inlineStr">
        <is>
          <t>Win</t>
        </is>
      </c>
      <c r="U56" s="52" t="inlineStr">
        <is>
          <t>Win</t>
        </is>
      </c>
      <c r="V56" s="52" t="inlineStr">
        <is>
          <t>Win</t>
        </is>
      </c>
    </row>
    <row r="57">
      <c r="A57" s="42" t="n">
        <v>7</v>
      </c>
      <c r="B57" s="42" t="inlineStr">
        <is>
          <t>2026-10-18</t>
        </is>
      </c>
      <c r="C57" s="42" t="inlineStr">
        <is>
          <t>Big Ten</t>
        </is>
      </c>
      <c r="D57" s="42" t="inlineStr">
        <is>
          <t>Big Ten</t>
        </is>
      </c>
      <c r="E57" s="42" t="inlineStr">
        <is>
          <t>Nebraska</t>
        </is>
      </c>
      <c r="F57" s="42" t="inlineStr">
        <is>
          <t>Oregon</t>
        </is>
      </c>
      <c r="G57" s="42" t="n">
        <v>-5.4</v>
      </c>
      <c r="H57" s="42" t="n">
        <v>-7</v>
      </c>
      <c r="I57" s="42" t="n">
        <v>-1.6</v>
      </c>
      <c r="J57" s="42" t="n">
        <v>-18.1</v>
      </c>
      <c r="K57" s="42" t="n">
        <v>-1.4</v>
      </c>
      <c r="L57" s="42" t="n">
        <v>49.5</v>
      </c>
      <c r="M57" s="42" t="n">
        <v>51.8</v>
      </c>
      <c r="N57" s="47" t="n">
        <v>-2.3</v>
      </c>
      <c r="O57" s="42" t="n">
        <v>14</v>
      </c>
      <c r="P57" s="42" t="n">
        <v>17</v>
      </c>
      <c r="Q57" s="47" t="inlineStr">
        <is>
          <t>Win</t>
        </is>
      </c>
      <c r="R57" s="42" t="n">
        <v>-13.1</v>
      </c>
      <c r="S57" s="52" t="inlineStr">
        <is>
          <t>Win</t>
        </is>
      </c>
      <c r="T57" s="53" t="inlineStr">
        <is>
          <t>Loss</t>
        </is>
      </c>
      <c r="U57" s="53" t="inlineStr">
        <is>
          <t>Loss</t>
        </is>
      </c>
      <c r="V57" s="52" t="inlineStr">
        <is>
          <t>Win</t>
        </is>
      </c>
    </row>
    <row r="58" ht="15.75" customHeight="1"/>
    <row r="59" ht="26.25" customHeight="1">
      <c r="A59" s="41" t="inlineStr">
        <is>
          <t>Week 6</t>
        </is>
      </c>
    </row>
    <row r="60">
      <c r="A60" s="46" t="inlineStr">
        <is>
          <t>Week</t>
        </is>
      </c>
      <c r="B60" s="46" t="inlineStr">
        <is>
          <t>Date</t>
        </is>
      </c>
      <c r="C60" s="46" t="inlineStr">
        <is>
          <t>Home Conf</t>
        </is>
      </c>
      <c r="D60" s="46" t="inlineStr">
        <is>
          <t>Away Conf</t>
        </is>
      </c>
      <c r="E60" s="46" t="inlineStr">
        <is>
          <t>Away Team</t>
        </is>
      </c>
      <c r="F60" s="46" t="inlineStr">
        <is>
          <t>Home Team</t>
        </is>
      </c>
      <c r="G60" s="46" t="inlineStr">
        <is>
          <t>Model Line (Home)</t>
        </is>
      </c>
      <c r="H60" s="46" t="inlineStr">
        <is>
          <t>Market Line (Home)</t>
        </is>
      </c>
      <c r="I60" s="46" t="inlineStr">
        <is>
          <t>Spread Edge (pts)</t>
        </is>
      </c>
      <c r="J60" s="46" t="inlineStr">
        <is>
          <t>Ridge Line (Home)</t>
        </is>
      </c>
      <c r="K60" s="46" t="inlineStr">
        <is>
          <t>Massey Line (Home)</t>
        </is>
      </c>
      <c r="L60" s="46" t="inlineStr">
        <is>
          <t>Model Total</t>
        </is>
      </c>
      <c r="M60" s="46" t="inlineStr">
        <is>
          <t>Market Total</t>
        </is>
      </c>
      <c r="N60" s="46" t="inlineStr">
        <is>
          <t>Total Edge (pts)</t>
        </is>
      </c>
      <c r="O60" s="46" t="inlineStr">
        <is>
          <t>Away Pts</t>
        </is>
      </c>
      <c r="P60" s="46" t="inlineStr">
        <is>
          <t>Home Pts</t>
        </is>
      </c>
      <c r="Q60" s="46" t="inlineStr">
        <is>
          <t>Model Result (SU)</t>
        </is>
      </c>
      <c r="R60" s="46" t="inlineStr">
        <is>
          <t>XGBoost Line (Home)</t>
        </is>
      </c>
      <c r="S60" s="46" t="inlineStr">
        <is>
          <t>Gamma ATS</t>
        </is>
      </c>
      <c r="T60" s="46" t="inlineStr">
        <is>
          <t>Ridge ATS</t>
        </is>
      </c>
      <c r="U60" s="46" t="inlineStr">
        <is>
          <t>XGBoost ATS</t>
        </is>
      </c>
      <c r="V60" s="46" t="inlineStr">
        <is>
          <t>Massey ATS</t>
        </is>
      </c>
    </row>
    <row r="61">
      <c r="A61" s="42" t="n">
        <v>6</v>
      </c>
      <c r="B61" s="42" t="inlineStr">
        <is>
          <t>2026-10-10</t>
        </is>
      </c>
      <c r="C61" s="42" t="inlineStr">
        <is>
          <t>Big Ten</t>
        </is>
      </c>
      <c r="D61" s="42" t="inlineStr">
        <is>
          <t>Big Ten</t>
        </is>
      </c>
      <c r="E61" s="42" t="inlineStr">
        <is>
          <t>Illinois</t>
        </is>
      </c>
      <c r="F61" s="42" t="inlineStr">
        <is>
          <t>Michigan State</t>
        </is>
      </c>
      <c r="G61" s="42" t="n">
        <v>1.2</v>
      </c>
      <c r="H61" s="42" t="n">
        <v>2.5</v>
      </c>
      <c r="I61" s="42" t="n">
        <v>1.3</v>
      </c>
      <c r="J61" s="42" t="n">
        <v>6.9</v>
      </c>
      <c r="K61" s="42" t="n">
        <v>-2.1</v>
      </c>
      <c r="L61" s="42" t="n">
        <v>52.3</v>
      </c>
      <c r="M61" s="42" t="n">
        <v>47.8</v>
      </c>
      <c r="N61" s="47" t="n">
        <v>4.6</v>
      </c>
      <c r="O61" s="42" t="n">
        <v>38</v>
      </c>
      <c r="P61" s="42" t="n">
        <v>37</v>
      </c>
      <c r="Q61" s="47" t="inlineStr">
        <is>
          <t>Win</t>
        </is>
      </c>
      <c r="R61" s="42" t="n">
        <v>8.5</v>
      </c>
      <c r="S61" s="52" t="inlineStr">
        <is>
          <t>Win</t>
        </is>
      </c>
      <c r="T61" s="53" t="inlineStr">
        <is>
          <t>Loss</t>
        </is>
      </c>
      <c r="U61" s="53" t="inlineStr">
        <is>
          <t>Loss</t>
        </is>
      </c>
      <c r="V61" s="52" t="inlineStr">
        <is>
          <t>Win</t>
        </is>
      </c>
    </row>
    <row r="62">
      <c r="A62" s="42" t="n">
        <v>6</v>
      </c>
      <c r="B62" s="42" t="inlineStr">
        <is>
          <t>2026-10-10</t>
        </is>
      </c>
      <c r="C62" s="42" t="inlineStr">
        <is>
          <t>Big Ten</t>
        </is>
      </c>
      <c r="D62" s="42" t="inlineStr">
        <is>
          <t>Big Ten</t>
        </is>
      </c>
      <c r="E62" s="42" t="inlineStr">
        <is>
          <t>Indiana</t>
        </is>
      </c>
      <c r="F62" s="42" t="inlineStr">
        <is>
          <t>Nebraska</t>
        </is>
      </c>
      <c r="G62" s="42" t="n">
        <v>14.6</v>
      </c>
      <c r="H62" s="42" t="n">
        <v>7.5</v>
      </c>
      <c r="I62" s="56" t="n">
        <v>-7.1</v>
      </c>
      <c r="J62" s="42" t="n">
        <v>10.1</v>
      </c>
      <c r="K62" s="42" t="n">
        <v>-0.9</v>
      </c>
      <c r="L62" s="42" t="n">
        <v>54</v>
      </c>
      <c r="M62" s="42" t="n">
        <v>47.8</v>
      </c>
      <c r="N62" s="47" t="n">
        <v>6.2</v>
      </c>
      <c r="O62" s="42" t="n">
        <v>20</v>
      </c>
      <c r="P62" s="42" t="n">
        <v>17</v>
      </c>
      <c r="Q62" s="47" t="inlineStr">
        <is>
          <t>Win</t>
        </is>
      </c>
      <c r="R62" s="42" t="n">
        <v>13.5</v>
      </c>
      <c r="S62" s="53" t="inlineStr">
        <is>
          <t>Loss</t>
        </is>
      </c>
      <c r="T62" s="53" t="inlineStr">
        <is>
          <t>Loss</t>
        </is>
      </c>
      <c r="U62" s="53" t="inlineStr">
        <is>
          <t>Loss</t>
        </is>
      </c>
      <c r="V62" s="52" t="inlineStr">
        <is>
          <t>Win</t>
        </is>
      </c>
    </row>
    <row r="63">
      <c r="A63" s="42" t="n">
        <v>6</v>
      </c>
      <c r="B63" s="42" t="inlineStr">
        <is>
          <t>2026-10-10</t>
        </is>
      </c>
      <c r="C63" s="42" t="inlineStr">
        <is>
          <t>Big Ten</t>
        </is>
      </c>
      <c r="D63" s="42" t="inlineStr">
        <is>
          <t>Mid-American</t>
        </is>
      </c>
      <c r="E63" s="42" t="inlineStr">
        <is>
          <t>Ball State</t>
        </is>
      </c>
      <c r="F63" s="42" t="inlineStr">
        <is>
          <t>Northwestern</t>
        </is>
      </c>
      <c r="G63" s="42" t="n">
        <v>-34.6</v>
      </c>
      <c r="H63" s="42" t="n">
        <v>-35.8</v>
      </c>
      <c r="I63" s="42" t="n">
        <v>-1.2</v>
      </c>
      <c r="J63" s="42" t="n">
        <v>-34.3</v>
      </c>
      <c r="K63" s="42" t="n">
        <v>-28.4</v>
      </c>
      <c r="L63" s="42" t="n">
        <v>53.2</v>
      </c>
      <c r="M63" s="42" t="n">
        <v>52.5</v>
      </c>
      <c r="N63" s="42" t="n">
        <v>0.7</v>
      </c>
      <c r="O63" s="42" t="n">
        <v>14</v>
      </c>
      <c r="P63" s="42" t="n">
        <v>45</v>
      </c>
      <c r="Q63" s="47" t="inlineStr">
        <is>
          <t>Win</t>
        </is>
      </c>
      <c r="R63" s="42" t="n">
        <v>-26.4</v>
      </c>
      <c r="S63" s="52" t="inlineStr">
        <is>
          <t>Win</t>
        </is>
      </c>
      <c r="T63" s="52" t="inlineStr">
        <is>
          <t>Win</t>
        </is>
      </c>
      <c r="U63" s="52" t="inlineStr">
        <is>
          <t>Win</t>
        </is>
      </c>
      <c r="V63" s="52" t="inlineStr">
        <is>
          <t>Win</t>
        </is>
      </c>
    </row>
    <row r="64">
      <c r="A64" s="42" t="n">
        <v>6</v>
      </c>
      <c r="B64" s="42" t="inlineStr">
        <is>
          <t>2026-10-10</t>
        </is>
      </c>
      <c r="C64" s="42" t="inlineStr">
        <is>
          <t>Big Ten</t>
        </is>
      </c>
      <c r="D64" s="42" t="inlineStr">
        <is>
          <t>Big Ten</t>
        </is>
      </c>
      <c r="E64" s="42" t="inlineStr">
        <is>
          <t>Maryland</t>
        </is>
      </c>
      <c r="F64" s="42" t="inlineStr">
        <is>
          <t>Ohio State</t>
        </is>
      </c>
      <c r="G64" s="42" t="n">
        <v>-35.9</v>
      </c>
      <c r="H64" s="42" t="n">
        <v>-32.2</v>
      </c>
      <c r="I64" s="47" t="n">
        <v>3.7</v>
      </c>
      <c r="J64" s="42" t="n">
        <v>-33.2</v>
      </c>
      <c r="K64" s="42" t="n">
        <v>-20.7</v>
      </c>
      <c r="L64" s="42" t="n">
        <v>47.7</v>
      </c>
      <c r="M64" s="42" t="n">
        <v>56.2</v>
      </c>
      <c r="N64" s="47" t="n">
        <v>-8.6</v>
      </c>
      <c r="O64" s="42" t="n">
        <v>16</v>
      </c>
      <c r="P64" s="42" t="n">
        <v>45</v>
      </c>
      <c r="Q64" s="47" t="inlineStr">
        <is>
          <t>Win</t>
        </is>
      </c>
      <c r="R64" s="42" t="n">
        <v>-31.3</v>
      </c>
      <c r="S64" s="53" t="inlineStr">
        <is>
          <t>Loss</t>
        </is>
      </c>
      <c r="T64" s="53" t="inlineStr">
        <is>
          <t>Loss</t>
        </is>
      </c>
      <c r="U64" s="53" t="inlineStr">
        <is>
          <t>Loss</t>
        </is>
      </c>
      <c r="V64" s="52" t="inlineStr">
        <is>
          <t>Win</t>
        </is>
      </c>
    </row>
    <row r="65">
      <c r="A65" s="42" t="n">
        <v>6</v>
      </c>
      <c r="B65" s="42" t="inlineStr">
        <is>
          <t>2026-10-10</t>
        </is>
      </c>
      <c r="C65" s="42" t="inlineStr">
        <is>
          <t>Big Ten</t>
        </is>
      </c>
      <c r="D65" s="42" t="inlineStr">
        <is>
          <t>Big Ten</t>
        </is>
      </c>
      <c r="E65" s="42" t="inlineStr">
        <is>
          <t>UCLA</t>
        </is>
      </c>
      <c r="F65" s="42" t="inlineStr">
        <is>
          <t>Oregon</t>
        </is>
      </c>
      <c r="G65" s="42" t="n">
        <v>-10.2</v>
      </c>
      <c r="H65" s="42" t="n">
        <v>-11.5</v>
      </c>
      <c r="I65" s="42" t="n">
        <v>-1.3</v>
      </c>
      <c r="J65" s="42" t="n">
        <v>-20.4</v>
      </c>
      <c r="K65" s="42" t="n">
        <v>-2.5</v>
      </c>
      <c r="L65" s="42" t="n">
        <v>51.4</v>
      </c>
      <c r="M65" s="42" t="n">
        <v>59.2</v>
      </c>
      <c r="N65" s="47" t="n">
        <v>-7.9</v>
      </c>
      <c r="O65" s="42" t="n">
        <v>17</v>
      </c>
      <c r="P65" s="42" t="n">
        <v>15</v>
      </c>
      <c r="Q65" s="48" t="inlineStr">
        <is>
          <t>Loss</t>
        </is>
      </c>
      <c r="R65" s="42" t="n">
        <v>-26.5</v>
      </c>
      <c r="S65" s="52" t="inlineStr">
        <is>
          <t>Win</t>
        </is>
      </c>
      <c r="T65" s="53" t="inlineStr">
        <is>
          <t>Loss</t>
        </is>
      </c>
      <c r="U65" s="53" t="inlineStr">
        <is>
          <t>Loss</t>
        </is>
      </c>
      <c r="V65" s="52" t="inlineStr">
        <is>
          <t>Win</t>
        </is>
      </c>
    </row>
    <row r="66">
      <c r="A66" s="42" t="n">
        <v>6</v>
      </c>
      <c r="B66" s="42" t="inlineStr">
        <is>
          <t>2026-10-10</t>
        </is>
      </c>
      <c r="C66" s="42" t="inlineStr">
        <is>
          <t>Big Ten</t>
        </is>
      </c>
      <c r="D66" s="42" t="inlineStr">
        <is>
          <t>Big Ten</t>
        </is>
      </c>
      <c r="E66" s="42" t="inlineStr">
        <is>
          <t>USC</t>
        </is>
      </c>
      <c r="F66" s="42" t="inlineStr">
        <is>
          <t>Penn State</t>
        </is>
      </c>
      <c r="G66" s="42" t="n">
        <v>-5.1</v>
      </c>
      <c r="H66" s="42" t="n">
        <v>-1.5</v>
      </c>
      <c r="I66" s="47" t="n">
        <v>3.6</v>
      </c>
      <c r="J66" s="42" t="n">
        <v>6.3</v>
      </c>
      <c r="K66" s="42" t="n">
        <v>-4.8</v>
      </c>
      <c r="L66" s="42" t="n">
        <v>54.2</v>
      </c>
      <c r="M66" s="42" t="n">
        <v>54.8</v>
      </c>
      <c r="N66" s="42" t="n">
        <v>-0.6</v>
      </c>
      <c r="O66" s="42" t="n">
        <v>31</v>
      </c>
      <c r="P66" s="42" t="n">
        <v>23</v>
      </c>
      <c r="Q66" s="48" t="inlineStr">
        <is>
          <t>Loss</t>
        </is>
      </c>
      <c r="R66" s="42" t="n">
        <v>1</v>
      </c>
      <c r="S66" s="53" t="inlineStr">
        <is>
          <t>Loss</t>
        </is>
      </c>
      <c r="T66" s="52" t="inlineStr">
        <is>
          <t>Win</t>
        </is>
      </c>
      <c r="U66" s="52" t="inlineStr">
        <is>
          <t>Win</t>
        </is>
      </c>
      <c r="V66" s="53" t="inlineStr">
        <is>
          <t>Loss</t>
        </is>
      </c>
    </row>
    <row r="67">
      <c r="A67" s="42" t="n">
        <v>6</v>
      </c>
      <c r="B67" s="42" t="inlineStr">
        <is>
          <t>2026-10-10</t>
        </is>
      </c>
      <c r="C67" s="42" t="inlineStr">
        <is>
          <t>Big Ten</t>
        </is>
      </c>
      <c r="D67" s="42" t="inlineStr">
        <is>
          <t>Big Ten</t>
        </is>
      </c>
      <c r="E67" s="42" t="inlineStr">
        <is>
          <t>Iowa</t>
        </is>
      </c>
      <c r="F67" s="42" t="inlineStr">
        <is>
          <t>Washington</t>
        </is>
      </c>
      <c r="G67" s="42" t="n">
        <v>-1.1</v>
      </c>
      <c r="H67" s="42" t="n">
        <v>-2.8</v>
      </c>
      <c r="I67" s="42" t="n">
        <v>-1.7</v>
      </c>
      <c r="J67" s="42" t="n">
        <v>-1.1</v>
      </c>
      <c r="K67" s="42" t="n">
        <v>4.6</v>
      </c>
      <c r="L67" s="42" t="n">
        <v>42.3</v>
      </c>
      <c r="M67" s="42" t="n">
        <v>41.8</v>
      </c>
      <c r="N67" s="42" t="n">
        <v>0.6</v>
      </c>
      <c r="O67" s="42" t="n">
        <v>41</v>
      </c>
      <c r="P67" s="42" t="n">
        <v>24</v>
      </c>
      <c r="Q67" s="48" t="inlineStr">
        <is>
          <t>Loss</t>
        </is>
      </c>
      <c r="R67" s="42" t="n">
        <v>0.3</v>
      </c>
      <c r="S67" s="52" t="inlineStr">
        <is>
          <t>Win</t>
        </is>
      </c>
      <c r="T67" s="52" t="inlineStr">
        <is>
          <t>Win</t>
        </is>
      </c>
      <c r="U67" s="52" t="inlineStr">
        <is>
          <t>Win</t>
        </is>
      </c>
      <c r="V67" s="52" t="inlineStr">
        <is>
          <t>Win</t>
        </is>
      </c>
    </row>
    <row r="68">
      <c r="A68" s="42" t="n">
        <v>6</v>
      </c>
      <c r="B68" s="42" t="inlineStr">
        <is>
          <t>2026-10-11</t>
        </is>
      </c>
      <c r="C68" s="42" t="inlineStr">
        <is>
          <t>Big Ten</t>
        </is>
      </c>
      <c r="D68" s="42" t="inlineStr">
        <is>
          <t>Big Ten</t>
        </is>
      </c>
      <c r="E68" s="42" t="inlineStr">
        <is>
          <t>Minnesota</t>
        </is>
      </c>
      <c r="F68" s="42" t="inlineStr">
        <is>
          <t>Purdue</t>
        </is>
      </c>
      <c r="G68" s="42" t="n">
        <v>7.9</v>
      </c>
      <c r="H68" s="42" t="n">
        <v>2.5</v>
      </c>
      <c r="I68" s="56" t="n">
        <v>-5.4</v>
      </c>
      <c r="J68" s="42" t="n">
        <v>11.3</v>
      </c>
      <c r="K68" s="42" t="n">
        <v>2.5</v>
      </c>
      <c r="L68" s="42" t="n">
        <v>50.5</v>
      </c>
      <c r="M68" s="42" t="n">
        <v>50.5</v>
      </c>
      <c r="N68" s="42" t="n">
        <v>0</v>
      </c>
      <c r="O68" s="42" t="n">
        <v>13</v>
      </c>
      <c r="P68" s="42" t="n">
        <v>41</v>
      </c>
      <c r="Q68" s="48" t="inlineStr">
        <is>
          <t>Loss</t>
        </is>
      </c>
      <c r="R68" s="42" t="n">
        <v>11.5</v>
      </c>
      <c r="S68" s="53" t="inlineStr">
        <is>
          <t>Loss</t>
        </is>
      </c>
      <c r="T68" s="53" t="inlineStr">
        <is>
          <t>Loss</t>
        </is>
      </c>
      <c r="U68" s="53" t="inlineStr">
        <is>
          <t>Loss</t>
        </is>
      </c>
      <c r="V68" s="53" t="inlineStr">
        <is>
          <t>Loss</t>
        </is>
      </c>
    </row>
    <row r="70">
      <c r="A70" s="41" t="inlineStr">
        <is>
          <t>Week 5</t>
        </is>
      </c>
    </row>
    <row r="71">
      <c r="A71" s="46" t="inlineStr">
        <is>
          <t>Week</t>
        </is>
      </c>
      <c r="B71" s="46" t="inlineStr">
        <is>
          <t>Date</t>
        </is>
      </c>
      <c r="C71" s="46" t="inlineStr">
        <is>
          <t>Home Conf</t>
        </is>
      </c>
      <c r="D71" s="46" t="inlineStr">
        <is>
          <t>Away Conf</t>
        </is>
      </c>
      <c r="E71" s="46" t="inlineStr">
        <is>
          <t>Away Team</t>
        </is>
      </c>
      <c r="F71" s="46" t="inlineStr">
        <is>
          <t>Home Team</t>
        </is>
      </c>
      <c r="G71" s="46" t="inlineStr">
        <is>
          <t>Model Line (Home)</t>
        </is>
      </c>
      <c r="H71" s="46" t="inlineStr">
        <is>
          <t>Market Line (Home)</t>
        </is>
      </c>
      <c r="I71" s="46" t="inlineStr">
        <is>
          <t>Spread Edge (pts)</t>
        </is>
      </c>
      <c r="J71" s="46" t="inlineStr">
        <is>
          <t>Ridge Line (Home)</t>
        </is>
      </c>
      <c r="K71" s="46" t="inlineStr">
        <is>
          <t>Massey Line (Home)</t>
        </is>
      </c>
      <c r="L71" s="46" t="inlineStr">
        <is>
          <t>Model Total</t>
        </is>
      </c>
      <c r="M71" s="46" t="inlineStr">
        <is>
          <t>Market Total</t>
        </is>
      </c>
      <c r="N71" s="46" t="inlineStr">
        <is>
          <t>Total Edge (pts)</t>
        </is>
      </c>
      <c r="O71" s="46" t="inlineStr">
        <is>
          <t>Away Pts</t>
        </is>
      </c>
      <c r="P71" s="46" t="inlineStr">
        <is>
          <t>Home Pts</t>
        </is>
      </c>
      <c r="Q71" s="46" t="inlineStr">
        <is>
          <t>Model Result (SU)</t>
        </is>
      </c>
      <c r="R71" s="46" t="inlineStr">
        <is>
          <t>XGBoost Line (Home)</t>
        </is>
      </c>
      <c r="S71" s="46" t="inlineStr">
        <is>
          <t>Gamma ATS</t>
        </is>
      </c>
      <c r="T71" s="46" t="inlineStr">
        <is>
          <t>Ridge ATS</t>
        </is>
      </c>
      <c r="U71" s="46" t="inlineStr">
        <is>
          <t>XGBoost ATS</t>
        </is>
      </c>
      <c r="V71" s="46" t="inlineStr">
        <is>
          <t>Massey ATS</t>
        </is>
      </c>
    </row>
    <row r="72">
      <c r="A72" s="42" t="n">
        <v>5</v>
      </c>
      <c r="B72" s="42" t="inlineStr">
        <is>
          <t>2026-10-03</t>
        </is>
      </c>
      <c r="C72" s="42" t="inlineStr">
        <is>
          <t>Big Ten</t>
        </is>
      </c>
      <c r="D72" s="42" t="inlineStr">
        <is>
          <t>Big Ten</t>
        </is>
      </c>
      <c r="E72" s="42" t="inlineStr">
        <is>
          <t>Purdue</t>
        </is>
      </c>
      <c r="F72" s="42" t="inlineStr">
        <is>
          <t>Illinois</t>
        </is>
      </c>
      <c r="G72" s="42" t="n">
        <v>-14.4</v>
      </c>
      <c r="H72" s="42" t="n">
        <v>-9.800000000000001</v>
      </c>
      <c r="I72" s="56" t="n">
        <v>4.6</v>
      </c>
      <c r="J72" s="42" t="n">
        <v>-16.5</v>
      </c>
      <c r="K72" s="42" t="n">
        <v>-9.6</v>
      </c>
      <c r="L72" s="42" t="n">
        <v>60.4</v>
      </c>
      <c r="M72" s="42" t="n">
        <v>62.5</v>
      </c>
      <c r="N72" s="47" t="n">
        <v>-2.1</v>
      </c>
      <c r="O72" s="42" t="n">
        <v>24</v>
      </c>
      <c r="P72" s="42" t="n">
        <v>17</v>
      </c>
      <c r="Q72" s="48" t="inlineStr">
        <is>
          <t>Loss</t>
        </is>
      </c>
      <c r="R72" s="42" t="n">
        <v>-10.7</v>
      </c>
      <c r="S72" s="53" t="inlineStr">
        <is>
          <t>Loss</t>
        </is>
      </c>
      <c r="T72" s="53" t="inlineStr">
        <is>
          <t>Loss</t>
        </is>
      </c>
      <c r="U72" s="53" t="inlineStr">
        <is>
          <t>Loss</t>
        </is>
      </c>
      <c r="V72" s="53" t="inlineStr">
        <is>
          <t>Loss</t>
        </is>
      </c>
    </row>
    <row r="73">
      <c r="A73" s="42" t="n">
        <v>5</v>
      </c>
      <c r="B73" s="42" t="inlineStr">
        <is>
          <t>2026-10-03</t>
        </is>
      </c>
      <c r="C73" s="42" t="inlineStr">
        <is>
          <t>Big Ten</t>
        </is>
      </c>
      <c r="D73" s="42" t="inlineStr">
        <is>
          <t>Big Ten</t>
        </is>
      </c>
      <c r="E73" s="42" t="inlineStr">
        <is>
          <t>Ohio State</t>
        </is>
      </c>
      <c r="F73" s="42" t="inlineStr">
        <is>
          <t>Iowa</t>
        </is>
      </c>
      <c r="G73" s="42" t="n">
        <v>9.300000000000001</v>
      </c>
      <c r="H73" s="42" t="n">
        <v>14.2</v>
      </c>
      <c r="I73" s="56" t="n">
        <v>4.9</v>
      </c>
      <c r="J73" s="42" t="n">
        <v>7.1</v>
      </c>
      <c r="K73" s="42" t="n">
        <v>3.9</v>
      </c>
      <c r="L73" s="42" t="n">
        <v>45.9</v>
      </c>
      <c r="M73" s="42" t="n">
        <v>46</v>
      </c>
      <c r="N73" s="42" t="n">
        <v>-0.1</v>
      </c>
      <c r="O73" s="42" t="n">
        <v>31</v>
      </c>
      <c r="P73" s="42" t="n">
        <v>14</v>
      </c>
      <c r="Q73" s="47" t="inlineStr">
        <is>
          <t>Win</t>
        </is>
      </c>
      <c r="R73" s="42" t="n">
        <v>7.1</v>
      </c>
      <c r="S73" s="53" t="inlineStr">
        <is>
          <t>Loss</t>
        </is>
      </c>
      <c r="T73" s="53" t="inlineStr">
        <is>
          <t>Loss</t>
        </is>
      </c>
      <c r="U73" s="53" t="inlineStr">
        <is>
          <t>Loss</t>
        </is>
      </c>
      <c r="V73" s="53" t="inlineStr">
        <is>
          <t>Loss</t>
        </is>
      </c>
    </row>
    <row r="74">
      <c r="A74" s="42" t="n">
        <v>5</v>
      </c>
      <c r="B74" s="42" t="inlineStr">
        <is>
          <t>2026-10-03</t>
        </is>
      </c>
      <c r="C74" s="42" t="inlineStr">
        <is>
          <t>Big Ten</t>
        </is>
      </c>
      <c r="D74" s="42" t="inlineStr">
        <is>
          <t>Big Ten</t>
        </is>
      </c>
      <c r="E74" s="42" t="inlineStr">
        <is>
          <t>Michigan</t>
        </is>
      </c>
      <c r="F74" s="42" t="inlineStr">
        <is>
          <t>Minnesota</t>
        </is>
      </c>
      <c r="G74" s="42" t="n">
        <v>0.8</v>
      </c>
      <c r="H74" s="42" t="n">
        <v>6.2</v>
      </c>
      <c r="I74" s="56" t="n">
        <v>5.4</v>
      </c>
      <c r="J74" s="42" t="n">
        <v>4.9</v>
      </c>
      <c r="K74" s="42" t="n">
        <v>-4.6</v>
      </c>
      <c r="L74" s="42" t="n">
        <v>43.8</v>
      </c>
      <c r="M74" s="42" t="n">
        <v>42.2</v>
      </c>
      <c r="N74" s="42" t="n">
        <v>1.6</v>
      </c>
      <c r="O74" s="42" t="n">
        <v>14</v>
      </c>
      <c r="P74" s="42" t="n">
        <v>20</v>
      </c>
      <c r="Q74" s="48" t="inlineStr">
        <is>
          <t>Loss</t>
        </is>
      </c>
      <c r="R74" s="42" t="n">
        <v>4.2</v>
      </c>
      <c r="S74" s="52" t="inlineStr">
        <is>
          <t>Win</t>
        </is>
      </c>
      <c r="T74" s="52" t="inlineStr">
        <is>
          <t>Win</t>
        </is>
      </c>
      <c r="U74" s="52" t="inlineStr">
        <is>
          <t>Win</t>
        </is>
      </c>
      <c r="V74" s="52" t="inlineStr">
        <is>
          <t>Win</t>
        </is>
      </c>
    </row>
    <row r="75">
      <c r="A75" s="42" t="n">
        <v>5</v>
      </c>
      <c r="B75" s="42" t="inlineStr">
        <is>
          <t>2026-10-03</t>
        </is>
      </c>
      <c r="C75" s="42" t="inlineStr">
        <is>
          <t>Big Ten</t>
        </is>
      </c>
      <c r="D75" s="42" t="inlineStr">
        <is>
          <t>Big Ten</t>
        </is>
      </c>
      <c r="E75" s="42" t="inlineStr">
        <is>
          <t>Maryland</t>
        </is>
      </c>
      <c r="F75" s="42" t="inlineStr">
        <is>
          <t>Nebraska</t>
        </is>
      </c>
      <c r="G75" s="42" t="n">
        <v>-13.5</v>
      </c>
      <c r="H75" s="42" t="n">
        <v>-15</v>
      </c>
      <c r="I75" s="42" t="n">
        <v>-1.5</v>
      </c>
      <c r="J75" s="42" t="n">
        <v>-12.9</v>
      </c>
      <c r="K75" s="42" t="n">
        <v>-13.6</v>
      </c>
      <c r="L75" s="42" t="n">
        <v>52.2</v>
      </c>
      <c r="M75" s="42" t="n">
        <v>52.5</v>
      </c>
      <c r="N75" s="42" t="n">
        <v>-0.3</v>
      </c>
      <c r="O75" s="42" t="n">
        <v>23</v>
      </c>
      <c r="P75" s="42" t="n">
        <v>48</v>
      </c>
      <c r="Q75" s="47" t="inlineStr">
        <is>
          <t>Win</t>
        </is>
      </c>
      <c r="R75" s="42" t="n">
        <v>-12.3</v>
      </c>
      <c r="S75" s="53" t="inlineStr">
        <is>
          <t>Loss</t>
        </is>
      </c>
      <c r="T75" s="53" t="inlineStr">
        <is>
          <t>Loss</t>
        </is>
      </c>
      <c r="U75" s="53" t="inlineStr">
        <is>
          <t>Loss</t>
        </is>
      </c>
      <c r="V75" s="53" t="inlineStr">
        <is>
          <t>Loss</t>
        </is>
      </c>
    </row>
    <row r="76">
      <c r="A76" s="42" t="n">
        <v>5</v>
      </c>
      <c r="B76" s="42" t="inlineStr">
        <is>
          <t>2026-10-03</t>
        </is>
      </c>
      <c r="C76" s="42" t="inlineStr">
        <is>
          <t>Big Ten</t>
        </is>
      </c>
      <c r="D76" s="42" t="inlineStr">
        <is>
          <t>Big Ten</t>
        </is>
      </c>
      <c r="E76" s="42" t="inlineStr">
        <is>
          <t>Penn State</t>
        </is>
      </c>
      <c r="F76" s="42" t="inlineStr">
        <is>
          <t>Northwestern</t>
        </is>
      </c>
      <c r="G76" s="42" t="n">
        <v>1.3</v>
      </c>
      <c r="H76" s="42" t="n">
        <v>2.8</v>
      </c>
      <c r="I76" s="42" t="n">
        <v>1.5</v>
      </c>
      <c r="J76" s="42" t="n">
        <v>0.7</v>
      </c>
      <c r="K76" s="42" t="n">
        <v>1.9</v>
      </c>
      <c r="L76" s="42" t="n">
        <v>49.9</v>
      </c>
      <c r="M76" s="42" t="n">
        <v>46.8</v>
      </c>
      <c r="N76" s="47" t="n">
        <v>3.1</v>
      </c>
      <c r="O76" s="42" t="n">
        <v>13</v>
      </c>
      <c r="P76" s="42" t="n">
        <v>34</v>
      </c>
      <c r="Q76" s="48" t="inlineStr">
        <is>
          <t>Loss</t>
        </is>
      </c>
      <c r="R76" s="42" t="n">
        <v>1.7</v>
      </c>
      <c r="S76" s="52" t="inlineStr">
        <is>
          <t>Win</t>
        </is>
      </c>
      <c r="T76" s="52" t="inlineStr">
        <is>
          <t>Win</t>
        </is>
      </c>
      <c r="U76" s="52" t="inlineStr">
        <is>
          <t>Win</t>
        </is>
      </c>
      <c r="V76" s="53" t="inlineStr">
        <is>
          <t>Loss</t>
        </is>
      </c>
    </row>
    <row r="77">
      <c r="A77" s="42" t="n">
        <v>5</v>
      </c>
      <c r="B77" s="42" t="inlineStr">
        <is>
          <t>2026-10-03</t>
        </is>
      </c>
      <c r="C77" s="42" t="inlineStr">
        <is>
          <t>Big Ten</t>
        </is>
      </c>
      <c r="D77" s="42" t="inlineStr">
        <is>
          <t>Big Ten</t>
        </is>
      </c>
      <c r="E77" s="42" t="inlineStr">
        <is>
          <t>Washington</t>
        </is>
      </c>
      <c r="F77" s="42" t="inlineStr">
        <is>
          <t>USC</t>
        </is>
      </c>
      <c r="G77" s="42" t="n">
        <v>1.5</v>
      </c>
      <c r="H77" s="42" t="n">
        <v>-8.199999999999999</v>
      </c>
      <c r="I77" s="56" t="n">
        <v>-9.699999999999999</v>
      </c>
      <c r="J77" s="42" t="n">
        <v>-5.4</v>
      </c>
      <c r="K77" s="42" t="n">
        <v>-10</v>
      </c>
      <c r="L77" s="42" t="n">
        <v>51.4</v>
      </c>
      <c r="M77" s="42" t="n">
        <v>58.2</v>
      </c>
      <c r="N77" s="47" t="n">
        <v>-6.8</v>
      </c>
      <c r="O77" s="42" t="n">
        <v>21</v>
      </c>
      <c r="P77" s="42" t="n">
        <v>25</v>
      </c>
      <c r="Q77" s="48" t="inlineStr">
        <is>
          <t>Loss</t>
        </is>
      </c>
      <c r="R77" s="42" t="n">
        <v>-5.8</v>
      </c>
      <c r="S77" s="52" t="inlineStr">
        <is>
          <t>Win</t>
        </is>
      </c>
      <c r="T77" s="52" t="inlineStr">
        <is>
          <t>Win</t>
        </is>
      </c>
      <c r="U77" s="52" t="inlineStr">
        <is>
          <t>Win</t>
        </is>
      </c>
      <c r="V77" s="53" t="inlineStr">
        <is>
          <t>Loss</t>
        </is>
      </c>
    </row>
    <row r="78">
      <c r="A78" s="42" t="n">
        <v>5</v>
      </c>
      <c r="B78" s="42" t="inlineStr">
        <is>
          <t>2026-10-03</t>
        </is>
      </c>
      <c r="C78" s="42" t="inlineStr">
        <is>
          <t>Big Ten</t>
        </is>
      </c>
      <c r="D78" s="42" t="inlineStr">
        <is>
          <t>Big Ten</t>
        </is>
      </c>
      <c r="E78" s="42" t="inlineStr">
        <is>
          <t>Michigan State</t>
        </is>
      </c>
      <c r="F78" s="42" t="inlineStr">
        <is>
          <t>Wisconsin</t>
        </is>
      </c>
      <c r="G78" s="42" t="n">
        <v>-3.7</v>
      </c>
      <c r="H78" s="42" t="n">
        <v>-8.800000000000001</v>
      </c>
      <c r="I78" s="56" t="n">
        <v>-5.1</v>
      </c>
      <c r="J78" s="42" t="n">
        <v>-9.5</v>
      </c>
      <c r="K78" s="42" t="n">
        <v>-7.8</v>
      </c>
      <c r="L78" s="42" t="n">
        <v>44.8</v>
      </c>
      <c r="M78" s="42" t="n">
        <v>43.2</v>
      </c>
      <c r="N78" s="42" t="n">
        <v>1.5</v>
      </c>
      <c r="O78" s="42" t="n">
        <v>3</v>
      </c>
      <c r="P78" s="42" t="n">
        <v>31</v>
      </c>
      <c r="Q78" s="47" t="inlineStr">
        <is>
          <t>Win</t>
        </is>
      </c>
      <c r="R78" s="42" t="n">
        <v>-7.2</v>
      </c>
      <c r="S78" s="53" t="inlineStr">
        <is>
          <t>Loss</t>
        </is>
      </c>
      <c r="T78" s="52" t="inlineStr">
        <is>
          <t>Win</t>
        </is>
      </c>
      <c r="U78" s="53" t="inlineStr">
        <is>
          <t>Loss</t>
        </is>
      </c>
      <c r="V78" s="53" t="inlineStr">
        <is>
          <t>Loss</t>
        </is>
      </c>
    </row>
    <row r="79">
      <c r="A79" s="42" t="n">
        <v>5</v>
      </c>
      <c r="B79" s="42" t="inlineStr">
        <is>
          <t>2026-10-04</t>
        </is>
      </c>
      <c r="C79" s="42" t="inlineStr">
        <is>
          <t>Big Ten</t>
        </is>
      </c>
      <c r="D79" s="42" t="inlineStr">
        <is>
          <t>Big Ten</t>
        </is>
      </c>
      <c r="E79" s="42" t="inlineStr">
        <is>
          <t>Indiana</t>
        </is>
      </c>
      <c r="F79" s="42" t="inlineStr">
        <is>
          <t>Rutgers</t>
        </is>
      </c>
      <c r="G79" s="42" t="n">
        <v>33.3</v>
      </c>
      <c r="H79" s="42" t="n">
        <v>24.2</v>
      </c>
      <c r="I79" s="56" t="n">
        <v>-9.1</v>
      </c>
      <c r="J79" s="42" t="n">
        <v>18.7</v>
      </c>
      <c r="K79" s="42" t="n">
        <v>12.6</v>
      </c>
      <c r="L79" s="42" t="n">
        <v>53.8</v>
      </c>
      <c r="M79" s="42" t="n">
        <v>56.8</v>
      </c>
      <c r="N79" s="47" t="n">
        <v>-2.9</v>
      </c>
      <c r="O79" s="42" t="n">
        <v>47</v>
      </c>
      <c r="P79" s="42" t="n">
        <v>15</v>
      </c>
      <c r="Q79" s="47" t="inlineStr">
        <is>
          <t>Win</t>
        </is>
      </c>
      <c r="R79" s="42" t="n">
        <v>18.4</v>
      </c>
      <c r="S79" s="52" t="inlineStr">
        <is>
          <t>Win</t>
        </is>
      </c>
      <c r="T79" s="53" t="inlineStr">
        <is>
          <t>Loss</t>
        </is>
      </c>
      <c r="U79" s="53" t="inlineStr">
        <is>
          <t>Loss</t>
        </is>
      </c>
      <c r="V79" s="53" t="inlineStr">
        <is>
          <t>Loss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3"/>
  <sheetViews>
    <sheetView showGridLines="0" workbookViewId="0">
      <selection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Conference USA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36-18-1</t>
        </is>
      </c>
      <c r="C3" s="45" t="n">
        <v>0.667</v>
      </c>
    </row>
    <row r="4">
      <c r="A4" s="42" t="inlineStr">
        <is>
          <t>Weekly ATS (Wk 8)</t>
        </is>
      </c>
      <c r="B4" s="42" t="inlineStr">
        <is>
          <t>2-2-0</t>
        </is>
      </c>
      <c r="C4" s="45" t="n">
        <v>0.5</v>
      </c>
    </row>
    <row r="5">
      <c r="A5" s="42" t="inlineStr">
        <is>
          <t>Model pick W-L, straight-up (Wk 8)</t>
        </is>
      </c>
      <c r="B5" s="42" t="inlineStr">
        <is>
          <t>3-1</t>
        </is>
      </c>
      <c r="C5" s="45" t="n">
        <v>0.75</v>
      </c>
    </row>
    <row r="6" ht="15.65" customHeight="1"/>
    <row r="7" ht="15.65" customHeight="1">
      <c r="A7" s="41" t="inlineStr">
        <is>
          <t>Conference USA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Liberty</t>
        </is>
      </c>
      <c r="B9" s="42" t="n">
        <v>3</v>
      </c>
      <c r="C9" s="42" t="n">
        <v>0</v>
      </c>
      <c r="D9" s="42" t="n">
        <v>1</v>
      </c>
      <c r="E9" s="42" t="n">
        <v>6</v>
      </c>
      <c r="F9" s="42" t="n">
        <v>1</v>
      </c>
    </row>
    <row r="10">
      <c r="A10" s="42" t="inlineStr">
        <is>
          <t>Jacksonville State</t>
        </is>
      </c>
      <c r="B10" s="42" t="n">
        <v>3</v>
      </c>
      <c r="C10" s="42" t="n">
        <v>0</v>
      </c>
      <c r="D10" s="42" t="n">
        <v>1</v>
      </c>
      <c r="E10" s="42" t="n">
        <v>5</v>
      </c>
      <c r="F10" s="42" t="n">
        <v>2</v>
      </c>
    </row>
    <row r="11">
      <c r="A11" s="42" t="inlineStr">
        <is>
          <t>Middle Tennessee</t>
        </is>
      </c>
      <c r="B11" s="42" t="n">
        <v>2</v>
      </c>
      <c r="C11" s="42" t="n">
        <v>1</v>
      </c>
      <c r="D11" s="42" t="n">
        <v>0.667</v>
      </c>
      <c r="E11" s="42" t="n">
        <v>4</v>
      </c>
      <c r="F11" s="42" t="n">
        <v>3</v>
      </c>
    </row>
    <row r="12">
      <c r="A12" s="42" t="inlineStr">
        <is>
          <t>New Mexico State</t>
        </is>
      </c>
      <c r="B12" s="42" t="n">
        <v>2</v>
      </c>
      <c r="C12" s="42" t="n">
        <v>1</v>
      </c>
      <c r="D12" s="42" t="n">
        <v>0.667</v>
      </c>
      <c r="E12" s="42" t="n">
        <v>3</v>
      </c>
      <c r="F12" s="42" t="n">
        <v>4</v>
      </c>
    </row>
    <row r="13">
      <c r="A13" s="42" t="inlineStr">
        <is>
          <t>Western Kentucky</t>
        </is>
      </c>
      <c r="B13" s="42" t="n">
        <v>2</v>
      </c>
      <c r="C13" s="42" t="n">
        <v>1</v>
      </c>
      <c r="D13" s="42" t="n">
        <v>0.667</v>
      </c>
      <c r="E13" s="42" t="n">
        <v>3</v>
      </c>
      <c r="F13" s="42" t="n">
        <v>4</v>
      </c>
    </row>
    <row r="14" ht="26.5" customHeight="1">
      <c r="A14" s="42" t="inlineStr">
        <is>
          <t>Delaware</t>
        </is>
      </c>
      <c r="B14" s="42" t="n">
        <v>1</v>
      </c>
      <c r="C14" s="42" t="n">
        <v>2</v>
      </c>
      <c r="D14" s="42" t="n">
        <v>0.333</v>
      </c>
      <c r="E14" s="42" t="n">
        <v>3</v>
      </c>
      <c r="F14" s="42" t="n">
        <v>4</v>
      </c>
    </row>
    <row r="15">
      <c r="A15" s="42" t="inlineStr">
        <is>
          <t>Florida International</t>
        </is>
      </c>
      <c r="B15" s="42" t="n">
        <v>1</v>
      </c>
      <c r="C15" s="42" t="n">
        <v>2</v>
      </c>
      <c r="D15" s="42" t="n">
        <v>0.333</v>
      </c>
      <c r="E15" s="42" t="n">
        <v>3</v>
      </c>
      <c r="F15" s="42" t="n">
        <v>4</v>
      </c>
    </row>
    <row r="16">
      <c r="A16" s="42" t="inlineStr">
        <is>
          <t>Missouri State</t>
        </is>
      </c>
      <c r="B16" s="42" t="n">
        <v>1</v>
      </c>
      <c r="C16" s="42" t="n">
        <v>2</v>
      </c>
      <c r="D16" s="42" t="n">
        <v>0.333</v>
      </c>
      <c r="E16" s="42" t="n">
        <v>2</v>
      </c>
      <c r="F16" s="42" t="n">
        <v>5</v>
      </c>
    </row>
    <row r="17">
      <c r="A17" s="42" t="inlineStr">
        <is>
          <t>Kennesaw State</t>
        </is>
      </c>
      <c r="B17" s="42" t="n">
        <v>0</v>
      </c>
      <c r="C17" s="42" t="n">
        <v>3</v>
      </c>
      <c r="D17" s="42" t="n">
        <v>0</v>
      </c>
      <c r="E17" s="42" t="n">
        <v>1</v>
      </c>
      <c r="F17" s="42" t="n">
        <v>6</v>
      </c>
    </row>
    <row r="18">
      <c r="A18" s="42" t="inlineStr">
        <is>
          <t>Sam Houston</t>
        </is>
      </c>
      <c r="B18" s="42" t="n">
        <v>0</v>
      </c>
      <c r="C18" s="42" t="n">
        <v>3</v>
      </c>
      <c r="D18" s="42" t="n">
        <v>0</v>
      </c>
      <c r="E18" s="42" t="n">
        <v>1</v>
      </c>
      <c r="F18" s="42" t="n">
        <v>6</v>
      </c>
    </row>
    <row r="19" ht="26.5" customHeight="1"/>
    <row r="20" ht="26.25" customHeight="1">
      <c r="A20" s="41" t="inlineStr">
        <is>
          <t>Week 9</t>
        </is>
      </c>
    </row>
    <row r="21" ht="26.5" customHeight="1">
      <c r="A21" s="46" t="inlineStr">
        <is>
          <t>Week</t>
        </is>
      </c>
      <c r="B21" s="46" t="inlineStr">
        <is>
          <t>Date</t>
        </is>
      </c>
      <c r="C21" s="46" t="inlineStr">
        <is>
          <t>Home Conf</t>
        </is>
      </c>
      <c r="D21" s="46" t="inlineStr">
        <is>
          <t>Away Conf</t>
        </is>
      </c>
      <c r="E21" s="46" t="inlineStr">
        <is>
          <t>Away Team</t>
        </is>
      </c>
      <c r="F21" s="46" t="inlineStr">
        <is>
          <t>Home Team</t>
        </is>
      </c>
      <c r="G21" s="46" t="inlineStr">
        <is>
          <t>Model Line (Home)</t>
        </is>
      </c>
      <c r="H21" s="46" t="inlineStr">
        <is>
          <t>Market Line (Home)</t>
        </is>
      </c>
      <c r="I21" s="46" t="inlineStr">
        <is>
          <t>Spread Edge (pts)</t>
        </is>
      </c>
      <c r="J21" s="46" t="inlineStr">
        <is>
          <t>Ridge Line (Home)</t>
        </is>
      </c>
      <c r="K21" s="46" t="inlineStr">
        <is>
          <t>Massey Line (Home)</t>
        </is>
      </c>
      <c r="L21" s="46" t="inlineStr">
        <is>
          <t>Model Total</t>
        </is>
      </c>
      <c r="M21" s="46" t="inlineStr">
        <is>
          <t>Market Total</t>
        </is>
      </c>
      <c r="N21" s="46" t="inlineStr">
        <is>
          <t>Total Edge (pts)</t>
        </is>
      </c>
      <c r="O21" s="46" t="inlineStr">
        <is>
          <t>Away Pts</t>
        </is>
      </c>
      <c r="P21" s="46" t="inlineStr">
        <is>
          <t>Home Pts</t>
        </is>
      </c>
      <c r="Q21" s="46" t="inlineStr">
        <is>
          <t>Model Result (SU)</t>
        </is>
      </c>
      <c r="R21" s="46" t="inlineStr">
        <is>
          <t>XGBoost Line (Home)</t>
        </is>
      </c>
      <c r="S21" s="46" t="inlineStr">
        <is>
          <t>Gamma ATS</t>
        </is>
      </c>
      <c r="T21" s="46" t="inlineStr">
        <is>
          <t>Ridge ATS</t>
        </is>
      </c>
      <c r="U21" s="46" t="inlineStr">
        <is>
          <t>XGBoost ATS</t>
        </is>
      </c>
      <c r="V21" s="46" t="inlineStr">
        <is>
          <t>Massey ATS</t>
        </is>
      </c>
    </row>
    <row r="22">
      <c r="A22" s="42" t="n">
        <v>9</v>
      </c>
      <c r="B22" s="42" t="inlineStr">
        <is>
          <t>2026-10-27</t>
        </is>
      </c>
      <c r="C22" s="42" t="inlineStr">
        <is>
          <t>Conference USA</t>
        </is>
      </c>
      <c r="D22" s="42" t="inlineStr">
        <is>
          <t>Conference USA</t>
        </is>
      </c>
      <c r="E22" s="42" t="inlineStr">
        <is>
          <t>Delaware</t>
        </is>
      </c>
      <c r="F22" s="42" t="inlineStr">
        <is>
          <t>Western Kentucky</t>
        </is>
      </c>
      <c r="G22" s="42" t="n">
        <v>-2.7</v>
      </c>
      <c r="H22" s="42" t="n">
        <v>1.5</v>
      </c>
      <c r="I22" s="56" t="n">
        <v>4.2</v>
      </c>
      <c r="J22" s="42" t="n">
        <v>-6.7</v>
      </c>
      <c r="K22" s="42" t="n">
        <v>2.6</v>
      </c>
      <c r="L22" s="42" t="n">
        <v>51.4</v>
      </c>
      <c r="M22" s="42" t="n">
        <v>55.5</v>
      </c>
      <c r="N22" s="47" t="n">
        <v>-4.1</v>
      </c>
      <c r="O22" s="42" t="n"/>
      <c r="P22" s="42" t="n"/>
      <c r="Q22" s="42" t="n"/>
      <c r="R22" s="42" t="n">
        <v>-8</v>
      </c>
      <c r="S22" s="51" t="n"/>
      <c r="T22" s="51" t="n"/>
      <c r="U22" s="51" t="n"/>
      <c r="V22" s="51" t="n"/>
    </row>
    <row r="23">
      <c r="A23" s="42" t="n">
        <v>9</v>
      </c>
      <c r="B23" s="42" t="inlineStr">
        <is>
          <t>2026-10-28</t>
        </is>
      </c>
      <c r="C23" s="42" t="inlineStr">
        <is>
          <t>Conference USA</t>
        </is>
      </c>
      <c r="D23" s="42" t="inlineStr">
        <is>
          <t>Conference USA</t>
        </is>
      </c>
      <c r="E23" s="42" t="inlineStr">
        <is>
          <t>Kennesaw State</t>
        </is>
      </c>
      <c r="F23" s="42" t="inlineStr">
        <is>
          <t>Middle Tennessee</t>
        </is>
      </c>
      <c r="G23" s="42" t="n">
        <v>-0.8</v>
      </c>
      <c r="H23" s="42" t="n">
        <v>-3</v>
      </c>
      <c r="I23" s="47" t="n">
        <v>-2.2</v>
      </c>
      <c r="J23" s="42" t="n">
        <v>-3.4</v>
      </c>
      <c r="K23" s="42" t="n">
        <v>-1.8</v>
      </c>
      <c r="L23" s="42" t="n">
        <v>54.9</v>
      </c>
      <c r="M23" s="42" t="n">
        <v>50.5</v>
      </c>
      <c r="N23" s="47" t="n">
        <v>4.4</v>
      </c>
      <c r="O23" s="42" t="n"/>
      <c r="P23" s="42" t="n"/>
      <c r="Q23" s="42" t="n"/>
      <c r="R23" s="42" t="n">
        <v>1.2</v>
      </c>
      <c r="S23" s="51" t="n"/>
      <c r="T23" s="51" t="n"/>
      <c r="U23" s="51" t="n"/>
      <c r="V23" s="51" t="n"/>
    </row>
    <row r="24">
      <c r="A24" s="42" t="n">
        <v>9</v>
      </c>
      <c r="B24" s="42" t="inlineStr">
        <is>
          <t>2026-10-28</t>
        </is>
      </c>
      <c r="C24" s="42" t="inlineStr">
        <is>
          <t>Conference USA</t>
        </is>
      </c>
      <c r="D24" s="42" t="inlineStr">
        <is>
          <t>Conference USA</t>
        </is>
      </c>
      <c r="E24" s="42" t="inlineStr">
        <is>
          <t>Sam Houston</t>
        </is>
      </c>
      <c r="F24" s="42" t="inlineStr">
        <is>
          <t>Missouri State</t>
        </is>
      </c>
      <c r="G24" s="42" t="n">
        <v>-9.1</v>
      </c>
      <c r="H24" s="42" t="n">
        <v>-6</v>
      </c>
      <c r="I24" s="47" t="n">
        <v>3.1</v>
      </c>
      <c r="J24" s="42" t="n">
        <v>-6.2</v>
      </c>
      <c r="K24" s="42" t="n">
        <v>1</v>
      </c>
      <c r="L24" s="42" t="n">
        <v>52.9</v>
      </c>
      <c r="M24" s="42" t="n">
        <v>50.5</v>
      </c>
      <c r="N24" s="47" t="n">
        <v>2.4</v>
      </c>
      <c r="O24" s="42" t="n"/>
      <c r="P24" s="42" t="n"/>
      <c r="Q24" s="42" t="n"/>
      <c r="R24" s="42" t="n">
        <v>-6.7</v>
      </c>
      <c r="S24" s="51" t="n"/>
      <c r="T24" s="51" t="n"/>
      <c r="U24" s="51" t="n"/>
      <c r="V24" s="51" t="n"/>
    </row>
    <row r="25">
      <c r="A25" s="42" t="n">
        <v>9</v>
      </c>
      <c r="B25" s="42" t="inlineStr">
        <is>
          <t>2026-10-29</t>
        </is>
      </c>
      <c r="C25" s="42" t="inlineStr">
        <is>
          <t>Conference USA</t>
        </is>
      </c>
      <c r="D25" s="42" t="inlineStr">
        <is>
          <t>Conference USA</t>
        </is>
      </c>
      <c r="E25" s="42" t="inlineStr">
        <is>
          <t>Jacksonville State</t>
        </is>
      </c>
      <c r="F25" s="42" t="inlineStr">
        <is>
          <t>New Mexico State</t>
        </is>
      </c>
      <c r="G25" s="42" t="n">
        <v>3.8</v>
      </c>
      <c r="H25" s="42" t="n">
        <v>3</v>
      </c>
      <c r="I25" s="42" t="n">
        <v>-0.8</v>
      </c>
      <c r="J25" s="42" t="n">
        <v>10.5</v>
      </c>
      <c r="K25" s="42" t="n">
        <v>2.3</v>
      </c>
      <c r="L25" s="42" t="n">
        <v>52.7</v>
      </c>
      <c r="M25" s="42" t="n">
        <v>49.5</v>
      </c>
      <c r="N25" s="47" t="n">
        <v>3.2</v>
      </c>
      <c r="O25" s="42" t="n"/>
      <c r="P25" s="42" t="n"/>
      <c r="Q25" s="42" t="n"/>
      <c r="R25" s="42" t="n">
        <v>10.8</v>
      </c>
      <c r="S25" s="51" t="n"/>
      <c r="T25" s="51" t="n"/>
      <c r="U25" s="51" t="n"/>
      <c r="V25" s="51" t="n"/>
    </row>
    <row r="26" ht="15.75" customHeight="1">
      <c r="A26" s="42" t="n">
        <v>9</v>
      </c>
      <c r="B26" s="42" t="inlineStr">
        <is>
          <t>2026-10-31</t>
        </is>
      </c>
      <c r="C26" s="42" t="inlineStr">
        <is>
          <t>Conference USA</t>
        </is>
      </c>
      <c r="D26" s="42" t="inlineStr">
        <is>
          <t>Conference USA</t>
        </is>
      </c>
      <c r="E26" s="42" t="inlineStr">
        <is>
          <t>Florida International</t>
        </is>
      </c>
      <c r="F26" s="42" t="inlineStr">
        <is>
          <t>Liberty</t>
        </is>
      </c>
      <c r="G26" s="42" t="n">
        <v>-10.3</v>
      </c>
      <c r="H26" s="42" t="n">
        <v>-13.5</v>
      </c>
      <c r="I26" s="47" t="n">
        <v>-3.2</v>
      </c>
      <c r="J26" s="42" t="n">
        <v>-14</v>
      </c>
      <c r="K26" s="42" t="n">
        <v>-15.4</v>
      </c>
      <c r="L26" s="42" t="n">
        <v>49.5</v>
      </c>
      <c r="M26" s="42" t="n">
        <v>45.5</v>
      </c>
      <c r="N26" s="47" t="n">
        <v>4</v>
      </c>
      <c r="O26" s="42" t="n"/>
      <c r="P26" s="42" t="n"/>
      <c r="Q26" s="42" t="n"/>
      <c r="R26" s="42" t="n">
        <v>-11.2</v>
      </c>
      <c r="S26" s="51" t="n"/>
      <c r="T26" s="51" t="n"/>
      <c r="U26" s="51" t="n"/>
      <c r="V26" s="51" t="n"/>
    </row>
    <row r="27" ht="26.25" customHeight="1"/>
    <row r="28" ht="26.5" customHeight="1">
      <c r="A28" s="41" t="inlineStr">
        <is>
          <t>Week 8</t>
        </is>
      </c>
    </row>
    <row r="29">
      <c r="A29" s="46" t="inlineStr">
        <is>
          <t>Week</t>
        </is>
      </c>
      <c r="B29" s="46" t="inlineStr">
        <is>
          <t>Date</t>
        </is>
      </c>
      <c r="C29" s="46" t="inlineStr">
        <is>
          <t>Home Conf</t>
        </is>
      </c>
      <c r="D29" s="46" t="inlineStr">
        <is>
          <t>Away Conf</t>
        </is>
      </c>
      <c r="E29" s="46" t="inlineStr">
        <is>
          <t>Away Team</t>
        </is>
      </c>
      <c r="F29" s="46" t="inlineStr">
        <is>
          <t>Home Team</t>
        </is>
      </c>
      <c r="G29" s="46" t="inlineStr">
        <is>
          <t>Model Line (Home)</t>
        </is>
      </c>
      <c r="H29" s="46" t="inlineStr">
        <is>
          <t>Market Line (Home)</t>
        </is>
      </c>
      <c r="I29" s="46" t="inlineStr">
        <is>
          <t>Spread Edge (pts)</t>
        </is>
      </c>
      <c r="J29" s="46" t="inlineStr">
        <is>
          <t>Ridge Line (Home)</t>
        </is>
      </c>
      <c r="K29" s="46" t="inlineStr">
        <is>
          <t>Massey Line (Home)</t>
        </is>
      </c>
      <c r="L29" s="46" t="inlineStr">
        <is>
          <t>Model Total</t>
        </is>
      </c>
      <c r="M29" s="46" t="inlineStr">
        <is>
          <t>Market Total</t>
        </is>
      </c>
      <c r="N29" s="46" t="inlineStr">
        <is>
          <t>Total Edge (pts)</t>
        </is>
      </c>
      <c r="O29" s="46" t="inlineStr">
        <is>
          <t>Away Pts</t>
        </is>
      </c>
      <c r="P29" s="46" t="inlineStr">
        <is>
          <t>Home Pts</t>
        </is>
      </c>
      <c r="Q29" s="46" t="inlineStr">
        <is>
          <t>Model Result (SU)</t>
        </is>
      </c>
      <c r="R29" s="46" t="inlineStr">
        <is>
          <t>XGBoost Line (Home)</t>
        </is>
      </c>
      <c r="S29" s="46" t="inlineStr">
        <is>
          <t>Gamma ATS</t>
        </is>
      </c>
      <c r="T29" s="46" t="inlineStr">
        <is>
          <t>Ridge ATS</t>
        </is>
      </c>
      <c r="U29" s="46" t="inlineStr">
        <is>
          <t>XGBoost ATS</t>
        </is>
      </c>
      <c r="V29" s="46" t="inlineStr">
        <is>
          <t>Massey ATS</t>
        </is>
      </c>
    </row>
    <row r="30">
      <c r="A30" s="42" t="n">
        <v>8</v>
      </c>
      <c r="B30" s="42" t="inlineStr">
        <is>
          <t>2026-10-20</t>
        </is>
      </c>
      <c r="C30" s="42" t="inlineStr">
        <is>
          <t>Conference USA</t>
        </is>
      </c>
      <c r="D30" s="42" t="inlineStr">
        <is>
          <t>Conference USA</t>
        </is>
      </c>
      <c r="E30" s="42" t="inlineStr">
        <is>
          <t>Missouri State</t>
        </is>
      </c>
      <c r="F30" s="42" t="inlineStr">
        <is>
          <t>Delaware</t>
        </is>
      </c>
      <c r="G30" s="42" t="n">
        <v>-8.199999999999999</v>
      </c>
      <c r="H30" s="42" t="n">
        <v>-3</v>
      </c>
      <c r="I30" s="56" t="n">
        <v>5.2</v>
      </c>
      <c r="J30" s="42" t="n">
        <v>-5.3</v>
      </c>
      <c r="K30" s="42" t="n">
        <v>-7.2</v>
      </c>
      <c r="L30" s="42" t="n">
        <v>53.8</v>
      </c>
      <c r="M30" s="42" t="n">
        <v>54.2</v>
      </c>
      <c r="N30" s="42" t="n">
        <v>-0.5</v>
      </c>
      <c r="O30" s="42" t="n">
        <v>38</v>
      </c>
      <c r="P30" s="42" t="n">
        <v>61</v>
      </c>
      <c r="Q30" s="47" t="inlineStr">
        <is>
          <t>Win</t>
        </is>
      </c>
      <c r="R30" s="42" t="n">
        <v>-6.5</v>
      </c>
      <c r="S30" s="52" t="inlineStr">
        <is>
          <t>Win</t>
        </is>
      </c>
      <c r="T30" s="52" t="inlineStr">
        <is>
          <t>Win</t>
        </is>
      </c>
      <c r="U30" s="52" t="inlineStr">
        <is>
          <t>Win</t>
        </is>
      </c>
      <c r="V30" s="52" t="inlineStr">
        <is>
          <t>Win</t>
        </is>
      </c>
    </row>
    <row r="31">
      <c r="A31" s="42" t="n">
        <v>8</v>
      </c>
      <c r="B31" s="42" t="inlineStr">
        <is>
          <t>2026-10-20</t>
        </is>
      </c>
      <c r="C31" s="42" t="inlineStr">
        <is>
          <t>Conference USA</t>
        </is>
      </c>
      <c r="D31" s="42" t="inlineStr">
        <is>
          <t>Conference USA</t>
        </is>
      </c>
      <c r="E31" s="42" t="inlineStr">
        <is>
          <t>Middle Tennessee</t>
        </is>
      </c>
      <c r="F31" s="42" t="inlineStr">
        <is>
          <t>Florida International</t>
        </is>
      </c>
      <c r="G31" s="42" t="n">
        <v>-12.6</v>
      </c>
      <c r="H31" s="42" t="n">
        <v>-10.2</v>
      </c>
      <c r="I31" s="47" t="n">
        <v>2.4</v>
      </c>
      <c r="J31" s="42" t="n">
        <v>-9.6</v>
      </c>
      <c r="K31" s="42" t="n">
        <v>-11.6</v>
      </c>
      <c r="L31" s="42" t="n">
        <v>52.8</v>
      </c>
      <c r="M31" s="42" t="n">
        <v>46.5</v>
      </c>
      <c r="N31" s="47" t="n">
        <v>6.3</v>
      </c>
      <c r="O31" s="42" t="n">
        <v>26</v>
      </c>
      <c r="P31" s="42" t="n">
        <v>23</v>
      </c>
      <c r="Q31" s="48" t="inlineStr">
        <is>
          <t>Loss</t>
        </is>
      </c>
      <c r="R31" s="42" t="n">
        <v>-9.300000000000001</v>
      </c>
      <c r="S31" s="53" t="inlineStr">
        <is>
          <t>Loss</t>
        </is>
      </c>
      <c r="T31" s="53" t="inlineStr">
        <is>
          <t>Loss</t>
        </is>
      </c>
      <c r="U31" s="53" t="inlineStr">
        <is>
          <t>Loss</t>
        </is>
      </c>
      <c r="V31" s="53" t="inlineStr">
        <is>
          <t>Loss</t>
        </is>
      </c>
    </row>
    <row r="32">
      <c r="A32" s="42" t="n">
        <v>8</v>
      </c>
      <c r="B32" s="42" t="inlineStr">
        <is>
          <t>2026-10-22</t>
        </is>
      </c>
      <c r="C32" s="42" t="inlineStr">
        <is>
          <t>Conference USA</t>
        </is>
      </c>
      <c r="D32" s="42" t="inlineStr">
        <is>
          <t>Conference USA</t>
        </is>
      </c>
      <c r="E32" s="42" t="inlineStr">
        <is>
          <t>Liberty</t>
        </is>
      </c>
      <c r="F32" s="42" t="inlineStr">
        <is>
          <t>Kennesaw State</t>
        </is>
      </c>
      <c r="G32" s="42" t="n">
        <v>4.8</v>
      </c>
      <c r="H32" s="42" t="n">
        <v>8.5</v>
      </c>
      <c r="I32" s="47" t="n">
        <v>3.7</v>
      </c>
      <c r="J32" s="42" t="n">
        <v>9.300000000000001</v>
      </c>
      <c r="K32" s="42" t="n">
        <v>10</v>
      </c>
      <c r="L32" s="42" t="n">
        <v>51.4</v>
      </c>
      <c r="M32" s="42" t="n">
        <v>50.5</v>
      </c>
      <c r="N32" s="42" t="n">
        <v>0.9</v>
      </c>
      <c r="O32" s="42" t="n">
        <v>34</v>
      </c>
      <c r="P32" s="42" t="n">
        <v>6</v>
      </c>
      <c r="Q32" s="47" t="inlineStr">
        <is>
          <t>Win</t>
        </is>
      </c>
      <c r="R32" s="42" t="n">
        <v>6.7</v>
      </c>
      <c r="S32" s="53" t="inlineStr">
        <is>
          <t>Loss</t>
        </is>
      </c>
      <c r="T32" s="52" t="inlineStr">
        <is>
          <t>Win</t>
        </is>
      </c>
      <c r="U32" s="53" t="inlineStr">
        <is>
          <t>Loss</t>
        </is>
      </c>
      <c r="V32" s="52" t="inlineStr">
        <is>
          <t>Win</t>
        </is>
      </c>
    </row>
    <row r="33">
      <c r="A33" s="42" t="n">
        <v>8</v>
      </c>
      <c r="B33" s="42" t="inlineStr">
        <is>
          <t>2026-10-22</t>
        </is>
      </c>
      <c r="C33" s="42" t="inlineStr">
        <is>
          <t>Conference USA</t>
        </is>
      </c>
      <c r="D33" s="42" t="inlineStr">
        <is>
          <t>Conference USA</t>
        </is>
      </c>
      <c r="E33" s="42" t="inlineStr">
        <is>
          <t>New Mexico State</t>
        </is>
      </c>
      <c r="F33" s="42" t="inlineStr">
        <is>
          <t>Sam Houston</t>
        </is>
      </c>
      <c r="G33" s="42" t="n">
        <v>4.1</v>
      </c>
      <c r="H33" s="42" t="n">
        <v>3</v>
      </c>
      <c r="I33" s="42" t="n">
        <v>-1.1</v>
      </c>
      <c r="J33" s="42" t="n">
        <v>-1.2</v>
      </c>
      <c r="K33" s="42" t="n">
        <v>-2</v>
      </c>
      <c r="L33" s="42" t="n">
        <v>49.4</v>
      </c>
      <c r="M33" s="42" t="n">
        <v>46.5</v>
      </c>
      <c r="N33" s="47" t="n">
        <v>2.9</v>
      </c>
      <c r="O33" s="42" t="n">
        <v>30</v>
      </c>
      <c r="P33" s="42" t="n">
        <v>24</v>
      </c>
      <c r="Q33" s="47" t="inlineStr">
        <is>
          <t>Win</t>
        </is>
      </c>
      <c r="R33" s="42" t="n">
        <v>-3.1</v>
      </c>
      <c r="S33" s="52" t="inlineStr">
        <is>
          <t>Win</t>
        </is>
      </c>
      <c r="T33" s="53" t="inlineStr">
        <is>
          <t>Loss</t>
        </is>
      </c>
      <c r="U33" s="53" t="inlineStr">
        <is>
          <t>Loss</t>
        </is>
      </c>
      <c r="V33" s="53" t="inlineStr">
        <is>
          <t>Loss</t>
        </is>
      </c>
    </row>
    <row r="34" ht="15.75" customHeight="1"/>
    <row r="35" ht="26.25" customHeight="1">
      <c r="A35" s="41" t="inlineStr">
        <is>
          <t>Week 7</t>
        </is>
      </c>
    </row>
    <row r="36">
      <c r="A36" s="46" t="inlineStr">
        <is>
          <t>Week</t>
        </is>
      </c>
      <c r="B36" s="46" t="inlineStr">
        <is>
          <t>Date</t>
        </is>
      </c>
      <c r="C36" s="46" t="inlineStr">
        <is>
          <t>Home Conf</t>
        </is>
      </c>
      <c r="D36" s="46" t="inlineStr">
        <is>
          <t>Away Conf</t>
        </is>
      </c>
      <c r="E36" s="46" t="inlineStr">
        <is>
          <t>Away Team</t>
        </is>
      </c>
      <c r="F36" s="46" t="inlineStr">
        <is>
          <t>Home Team</t>
        </is>
      </c>
      <c r="G36" s="46" t="inlineStr">
        <is>
          <t>Model Line (Home)</t>
        </is>
      </c>
      <c r="H36" s="46" t="inlineStr">
        <is>
          <t>Market Line (Home)</t>
        </is>
      </c>
      <c r="I36" s="46" t="inlineStr">
        <is>
          <t>Spread Edge (pts)</t>
        </is>
      </c>
      <c r="J36" s="46" t="inlineStr">
        <is>
          <t>Ridge Line (Home)</t>
        </is>
      </c>
      <c r="K36" s="46" t="inlineStr">
        <is>
          <t>Massey Line (Home)</t>
        </is>
      </c>
      <c r="L36" s="46" t="inlineStr">
        <is>
          <t>Model Total</t>
        </is>
      </c>
      <c r="M36" s="46" t="inlineStr">
        <is>
          <t>Market Total</t>
        </is>
      </c>
      <c r="N36" s="46" t="inlineStr">
        <is>
          <t>Total Edge (pts)</t>
        </is>
      </c>
      <c r="O36" s="46" t="inlineStr">
        <is>
          <t>Away Pts</t>
        </is>
      </c>
      <c r="P36" s="46" t="inlineStr">
        <is>
          <t>Home Pts</t>
        </is>
      </c>
      <c r="Q36" s="46" t="inlineStr">
        <is>
          <t>Model Result (SU)</t>
        </is>
      </c>
      <c r="R36" s="46" t="inlineStr">
        <is>
          <t>XGBoost Line (Home)</t>
        </is>
      </c>
      <c r="S36" s="46" t="inlineStr">
        <is>
          <t>Gamma ATS</t>
        </is>
      </c>
      <c r="T36" s="46" t="inlineStr">
        <is>
          <t>Ridge ATS</t>
        </is>
      </c>
      <c r="U36" s="46" t="inlineStr">
        <is>
          <t>XGBoost ATS</t>
        </is>
      </c>
      <c r="V36" s="46" t="inlineStr">
        <is>
          <t>Massey ATS</t>
        </is>
      </c>
    </row>
    <row r="37">
      <c r="A37" s="42" t="n">
        <v>7</v>
      </c>
      <c r="B37" s="42" t="inlineStr">
        <is>
          <t>2026-10-13</t>
        </is>
      </c>
      <c r="C37" s="42" t="inlineStr">
        <is>
          <t>Conference USA</t>
        </is>
      </c>
      <c r="D37" s="42" t="inlineStr">
        <is>
          <t>Conference USA</t>
        </is>
      </c>
      <c r="E37" s="42" t="inlineStr">
        <is>
          <t>Delaware</t>
        </is>
      </c>
      <c r="F37" s="42" t="inlineStr">
        <is>
          <t>Middle Tennessee</t>
        </is>
      </c>
      <c r="G37" s="42" t="n">
        <v>-1.3</v>
      </c>
      <c r="H37" s="42" t="n">
        <v>1.2</v>
      </c>
      <c r="I37" s="47" t="n">
        <v>2.5</v>
      </c>
      <c r="J37" s="42" t="n">
        <v>5.6</v>
      </c>
      <c r="K37" s="42" t="n">
        <v>1.6</v>
      </c>
      <c r="L37" s="42" t="n">
        <v>53.1</v>
      </c>
      <c r="M37" s="42" t="n">
        <v>49.5</v>
      </c>
      <c r="N37" s="47" t="n">
        <v>3.6</v>
      </c>
      <c r="O37" s="42" t="n">
        <v>30</v>
      </c>
      <c r="P37" s="42" t="n">
        <v>33</v>
      </c>
      <c r="Q37" s="47" t="inlineStr">
        <is>
          <t>Win</t>
        </is>
      </c>
      <c r="R37" s="42" t="n">
        <v>5.8</v>
      </c>
      <c r="S37" s="52" t="inlineStr">
        <is>
          <t>Win</t>
        </is>
      </c>
      <c r="T37" s="53" t="inlineStr">
        <is>
          <t>Loss</t>
        </is>
      </c>
      <c r="U37" s="53" t="inlineStr">
        <is>
          <t>Loss</t>
        </is>
      </c>
      <c r="V37" s="53" t="inlineStr">
        <is>
          <t>Loss</t>
        </is>
      </c>
    </row>
    <row r="38">
      <c r="A38" s="42" t="n">
        <v>7</v>
      </c>
      <c r="B38" s="42" t="inlineStr">
        <is>
          <t>2026-10-14</t>
        </is>
      </c>
      <c r="C38" s="42" t="inlineStr">
        <is>
          <t>Conference USA</t>
        </is>
      </c>
      <c r="D38" s="42" t="inlineStr">
        <is>
          <t>Conference USA</t>
        </is>
      </c>
      <c r="E38" s="42" t="inlineStr">
        <is>
          <t>Florida International</t>
        </is>
      </c>
      <c r="F38" s="42" t="inlineStr">
        <is>
          <t>Jacksonville State</t>
        </is>
      </c>
      <c r="G38" s="42" t="n">
        <v>-4</v>
      </c>
      <c r="H38" s="42" t="n">
        <v>-3</v>
      </c>
      <c r="I38" s="42" t="n">
        <v>1</v>
      </c>
      <c r="J38" s="42" t="n">
        <v>-10</v>
      </c>
      <c r="K38" s="42" t="n">
        <v>-3</v>
      </c>
      <c r="L38" s="42" t="n">
        <v>50.3</v>
      </c>
      <c r="M38" s="42" t="n">
        <v>44.2</v>
      </c>
      <c r="N38" s="47" t="n">
        <v>6.1</v>
      </c>
      <c r="O38" s="42" t="n">
        <v>24</v>
      </c>
      <c r="P38" s="42" t="n">
        <v>27</v>
      </c>
      <c r="Q38" s="47" t="inlineStr">
        <is>
          <t>Win</t>
        </is>
      </c>
      <c r="R38" s="42" t="n">
        <v>-11.7</v>
      </c>
      <c r="S38" s="54" t="inlineStr">
        <is>
          <t>Push</t>
        </is>
      </c>
      <c r="T38" s="54" t="inlineStr">
        <is>
          <t>Push</t>
        </is>
      </c>
      <c r="U38" s="54" t="inlineStr">
        <is>
          <t>Push</t>
        </is>
      </c>
      <c r="V38" s="54" t="inlineStr">
        <is>
          <t>Push</t>
        </is>
      </c>
    </row>
    <row r="39">
      <c r="A39" s="42" t="n">
        <v>7</v>
      </c>
      <c r="B39" s="42" t="inlineStr">
        <is>
          <t>2026-10-14</t>
        </is>
      </c>
      <c r="C39" s="42" t="inlineStr">
        <is>
          <t>Conference USA</t>
        </is>
      </c>
      <c r="D39" s="42" t="inlineStr">
        <is>
          <t>Conference USA</t>
        </is>
      </c>
      <c r="E39" s="42" t="inlineStr">
        <is>
          <t>Kennesaw State</t>
        </is>
      </c>
      <c r="F39" s="42" t="inlineStr">
        <is>
          <t>Missouri State</t>
        </is>
      </c>
      <c r="G39" s="42" t="n">
        <v>-0.7</v>
      </c>
      <c r="H39" s="42" t="n">
        <v>2.5</v>
      </c>
      <c r="I39" s="47" t="n">
        <v>3.2</v>
      </c>
      <c r="J39" s="42" t="n">
        <v>-1.1</v>
      </c>
      <c r="K39" s="42" t="n">
        <v>7.1</v>
      </c>
      <c r="L39" s="42" t="n">
        <v>54.6</v>
      </c>
      <c r="M39" s="42" t="n">
        <v>52.5</v>
      </c>
      <c r="N39" s="47" t="n">
        <v>2.1</v>
      </c>
      <c r="O39" s="42" t="n">
        <v>21</v>
      </c>
      <c r="P39" s="42" t="n">
        <v>24</v>
      </c>
      <c r="Q39" s="47" t="inlineStr">
        <is>
          <t>Win</t>
        </is>
      </c>
      <c r="R39" s="42" t="n">
        <v>-0.5</v>
      </c>
      <c r="S39" s="52" t="inlineStr">
        <is>
          <t>Win</t>
        </is>
      </c>
      <c r="T39" s="52" t="inlineStr">
        <is>
          <t>Win</t>
        </is>
      </c>
      <c r="U39" s="52" t="inlineStr">
        <is>
          <t>Win</t>
        </is>
      </c>
      <c r="V39" s="53" t="inlineStr">
        <is>
          <t>Loss</t>
        </is>
      </c>
    </row>
    <row r="40">
      <c r="A40" s="42" t="n">
        <v>7</v>
      </c>
      <c r="B40" s="42" t="inlineStr">
        <is>
          <t>2026-10-15</t>
        </is>
      </c>
      <c r="C40" s="42" t="inlineStr">
        <is>
          <t>Conference USA</t>
        </is>
      </c>
      <c r="D40" s="42" t="inlineStr">
        <is>
          <t>Conference USA</t>
        </is>
      </c>
      <c r="E40" s="42" t="inlineStr">
        <is>
          <t>Western Kentucky</t>
        </is>
      </c>
      <c r="F40" s="42" t="inlineStr">
        <is>
          <t>Sam Houston</t>
        </is>
      </c>
      <c r="G40" s="42" t="n">
        <v>10.1</v>
      </c>
      <c r="H40" s="42" t="n">
        <v>1.2</v>
      </c>
      <c r="I40" s="56" t="n">
        <v>-8.9</v>
      </c>
      <c r="J40" s="42" t="n">
        <v>7.2</v>
      </c>
      <c r="K40" s="42" t="n">
        <v>-9.9</v>
      </c>
      <c r="L40" s="42" t="n">
        <v>52.5</v>
      </c>
      <c r="M40" s="42" t="n">
        <v>53.5</v>
      </c>
      <c r="N40" s="42" t="n">
        <v>-1</v>
      </c>
      <c r="O40" s="42" t="n">
        <v>16</v>
      </c>
      <c r="P40" s="42" t="n">
        <v>3</v>
      </c>
      <c r="Q40" s="47" t="inlineStr">
        <is>
          <t>Win</t>
        </is>
      </c>
      <c r="R40" s="42" t="n">
        <v>7</v>
      </c>
      <c r="S40" s="52" t="inlineStr">
        <is>
          <t>Win</t>
        </is>
      </c>
      <c r="T40" s="52" t="inlineStr">
        <is>
          <t>Win</t>
        </is>
      </c>
      <c r="U40" s="52" t="inlineStr">
        <is>
          <t>Win</t>
        </is>
      </c>
      <c r="V40" s="53" t="inlineStr">
        <is>
          <t>Loss</t>
        </is>
      </c>
    </row>
    <row r="41" ht="15.75" customHeight="1"/>
    <row r="42" ht="26.25" customHeight="1">
      <c r="A42" s="41" t="inlineStr">
        <is>
          <t>Week 6</t>
        </is>
      </c>
    </row>
    <row r="43">
      <c r="A43" s="46" t="inlineStr">
        <is>
          <t>Week</t>
        </is>
      </c>
      <c r="B43" s="46" t="inlineStr">
        <is>
          <t>Date</t>
        </is>
      </c>
      <c r="C43" s="46" t="inlineStr">
        <is>
          <t>Home Conf</t>
        </is>
      </c>
      <c r="D43" s="46" t="inlineStr">
        <is>
          <t>Away Conf</t>
        </is>
      </c>
      <c r="E43" s="46" t="inlineStr">
        <is>
          <t>Away Team</t>
        </is>
      </c>
      <c r="F43" s="46" t="inlineStr">
        <is>
          <t>Home Team</t>
        </is>
      </c>
      <c r="G43" s="46" t="inlineStr">
        <is>
          <t>Model Line (Home)</t>
        </is>
      </c>
      <c r="H43" s="46" t="inlineStr">
        <is>
          <t>Market Line (Home)</t>
        </is>
      </c>
      <c r="I43" s="46" t="inlineStr">
        <is>
          <t>Spread Edge (pts)</t>
        </is>
      </c>
      <c r="J43" s="46" t="inlineStr">
        <is>
          <t>Ridge Line (Home)</t>
        </is>
      </c>
      <c r="K43" s="46" t="inlineStr">
        <is>
          <t>Massey Line (Home)</t>
        </is>
      </c>
      <c r="L43" s="46" t="inlineStr">
        <is>
          <t>Model Total</t>
        </is>
      </c>
      <c r="M43" s="46" t="inlineStr">
        <is>
          <t>Market Total</t>
        </is>
      </c>
      <c r="N43" s="46" t="inlineStr">
        <is>
          <t>Total Edge (pts)</t>
        </is>
      </c>
      <c r="O43" s="46" t="inlineStr">
        <is>
          <t>Away Pts</t>
        </is>
      </c>
      <c r="P43" s="46" t="inlineStr">
        <is>
          <t>Home Pts</t>
        </is>
      </c>
      <c r="Q43" s="46" t="inlineStr">
        <is>
          <t>Model Result (SU)</t>
        </is>
      </c>
      <c r="R43" s="46" t="inlineStr">
        <is>
          <t>XGBoost Line (Home)</t>
        </is>
      </c>
      <c r="S43" s="46" t="inlineStr">
        <is>
          <t>Gamma ATS</t>
        </is>
      </c>
      <c r="T43" s="46" t="inlineStr">
        <is>
          <t>Ridge ATS</t>
        </is>
      </c>
      <c r="U43" s="46" t="inlineStr">
        <is>
          <t>XGBoost ATS</t>
        </is>
      </c>
      <c r="V43" s="46" t="inlineStr">
        <is>
          <t>Massey ATS</t>
        </is>
      </c>
    </row>
    <row r="44">
      <c r="A44" s="42" t="n">
        <v>6</v>
      </c>
      <c r="B44" s="42" t="inlineStr">
        <is>
          <t>2026-10-07</t>
        </is>
      </c>
      <c r="C44" s="42" t="inlineStr">
        <is>
          <t>Conference USA</t>
        </is>
      </c>
      <c r="D44" s="42" t="inlineStr">
        <is>
          <t>Conference USA</t>
        </is>
      </c>
      <c r="E44" s="42" t="inlineStr">
        <is>
          <t>New Mexico State</t>
        </is>
      </c>
      <c r="F44" s="42" t="inlineStr">
        <is>
          <t>Florida International</t>
        </is>
      </c>
      <c r="G44" s="42" t="n">
        <v>-7.3</v>
      </c>
      <c r="H44" s="42" t="n">
        <v>-7</v>
      </c>
      <c r="I44" s="42" t="n">
        <v>0.3</v>
      </c>
      <c r="J44" s="42" t="n">
        <v>-6.3</v>
      </c>
      <c r="K44" s="42" t="n">
        <v>-5.2</v>
      </c>
      <c r="L44" s="42" t="n">
        <v>50.2</v>
      </c>
      <c r="M44" s="42" t="n">
        <v>46.8</v>
      </c>
      <c r="N44" s="47" t="n">
        <v>3.5</v>
      </c>
      <c r="O44" s="42" t="n">
        <v>3</v>
      </c>
      <c r="P44" s="42" t="n">
        <v>22</v>
      </c>
      <c r="Q44" s="47" t="inlineStr">
        <is>
          <t>Win</t>
        </is>
      </c>
      <c r="R44" s="42" t="n">
        <v>-10.8</v>
      </c>
      <c r="S44" s="52" t="inlineStr">
        <is>
          <t>Win</t>
        </is>
      </c>
      <c r="T44" s="52" t="inlineStr">
        <is>
          <t>Win</t>
        </is>
      </c>
      <c r="U44" s="52" t="inlineStr">
        <is>
          <t>Win</t>
        </is>
      </c>
      <c r="V44" s="53" t="inlineStr">
        <is>
          <t>Loss</t>
        </is>
      </c>
    </row>
    <row r="45">
      <c r="A45" s="42" t="n">
        <v>6</v>
      </c>
      <c r="B45" s="42" t="inlineStr">
        <is>
          <t>2026-10-07</t>
        </is>
      </c>
      <c r="C45" s="42" t="inlineStr">
        <is>
          <t>Conference USA</t>
        </is>
      </c>
      <c r="D45" s="42" t="inlineStr">
        <is>
          <t>Conference USA</t>
        </is>
      </c>
      <c r="E45" s="42" t="inlineStr">
        <is>
          <t>Jacksonville State</t>
        </is>
      </c>
      <c r="F45" s="42" t="inlineStr">
        <is>
          <t>Kennesaw State</t>
        </is>
      </c>
      <c r="G45" s="42" t="n">
        <v>2.2</v>
      </c>
      <c r="H45" s="42" t="n">
        <v>3</v>
      </c>
      <c r="I45" s="42" t="n">
        <v>0.8</v>
      </c>
      <c r="J45" s="42" t="n">
        <v>7.8</v>
      </c>
      <c r="K45" s="42" t="n">
        <v>-0.4</v>
      </c>
      <c r="L45" s="42" t="n">
        <v>54.2</v>
      </c>
      <c r="M45" s="42" t="n">
        <v>48.8</v>
      </c>
      <c r="N45" s="47" t="n">
        <v>5.5</v>
      </c>
      <c r="O45" s="42" t="n">
        <v>27</v>
      </c>
      <c r="P45" s="42" t="n">
        <v>26</v>
      </c>
      <c r="Q45" s="47" t="inlineStr">
        <is>
          <t>Win</t>
        </is>
      </c>
      <c r="R45" s="42" t="n">
        <v>10.6</v>
      </c>
      <c r="S45" s="53" t="inlineStr">
        <is>
          <t>Loss</t>
        </is>
      </c>
      <c r="T45" s="53" t="inlineStr">
        <is>
          <t>Loss</t>
        </is>
      </c>
      <c r="U45" s="53" t="inlineStr">
        <is>
          <t>Loss</t>
        </is>
      </c>
      <c r="V45" s="52" t="inlineStr">
        <is>
          <t>Win</t>
        </is>
      </c>
    </row>
    <row r="46">
      <c r="A46" s="42" t="n">
        <v>6</v>
      </c>
      <c r="B46" s="42" t="inlineStr">
        <is>
          <t>2026-10-08</t>
        </is>
      </c>
      <c r="C46" s="42" t="inlineStr">
        <is>
          <t>Conference USA</t>
        </is>
      </c>
      <c r="D46" s="42" t="inlineStr">
        <is>
          <t>Conference USA</t>
        </is>
      </c>
      <c r="E46" s="42" t="inlineStr">
        <is>
          <t>Sam Houston</t>
        </is>
      </c>
      <c r="F46" s="42" t="inlineStr">
        <is>
          <t>Liberty</t>
        </is>
      </c>
      <c r="G46" s="42" t="n">
        <v>-18</v>
      </c>
      <c r="H46" s="42" t="n">
        <v>-13.5</v>
      </c>
      <c r="I46" s="56" t="n">
        <v>4.5</v>
      </c>
      <c r="J46" s="42" t="n">
        <v>-14.8</v>
      </c>
      <c r="K46" s="42" t="n">
        <v>-11.2</v>
      </c>
      <c r="L46" s="42" t="n">
        <v>51.4</v>
      </c>
      <c r="M46" s="42" t="n">
        <v>52.8</v>
      </c>
      <c r="N46" s="42" t="n">
        <v>-1.3</v>
      </c>
      <c r="O46" s="42" t="n">
        <v>3</v>
      </c>
      <c r="P46" s="42" t="n">
        <v>35</v>
      </c>
      <c r="Q46" s="47" t="inlineStr">
        <is>
          <t>Win</t>
        </is>
      </c>
      <c r="R46" s="42" t="n">
        <v>-10.4</v>
      </c>
      <c r="S46" s="52" t="inlineStr">
        <is>
          <t>Win</t>
        </is>
      </c>
      <c r="T46" s="52" t="inlineStr">
        <is>
          <t>Win</t>
        </is>
      </c>
      <c r="U46" s="53" t="inlineStr">
        <is>
          <t>Loss</t>
        </is>
      </c>
      <c r="V46" s="53" t="inlineStr">
        <is>
          <t>Loss</t>
        </is>
      </c>
    </row>
    <row r="47">
      <c r="A47" s="42" t="n">
        <v>6</v>
      </c>
      <c r="B47" s="42" t="inlineStr">
        <is>
          <t>2026-10-08</t>
        </is>
      </c>
      <c r="C47" s="42" t="inlineStr">
        <is>
          <t>Conference USA</t>
        </is>
      </c>
      <c r="D47" s="42" t="inlineStr">
        <is>
          <t>Conference USA</t>
        </is>
      </c>
      <c r="E47" s="42" t="inlineStr">
        <is>
          <t>Missouri State</t>
        </is>
      </c>
      <c r="F47" s="42" t="inlineStr">
        <is>
          <t>Western Kentucky</t>
        </is>
      </c>
      <c r="G47" s="42" t="n">
        <v>-5.3</v>
      </c>
      <c r="H47" s="42" t="n">
        <v>1.8</v>
      </c>
      <c r="I47" s="56" t="n">
        <v>7.1</v>
      </c>
      <c r="J47" s="42" t="n">
        <v>-8.199999999999999</v>
      </c>
      <c r="K47" s="42" t="n">
        <v>2.3</v>
      </c>
      <c r="L47" s="42" t="n">
        <v>54</v>
      </c>
      <c r="M47" s="42" t="n">
        <v>56.8</v>
      </c>
      <c r="N47" s="47" t="n">
        <v>-2.7</v>
      </c>
      <c r="O47" s="42" t="n">
        <v>13</v>
      </c>
      <c r="P47" s="42" t="n">
        <v>34</v>
      </c>
      <c r="Q47" s="47" t="inlineStr">
        <is>
          <t>Win</t>
        </is>
      </c>
      <c r="R47" s="42" t="n">
        <v>-8.5</v>
      </c>
      <c r="S47" s="52" t="inlineStr">
        <is>
          <t>Win</t>
        </is>
      </c>
      <c r="T47" s="52" t="inlineStr">
        <is>
          <t>Win</t>
        </is>
      </c>
      <c r="U47" s="52" t="inlineStr">
        <is>
          <t>Win</t>
        </is>
      </c>
      <c r="V47" s="53" t="inlineStr">
        <is>
          <t>Loss</t>
        </is>
      </c>
    </row>
    <row r="49">
      <c r="A49" s="41" t="inlineStr">
        <is>
          <t>Week 5</t>
        </is>
      </c>
    </row>
    <row r="50">
      <c r="A50" s="46" t="inlineStr">
        <is>
          <t>Week</t>
        </is>
      </c>
      <c r="B50" s="46" t="inlineStr">
        <is>
          <t>Date</t>
        </is>
      </c>
      <c r="C50" s="46" t="inlineStr">
        <is>
          <t>Home Conf</t>
        </is>
      </c>
      <c r="D50" s="46" t="inlineStr">
        <is>
          <t>Away Conf</t>
        </is>
      </c>
      <c r="E50" s="46" t="inlineStr">
        <is>
          <t>Away Team</t>
        </is>
      </c>
      <c r="F50" s="46" t="inlineStr">
        <is>
          <t>Home Team</t>
        </is>
      </c>
      <c r="G50" s="46" t="inlineStr">
        <is>
          <t>Model Line (Home)</t>
        </is>
      </c>
      <c r="H50" s="46" t="inlineStr">
        <is>
          <t>Market Line (Home)</t>
        </is>
      </c>
      <c r="I50" s="46" t="inlineStr">
        <is>
          <t>Spread Edge (pts)</t>
        </is>
      </c>
      <c r="J50" s="46" t="inlineStr">
        <is>
          <t>Ridge Line (Home)</t>
        </is>
      </c>
      <c r="K50" s="46" t="inlineStr">
        <is>
          <t>Massey Line (Home)</t>
        </is>
      </c>
      <c r="L50" s="46" t="inlineStr">
        <is>
          <t>Model Total</t>
        </is>
      </c>
      <c r="M50" s="46" t="inlineStr">
        <is>
          <t>Market Total</t>
        </is>
      </c>
      <c r="N50" s="46" t="inlineStr">
        <is>
          <t>Total Edge (pts)</t>
        </is>
      </c>
      <c r="O50" s="46" t="inlineStr">
        <is>
          <t>Away Pts</t>
        </is>
      </c>
      <c r="P50" s="46" t="inlineStr">
        <is>
          <t>Home Pts</t>
        </is>
      </c>
      <c r="Q50" s="46" t="inlineStr">
        <is>
          <t>Model Result (SU)</t>
        </is>
      </c>
      <c r="R50" s="46" t="inlineStr">
        <is>
          <t>XGBoost Line (Home)</t>
        </is>
      </c>
      <c r="S50" s="46" t="inlineStr">
        <is>
          <t>Gamma ATS</t>
        </is>
      </c>
      <c r="T50" s="46" t="inlineStr">
        <is>
          <t>Ridge ATS</t>
        </is>
      </c>
      <c r="U50" s="46" t="inlineStr">
        <is>
          <t>XGBoost ATS</t>
        </is>
      </c>
      <c r="V50" s="46" t="inlineStr">
        <is>
          <t>Massey ATS</t>
        </is>
      </c>
    </row>
    <row r="51">
      <c r="A51" s="42" t="n">
        <v>5</v>
      </c>
      <c r="B51" s="42" t="inlineStr">
        <is>
          <t>2026-10-03</t>
        </is>
      </c>
      <c r="C51" s="42" t="inlineStr">
        <is>
          <t>Big 12</t>
        </is>
      </c>
      <c r="D51" s="42" t="inlineStr">
        <is>
          <t>Conference USA</t>
        </is>
      </c>
      <c r="E51" s="42" t="inlineStr">
        <is>
          <t>Middle Tennessee</t>
        </is>
      </c>
      <c r="F51" s="42" t="inlineStr">
        <is>
          <t>Kansas</t>
        </is>
      </c>
      <c r="G51" s="42" t="n">
        <v>-16.9</v>
      </c>
      <c r="H51" s="42" t="n">
        <v>-21</v>
      </c>
      <c r="I51" s="56" t="n">
        <v>-4.1</v>
      </c>
      <c r="J51" s="42" t="n">
        <v>-19.5</v>
      </c>
      <c r="K51" s="42" t="n">
        <v>-6.3</v>
      </c>
      <c r="L51" s="42" t="n">
        <v>54.2</v>
      </c>
      <c r="M51" s="42" t="n">
        <v>51</v>
      </c>
      <c r="N51" s="47" t="n">
        <v>3.2</v>
      </c>
      <c r="O51" s="42" t="n">
        <v>0</v>
      </c>
      <c r="P51" s="42" t="n">
        <v>55</v>
      </c>
      <c r="Q51" s="47" t="inlineStr">
        <is>
          <t>Win</t>
        </is>
      </c>
      <c r="R51" s="42" t="n">
        <v>-14.4</v>
      </c>
      <c r="S51" s="53" t="inlineStr">
        <is>
          <t>Loss</t>
        </is>
      </c>
      <c r="T51" s="53" t="inlineStr">
        <is>
          <t>Loss</t>
        </is>
      </c>
      <c r="U51" s="53" t="inlineStr">
        <is>
          <t>Loss</t>
        </is>
      </c>
      <c r="V51" s="53" t="inlineStr">
        <is>
          <t>Loss</t>
        </is>
      </c>
    </row>
    <row r="52">
      <c r="A52" s="42" t="n">
        <v>5</v>
      </c>
      <c r="B52" s="42" t="inlineStr">
        <is>
          <t>2026-10-02</t>
        </is>
      </c>
      <c r="C52" s="42" t="inlineStr">
        <is>
          <t>Conference USA</t>
        </is>
      </c>
      <c r="D52" s="42" t="inlineStr">
        <is>
          <t>Conference USA</t>
        </is>
      </c>
      <c r="E52" s="42" t="inlineStr">
        <is>
          <t>Liberty</t>
        </is>
      </c>
      <c r="F52" s="42" t="inlineStr">
        <is>
          <t>Delaware</t>
        </is>
      </c>
      <c r="G52" s="42" t="n">
        <v>5.8</v>
      </c>
      <c r="H52" s="42" t="n">
        <v>7</v>
      </c>
      <c r="I52" s="42" t="n">
        <v>1.2</v>
      </c>
      <c r="J52" s="42" t="n">
        <v>-0.5</v>
      </c>
      <c r="K52" s="42" t="n">
        <v>5.2</v>
      </c>
      <c r="L52" s="42" t="n">
        <v>50.9</v>
      </c>
      <c r="M52" s="42" t="n">
        <v>51.5</v>
      </c>
      <c r="N52" s="42" t="n">
        <v>-0.6</v>
      </c>
      <c r="O52" s="42" t="n">
        <v>30</v>
      </c>
      <c r="P52" s="42" t="n">
        <v>14</v>
      </c>
      <c r="Q52" s="47" t="inlineStr">
        <is>
          <t>Win</t>
        </is>
      </c>
      <c r="R52" s="42" t="n">
        <v>0.6</v>
      </c>
      <c r="S52" s="53" t="inlineStr">
        <is>
          <t>Loss</t>
        </is>
      </c>
      <c r="T52" s="53" t="inlineStr">
        <is>
          <t>Loss</t>
        </is>
      </c>
      <c r="U52" s="53" t="inlineStr">
        <is>
          <t>Loss</t>
        </is>
      </c>
      <c r="V52" s="53" t="inlineStr">
        <is>
          <t>Loss</t>
        </is>
      </c>
    </row>
    <row r="53">
      <c r="A53" s="42" t="n">
        <v>5</v>
      </c>
      <c r="B53" s="42" t="inlineStr">
        <is>
          <t>2026-10-02</t>
        </is>
      </c>
      <c r="C53" s="42" t="inlineStr">
        <is>
          <t>Conference USA</t>
        </is>
      </c>
      <c r="D53" s="42" t="inlineStr">
        <is>
          <t>Conference USA</t>
        </is>
      </c>
      <c r="E53" s="42" t="inlineStr">
        <is>
          <t>Western Kentucky</t>
        </is>
      </c>
      <c r="F53" s="42" t="inlineStr">
        <is>
          <t>New Mexico State</t>
        </is>
      </c>
      <c r="G53" s="42" t="n">
        <v>5.5</v>
      </c>
      <c r="H53" s="42" t="n">
        <v>-1.5</v>
      </c>
      <c r="I53" s="56" t="n">
        <v>-7</v>
      </c>
      <c r="J53" s="42" t="n">
        <v>9.800000000000001</v>
      </c>
      <c r="K53" s="42" t="n">
        <v>-6.9</v>
      </c>
      <c r="L53" s="42" t="n">
        <v>55.6</v>
      </c>
      <c r="M53" s="42" t="n">
        <v>55.8</v>
      </c>
      <c r="N53" s="42" t="n">
        <v>-0.2</v>
      </c>
      <c r="O53" s="42" t="n">
        <v>13</v>
      </c>
      <c r="P53" s="42" t="n">
        <v>34</v>
      </c>
      <c r="Q53" s="48" t="inlineStr">
        <is>
          <t>Loss</t>
        </is>
      </c>
      <c r="R53" s="42" t="n">
        <v>12.2</v>
      </c>
      <c r="S53" s="53" t="inlineStr">
        <is>
          <t>Loss</t>
        </is>
      </c>
      <c r="T53" s="53" t="inlineStr">
        <is>
          <t>Loss</t>
        </is>
      </c>
      <c r="U53" s="53" t="inlineStr">
        <is>
          <t>Loss</t>
        </is>
      </c>
      <c r="V53" s="52" t="inlineStr">
        <is>
          <t>Win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topLeftCell="A10" workbookViewId="0">
      <selection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FBS Independents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8-6-0</t>
        </is>
      </c>
      <c r="C3" s="45" t="n">
        <v>0.571</v>
      </c>
    </row>
    <row r="4">
      <c r="A4" s="42" t="inlineStr">
        <is>
          <t>Weekly ATS (Wk 8)</t>
        </is>
      </c>
      <c r="B4" s="42" t="inlineStr">
        <is>
          <t>1-0-0</t>
        </is>
      </c>
      <c r="C4" s="45" t="n">
        <v>1</v>
      </c>
    </row>
    <row r="5">
      <c r="A5" s="42" t="inlineStr">
        <is>
          <t>Model pick W-L, straight-up (Wk 8)</t>
        </is>
      </c>
      <c r="B5" s="42" t="inlineStr">
        <is>
          <t>1-0</t>
        </is>
      </c>
      <c r="C5" s="45" t="n">
        <v>1</v>
      </c>
    </row>
    <row r="6" ht="26.5" customHeight="1"/>
    <row r="7" ht="15.65" customHeight="1">
      <c r="A7" s="41" t="inlineStr">
        <is>
          <t>FBS Independents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Notre Dame</t>
        </is>
      </c>
      <c r="B9" s="42" t="n">
        <v>0</v>
      </c>
      <c r="C9" s="42" t="n">
        <v>0</v>
      </c>
      <c r="D9" s="42" t="n"/>
      <c r="E9" s="42" t="n">
        <v>6</v>
      </c>
      <c r="F9" s="42" t="n">
        <v>1</v>
      </c>
    </row>
    <row r="10">
      <c r="A10" s="42" t="inlineStr">
        <is>
          <t>UConn</t>
        </is>
      </c>
      <c r="B10" s="42" t="n">
        <v>0</v>
      </c>
      <c r="C10" s="42" t="n">
        <v>0</v>
      </c>
      <c r="D10" s="42" t="n"/>
      <c r="E10" s="42" t="n">
        <v>4</v>
      </c>
      <c r="F10" s="42" t="n">
        <v>3</v>
      </c>
    </row>
    <row r="11" ht="26.5" customHeight="1"/>
    <row r="12" ht="26.25" customHeight="1">
      <c r="A12" s="41" t="inlineStr">
        <is>
          <t>Week 9</t>
        </is>
      </c>
    </row>
    <row r="13" ht="26.5" customHeight="1">
      <c r="A13" s="46" t="inlineStr">
        <is>
          <t>Week</t>
        </is>
      </c>
      <c r="B13" s="46" t="inlineStr">
        <is>
          <t>Date</t>
        </is>
      </c>
      <c r="C13" s="46" t="inlineStr">
        <is>
          <t>Home Conf</t>
        </is>
      </c>
      <c r="D13" s="46" t="inlineStr">
        <is>
          <t>Away Conf</t>
        </is>
      </c>
      <c r="E13" s="46" t="inlineStr">
        <is>
          <t>Away Team</t>
        </is>
      </c>
      <c r="F13" s="46" t="inlineStr">
        <is>
          <t>Home Team</t>
        </is>
      </c>
      <c r="G13" s="46" t="inlineStr">
        <is>
          <t>Model Line (Home)</t>
        </is>
      </c>
      <c r="H13" s="46" t="inlineStr">
        <is>
          <t>Market Line (Home)</t>
        </is>
      </c>
      <c r="I13" s="46" t="inlineStr">
        <is>
          <t>Spread Edge (pts)</t>
        </is>
      </c>
      <c r="J13" s="46" t="inlineStr">
        <is>
          <t>Ridge Line (Home)</t>
        </is>
      </c>
      <c r="K13" s="46" t="inlineStr">
        <is>
          <t>Massey Line (Home)</t>
        </is>
      </c>
      <c r="L13" s="46" t="inlineStr">
        <is>
          <t>Model Total</t>
        </is>
      </c>
      <c r="M13" s="46" t="inlineStr">
        <is>
          <t>Market Total</t>
        </is>
      </c>
      <c r="N13" s="46" t="inlineStr">
        <is>
          <t>Total Edge (pts)</t>
        </is>
      </c>
      <c r="O13" s="46" t="inlineStr">
        <is>
          <t>Away Pts</t>
        </is>
      </c>
      <c r="P13" s="46" t="inlineStr">
        <is>
          <t>Home Pts</t>
        </is>
      </c>
      <c r="Q13" s="46" t="inlineStr">
        <is>
          <t>Model Result (SU)</t>
        </is>
      </c>
      <c r="R13" s="46" t="inlineStr">
        <is>
          <t>XGBoost Line (Home)</t>
        </is>
      </c>
      <c r="S13" s="46" t="inlineStr">
        <is>
          <t>Gamma ATS</t>
        </is>
      </c>
      <c r="T13" s="46" t="inlineStr">
        <is>
          <t>Ridge ATS</t>
        </is>
      </c>
      <c r="U13" s="46" t="inlineStr">
        <is>
          <t>XGBoost ATS</t>
        </is>
      </c>
      <c r="V13" s="46" t="inlineStr">
        <is>
          <t>Massey ATS</t>
        </is>
      </c>
    </row>
    <row r="14">
      <c r="A14" s="42" t="n">
        <v>9</v>
      </c>
      <c r="B14" s="42" t="inlineStr">
        <is>
          <t>2026-10-31</t>
        </is>
      </c>
      <c r="C14" s="42" t="inlineStr">
        <is>
          <t>American Athletic</t>
        </is>
      </c>
      <c r="D14" s="42" t="inlineStr">
        <is>
          <t>FBS Independents</t>
        </is>
      </c>
      <c r="E14" s="42" t="inlineStr">
        <is>
          <t>Notre Dame</t>
        </is>
      </c>
      <c r="F14" s="42" t="inlineStr">
        <is>
          <t>Navy</t>
        </is>
      </c>
      <c r="G14" s="42" t="n">
        <v>20</v>
      </c>
      <c r="H14" s="42" t="n">
        <v>29.5</v>
      </c>
      <c r="I14" s="56" t="n">
        <v>9.5</v>
      </c>
      <c r="J14" s="42" t="n">
        <v>23.7</v>
      </c>
      <c r="K14" s="42" t="n">
        <v>23.7</v>
      </c>
      <c r="L14" s="42" t="n">
        <v>55.8</v>
      </c>
      <c r="M14" s="42" t="n">
        <v>54.5</v>
      </c>
      <c r="N14" s="42" t="n">
        <v>1.3</v>
      </c>
      <c r="O14" s="42" t="n"/>
      <c r="P14" s="42" t="n"/>
      <c r="Q14" s="42" t="n"/>
      <c r="R14" s="42" t="n">
        <v>20.1</v>
      </c>
      <c r="S14" s="51" t="n"/>
      <c r="T14" s="51" t="n"/>
      <c r="U14" s="51" t="n"/>
      <c r="V14" s="51" t="n"/>
    </row>
    <row r="15">
      <c r="A15" s="42" t="n">
        <v>9</v>
      </c>
      <c r="B15" s="42" t="inlineStr">
        <is>
          <t>2026-10-31</t>
        </is>
      </c>
      <c r="C15" s="42" t="inlineStr">
        <is>
          <t>Mountain West</t>
        </is>
      </c>
      <c r="D15" s="42" t="inlineStr">
        <is>
          <t>FBS Independents</t>
        </is>
      </c>
      <c r="E15" s="42" t="inlineStr">
        <is>
          <t>UConn</t>
        </is>
      </c>
      <c r="F15" s="42" t="inlineStr">
        <is>
          <t>Air Force</t>
        </is>
      </c>
      <c r="G15" s="42" t="n">
        <v>-5.2</v>
      </c>
      <c r="H15" s="42" t="n">
        <v>-3</v>
      </c>
      <c r="I15" s="47" t="n">
        <v>2.2</v>
      </c>
      <c r="J15" s="42" t="n">
        <v>-9.800000000000001</v>
      </c>
      <c r="K15" s="42" t="n">
        <v>1.5</v>
      </c>
      <c r="L15" s="42" t="n">
        <v>53.2</v>
      </c>
      <c r="M15" s="42" t="n">
        <v>53.5</v>
      </c>
      <c r="N15" s="42" t="n">
        <v>-0.3</v>
      </c>
      <c r="O15" s="42" t="n"/>
      <c r="P15" s="42" t="n"/>
      <c r="Q15" s="42" t="n"/>
      <c r="R15" s="42" t="n">
        <v>-2.8</v>
      </c>
      <c r="S15" s="51" t="n"/>
      <c r="T15" s="51" t="n"/>
      <c r="U15" s="51" t="n"/>
      <c r="V15" s="51" t="n"/>
    </row>
    <row r="16" ht="15.75" customHeight="1"/>
    <row r="17" ht="26.25" customHeight="1">
      <c r="A17" s="41" t="inlineStr">
        <is>
          <t>Week 8</t>
        </is>
      </c>
    </row>
    <row r="18" ht="26.5" customHeight="1">
      <c r="A18" s="46" t="inlineStr">
        <is>
          <t>Week</t>
        </is>
      </c>
      <c r="B18" s="46" t="inlineStr">
        <is>
          <t>Date</t>
        </is>
      </c>
      <c r="C18" s="46" t="inlineStr">
        <is>
          <t>Home Conf</t>
        </is>
      </c>
      <c r="D18" s="46" t="inlineStr">
        <is>
          <t>Away Conf</t>
        </is>
      </c>
      <c r="E18" s="46" t="inlineStr">
        <is>
          <t>Away Team</t>
        </is>
      </c>
      <c r="F18" s="46" t="inlineStr">
        <is>
          <t>Home Team</t>
        </is>
      </c>
      <c r="G18" s="46" t="inlineStr">
        <is>
          <t>Model Line (Home)</t>
        </is>
      </c>
      <c r="H18" s="46" t="inlineStr">
        <is>
          <t>Market Line (Home)</t>
        </is>
      </c>
      <c r="I18" s="46" t="inlineStr">
        <is>
          <t>Spread Edge (pts)</t>
        </is>
      </c>
      <c r="J18" s="46" t="inlineStr">
        <is>
          <t>Ridge Line (Home)</t>
        </is>
      </c>
      <c r="K18" s="46" t="inlineStr">
        <is>
          <t>Massey Line (Home)</t>
        </is>
      </c>
      <c r="L18" s="46" t="inlineStr">
        <is>
          <t>Model Total</t>
        </is>
      </c>
      <c r="M18" s="46" t="inlineStr">
        <is>
          <t>Market Total</t>
        </is>
      </c>
      <c r="N18" s="46" t="inlineStr">
        <is>
          <t>Total Edge (pts)</t>
        </is>
      </c>
      <c r="O18" s="46" t="inlineStr">
        <is>
          <t>Away Pts</t>
        </is>
      </c>
      <c r="P18" s="46" t="inlineStr">
        <is>
          <t>Home Pts</t>
        </is>
      </c>
      <c r="Q18" s="46" t="inlineStr">
        <is>
          <t>Model Result (SU)</t>
        </is>
      </c>
      <c r="R18" s="46" t="inlineStr">
        <is>
          <t>XGBoost Line (Home)</t>
        </is>
      </c>
      <c r="S18" s="46" t="inlineStr">
        <is>
          <t>Gamma ATS</t>
        </is>
      </c>
      <c r="T18" s="46" t="inlineStr">
        <is>
          <t>Ridge ATS</t>
        </is>
      </c>
      <c r="U18" s="46" t="inlineStr">
        <is>
          <t>XGBoost ATS</t>
        </is>
      </c>
      <c r="V18" s="46" t="inlineStr">
        <is>
          <t>Massey ATS</t>
        </is>
      </c>
    </row>
    <row r="19">
      <c r="A19" s="42" t="n">
        <v>8</v>
      </c>
      <c r="B19" s="42" t="inlineStr">
        <is>
          <t>2026-10-23</t>
        </is>
      </c>
      <c r="C19" s="42" t="inlineStr">
        <is>
          <t>FBS Independents</t>
        </is>
      </c>
      <c r="D19" s="42" t="inlineStr">
        <is>
          <t>Mid-American</t>
        </is>
      </c>
      <c r="E19" s="42" t="inlineStr">
        <is>
          <t>Massachusetts</t>
        </is>
      </c>
      <c r="F19" s="42" t="inlineStr">
        <is>
          <t>UConn</t>
        </is>
      </c>
      <c r="G19" s="42" t="n">
        <v>-15.3</v>
      </c>
      <c r="H19" s="42" t="n">
        <v>-12.8</v>
      </c>
      <c r="I19" s="47" t="n">
        <v>2.5</v>
      </c>
      <c r="J19" s="42" t="n">
        <v>-24.2</v>
      </c>
      <c r="K19" s="42" t="n">
        <v>-7.2</v>
      </c>
      <c r="L19" s="42" t="n">
        <v>53.5</v>
      </c>
      <c r="M19" s="42" t="n">
        <v>53.5</v>
      </c>
      <c r="N19" s="42" t="n">
        <v>0</v>
      </c>
      <c r="O19" s="42" t="n">
        <v>16</v>
      </c>
      <c r="P19" s="42" t="n">
        <v>35</v>
      </c>
      <c r="Q19" s="47" t="inlineStr">
        <is>
          <t>Win</t>
        </is>
      </c>
      <c r="R19" s="42" t="n">
        <v>-21.2</v>
      </c>
      <c r="S19" s="52" t="inlineStr">
        <is>
          <t>Win</t>
        </is>
      </c>
      <c r="T19" s="52" t="inlineStr">
        <is>
          <t>Win</t>
        </is>
      </c>
      <c r="U19" s="52" t="inlineStr">
        <is>
          <t>Win</t>
        </is>
      </c>
      <c r="V19" s="53" t="inlineStr">
        <is>
          <t>Loss</t>
        </is>
      </c>
    </row>
    <row r="20" ht="15.75" customHeight="1"/>
    <row r="21" ht="15.75" customHeight="1">
      <c r="A21" s="41" t="inlineStr">
        <is>
          <t>Week 7</t>
        </is>
      </c>
    </row>
    <row r="22" ht="26.25" customHeight="1">
      <c r="A22" s="46" t="inlineStr">
        <is>
          <t>Week</t>
        </is>
      </c>
      <c r="B22" s="46" t="inlineStr">
        <is>
          <t>Date</t>
        </is>
      </c>
      <c r="C22" s="46" t="inlineStr">
        <is>
          <t>Home Conf</t>
        </is>
      </c>
      <c r="D22" s="46" t="inlineStr">
        <is>
          <t>Away Conf</t>
        </is>
      </c>
      <c r="E22" s="46" t="inlineStr">
        <is>
          <t>Away Team</t>
        </is>
      </c>
      <c r="F22" s="46" t="inlineStr">
        <is>
          <t>Home Team</t>
        </is>
      </c>
      <c r="G22" s="46" t="inlineStr">
        <is>
          <t>Model Line (Home)</t>
        </is>
      </c>
      <c r="H22" s="46" t="inlineStr">
        <is>
          <t>Market Line (Home)</t>
        </is>
      </c>
      <c r="I22" s="46" t="inlineStr">
        <is>
          <t>Spread Edge (pts)</t>
        </is>
      </c>
      <c r="J22" s="46" t="inlineStr">
        <is>
          <t>Ridge Line (Home)</t>
        </is>
      </c>
      <c r="K22" s="46" t="inlineStr">
        <is>
          <t>Massey Line (Home)</t>
        </is>
      </c>
      <c r="L22" s="46" t="inlineStr">
        <is>
          <t>Model Total</t>
        </is>
      </c>
      <c r="M22" s="46" t="inlineStr">
        <is>
          <t>Market Total</t>
        </is>
      </c>
      <c r="N22" s="46" t="inlineStr">
        <is>
          <t>Total Edge (pts)</t>
        </is>
      </c>
      <c r="O22" s="46" t="inlineStr">
        <is>
          <t>Away Pts</t>
        </is>
      </c>
      <c r="P22" s="46" t="inlineStr">
        <is>
          <t>Home Pts</t>
        </is>
      </c>
      <c r="Q22" s="46" t="inlineStr">
        <is>
          <t>Model Result (SU)</t>
        </is>
      </c>
      <c r="R22" s="46" t="inlineStr">
        <is>
          <t>XGBoost Line (Home)</t>
        </is>
      </c>
      <c r="S22" s="46" t="inlineStr">
        <is>
          <t>Gamma ATS</t>
        </is>
      </c>
      <c r="T22" s="46" t="inlineStr">
        <is>
          <t>Ridge ATS</t>
        </is>
      </c>
      <c r="U22" s="46" t="inlineStr">
        <is>
          <t>XGBoost ATS</t>
        </is>
      </c>
      <c r="V22" s="46" t="inlineStr">
        <is>
          <t>Massey ATS</t>
        </is>
      </c>
    </row>
    <row r="23">
      <c r="A23" s="42" t="n">
        <v>7</v>
      </c>
      <c r="B23" s="42" t="inlineStr">
        <is>
          <t>2026-10-17</t>
        </is>
      </c>
      <c r="C23" s="42" t="inlineStr">
        <is>
          <t>Big 12</t>
        </is>
      </c>
      <c r="D23" s="42" t="inlineStr">
        <is>
          <t>FBS Independents</t>
        </is>
      </c>
      <c r="E23" s="42" t="inlineStr">
        <is>
          <t>Notre Dame</t>
        </is>
      </c>
      <c r="F23" s="42" t="inlineStr">
        <is>
          <t>BYU</t>
        </is>
      </c>
      <c r="G23" s="42" t="n">
        <v>6.2</v>
      </c>
      <c r="H23" s="42" t="n">
        <v>10.5</v>
      </c>
      <c r="I23" s="56" t="n">
        <v>4.3</v>
      </c>
      <c r="J23" s="42" t="n">
        <v>-6.9</v>
      </c>
      <c r="K23" s="42" t="n">
        <v>6.2</v>
      </c>
      <c r="L23" s="42" t="n">
        <v>54.1</v>
      </c>
      <c r="M23" s="42" t="n">
        <v>46.5</v>
      </c>
      <c r="N23" s="47" t="n">
        <v>7.6</v>
      </c>
      <c r="O23" s="42" t="n">
        <v>24</v>
      </c>
      <c r="P23" s="42" t="n">
        <v>28</v>
      </c>
      <c r="Q23" s="48" t="inlineStr">
        <is>
          <t>Loss</t>
        </is>
      </c>
      <c r="R23" s="42" t="n">
        <v>1.5</v>
      </c>
      <c r="S23" s="52" t="inlineStr">
        <is>
          <t>Win</t>
        </is>
      </c>
      <c r="T23" s="52" t="inlineStr">
        <is>
          <t>Win</t>
        </is>
      </c>
      <c r="U23" s="52" t="inlineStr">
        <is>
          <t>Win</t>
        </is>
      </c>
      <c r="V23" s="52" t="inlineStr">
        <is>
          <t>Win</t>
        </is>
      </c>
    </row>
    <row r="25" ht="15.75" customHeight="1">
      <c r="A25" s="41" t="inlineStr">
        <is>
          <t>Week 6</t>
        </is>
      </c>
    </row>
    <row r="26" ht="26.25" customHeight="1">
      <c r="A26" s="46" t="inlineStr">
        <is>
          <t>Week</t>
        </is>
      </c>
      <c r="B26" s="46" t="inlineStr">
        <is>
          <t>Date</t>
        </is>
      </c>
      <c r="C26" s="46" t="inlineStr">
        <is>
          <t>Home Conf</t>
        </is>
      </c>
      <c r="D26" s="46" t="inlineStr">
        <is>
          <t>Away Conf</t>
        </is>
      </c>
      <c r="E26" s="46" t="inlineStr">
        <is>
          <t>Away Team</t>
        </is>
      </c>
      <c r="F26" s="46" t="inlineStr">
        <is>
          <t>Home Team</t>
        </is>
      </c>
      <c r="G26" s="46" t="inlineStr">
        <is>
          <t>Model Line (Home)</t>
        </is>
      </c>
      <c r="H26" s="46" t="inlineStr">
        <is>
          <t>Market Line (Home)</t>
        </is>
      </c>
      <c r="I26" s="46" t="inlineStr">
        <is>
          <t>Spread Edge (pts)</t>
        </is>
      </c>
      <c r="J26" s="46" t="inlineStr">
        <is>
          <t>Ridge Line (Home)</t>
        </is>
      </c>
      <c r="K26" s="46" t="inlineStr">
        <is>
          <t>Massey Line (Home)</t>
        </is>
      </c>
      <c r="L26" s="46" t="inlineStr">
        <is>
          <t>Model Total</t>
        </is>
      </c>
      <c r="M26" s="46" t="inlineStr">
        <is>
          <t>Market Total</t>
        </is>
      </c>
      <c r="N26" s="46" t="inlineStr">
        <is>
          <t>Total Edge (pts)</t>
        </is>
      </c>
      <c r="O26" s="46" t="inlineStr">
        <is>
          <t>Away Pts</t>
        </is>
      </c>
      <c r="P26" s="46" t="inlineStr">
        <is>
          <t>Home Pts</t>
        </is>
      </c>
      <c r="Q26" s="46" t="inlineStr">
        <is>
          <t>Model Result (SU)</t>
        </is>
      </c>
      <c r="R26" s="46" t="inlineStr">
        <is>
          <t>XGBoost Line (Home)</t>
        </is>
      </c>
      <c r="S26" s="46" t="inlineStr">
        <is>
          <t>Gamma ATS</t>
        </is>
      </c>
      <c r="T26" s="46" t="inlineStr">
        <is>
          <t>Ridge ATS</t>
        </is>
      </c>
      <c r="U26" s="46" t="inlineStr">
        <is>
          <t>XGBoost ATS</t>
        </is>
      </c>
      <c r="V26" s="46" t="inlineStr">
        <is>
          <t>Massey ATS</t>
        </is>
      </c>
    </row>
    <row r="27">
      <c r="A27" s="42" t="n">
        <v>6</v>
      </c>
      <c r="B27" s="42" t="inlineStr">
        <is>
          <t>2026-10-10</t>
        </is>
      </c>
      <c r="C27" s="42" t="inlineStr">
        <is>
          <t>American Athletic</t>
        </is>
      </c>
      <c r="D27" s="42" t="inlineStr">
        <is>
          <t>FBS Independents</t>
        </is>
      </c>
      <c r="E27" s="42" t="inlineStr">
        <is>
          <t>UConn</t>
        </is>
      </c>
      <c r="F27" s="42" t="inlineStr">
        <is>
          <t>Temple</t>
        </is>
      </c>
      <c r="G27" s="42" t="n">
        <v>-8.800000000000001</v>
      </c>
      <c r="H27" s="42" t="n">
        <v>-3.5</v>
      </c>
      <c r="I27" s="56" t="n">
        <v>5.3</v>
      </c>
      <c r="J27" s="42" t="n">
        <v>-7.8</v>
      </c>
      <c r="K27" s="42" t="n">
        <v>-1.9</v>
      </c>
      <c r="L27" s="42" t="n">
        <v>57.5</v>
      </c>
      <c r="M27" s="42" t="n">
        <v>54.5</v>
      </c>
      <c r="N27" s="47" t="n">
        <v>3</v>
      </c>
      <c r="O27" s="42" t="n">
        <v>34</v>
      </c>
      <c r="P27" s="42" t="n">
        <v>20</v>
      </c>
      <c r="Q27" s="48" t="inlineStr">
        <is>
          <t>Loss</t>
        </is>
      </c>
      <c r="R27" s="42" t="n">
        <v>-0.5</v>
      </c>
      <c r="S27" s="53" t="inlineStr">
        <is>
          <t>Loss</t>
        </is>
      </c>
      <c r="T27" s="53" t="inlineStr">
        <is>
          <t>Loss</t>
        </is>
      </c>
      <c r="U27" s="52" t="inlineStr">
        <is>
          <t>Win</t>
        </is>
      </c>
      <c r="V27" s="52" t="inlineStr">
        <is>
          <t>Win</t>
        </is>
      </c>
    </row>
    <row r="28">
      <c r="A28" s="42" t="n">
        <v>6</v>
      </c>
      <c r="B28" s="42" t="inlineStr">
        <is>
          <t>2026-10-10</t>
        </is>
      </c>
      <c r="C28" s="42" t="inlineStr">
        <is>
          <t>FBS Independents</t>
        </is>
      </c>
      <c r="D28" s="42" t="inlineStr">
        <is>
          <t>ACC</t>
        </is>
      </c>
      <c r="E28" s="42" t="inlineStr">
        <is>
          <t>Stanford</t>
        </is>
      </c>
      <c r="F28" s="42" t="inlineStr">
        <is>
          <t>Notre Dame</t>
        </is>
      </c>
      <c r="G28" s="42" t="n">
        <v>-29.8</v>
      </c>
      <c r="H28" s="42" t="n">
        <v>-38.5</v>
      </c>
      <c r="I28" s="56" t="n">
        <v>-8.699999999999999</v>
      </c>
      <c r="J28" s="42" t="n">
        <v>-38.8</v>
      </c>
      <c r="K28" s="42" t="n">
        <v>-36.8</v>
      </c>
      <c r="L28" s="42" t="n">
        <v>54.8</v>
      </c>
      <c r="M28" s="42" t="n">
        <v>54.5</v>
      </c>
      <c r="N28" s="42" t="n">
        <v>0.3</v>
      </c>
      <c r="O28" s="42" t="n">
        <v>7</v>
      </c>
      <c r="P28" s="42" t="n">
        <v>58</v>
      </c>
      <c r="Q28" s="47" t="inlineStr">
        <is>
          <t>Win</t>
        </is>
      </c>
      <c r="R28" s="42" t="n">
        <v>-37.9</v>
      </c>
      <c r="S28" s="53" t="inlineStr">
        <is>
          <t>Loss</t>
        </is>
      </c>
      <c r="T28" s="52" t="inlineStr">
        <is>
          <t>Win</t>
        </is>
      </c>
      <c r="U28" s="52" t="inlineStr">
        <is>
          <t>Win</t>
        </is>
      </c>
      <c r="V28" s="53" t="inlineStr">
        <is>
          <t>Loss</t>
        </is>
      </c>
    </row>
    <row r="30">
      <c r="A30" s="41" t="inlineStr">
        <is>
          <t>Week 5</t>
        </is>
      </c>
    </row>
    <row r="31">
      <c r="A31" s="46" t="inlineStr">
        <is>
          <t>Week</t>
        </is>
      </c>
      <c r="B31" s="46" t="inlineStr">
        <is>
          <t>Date</t>
        </is>
      </c>
      <c r="C31" s="46" t="inlineStr">
        <is>
          <t>Home Conf</t>
        </is>
      </c>
      <c r="D31" s="46" t="inlineStr">
        <is>
          <t>Away Conf</t>
        </is>
      </c>
      <c r="E31" s="46" t="inlineStr">
        <is>
          <t>Away Team</t>
        </is>
      </c>
      <c r="F31" s="46" t="inlineStr">
        <is>
          <t>Home Team</t>
        </is>
      </c>
      <c r="G31" s="46" t="inlineStr">
        <is>
          <t>Model Line (Home)</t>
        </is>
      </c>
      <c r="H31" s="46" t="inlineStr">
        <is>
          <t>Market Line (Home)</t>
        </is>
      </c>
      <c r="I31" s="46" t="inlineStr">
        <is>
          <t>Spread Edge (pts)</t>
        </is>
      </c>
      <c r="J31" s="46" t="inlineStr">
        <is>
          <t>Ridge Line (Home)</t>
        </is>
      </c>
      <c r="K31" s="46" t="inlineStr">
        <is>
          <t>Massey Line (Home)</t>
        </is>
      </c>
      <c r="L31" s="46" t="inlineStr">
        <is>
          <t>Model Total</t>
        </is>
      </c>
      <c r="M31" s="46" t="inlineStr">
        <is>
          <t>Market Total</t>
        </is>
      </c>
      <c r="N31" s="46" t="inlineStr">
        <is>
          <t>Total Edge (pts)</t>
        </is>
      </c>
      <c r="O31" s="46" t="inlineStr">
        <is>
          <t>Away Pts</t>
        </is>
      </c>
      <c r="P31" s="46" t="inlineStr">
        <is>
          <t>Home Pts</t>
        </is>
      </c>
      <c r="Q31" s="46" t="inlineStr">
        <is>
          <t>Model Result (SU)</t>
        </is>
      </c>
      <c r="R31" s="46" t="inlineStr">
        <is>
          <t>XGBoost Line (Home)</t>
        </is>
      </c>
      <c r="S31" s="46" t="inlineStr">
        <is>
          <t>Gamma ATS</t>
        </is>
      </c>
      <c r="T31" s="46" t="inlineStr">
        <is>
          <t>Ridge ATS</t>
        </is>
      </c>
      <c r="U31" s="46" t="inlineStr">
        <is>
          <t>XGBoost ATS</t>
        </is>
      </c>
      <c r="V31" s="46" t="inlineStr">
        <is>
          <t>Massey ATS</t>
        </is>
      </c>
    </row>
    <row r="32">
      <c r="A32" s="42" t="n">
        <v>5</v>
      </c>
      <c r="B32" s="42" t="inlineStr">
        <is>
          <t>2026-10-03</t>
        </is>
      </c>
      <c r="C32" s="42" t="inlineStr">
        <is>
          <t>ACC</t>
        </is>
      </c>
      <c r="D32" s="42" t="inlineStr">
        <is>
          <t>FBS Independents</t>
        </is>
      </c>
      <c r="E32" s="42" t="inlineStr">
        <is>
          <t>Notre Dame</t>
        </is>
      </c>
      <c r="F32" s="42" t="inlineStr">
        <is>
          <t>North Carolina</t>
        </is>
      </c>
      <c r="G32" s="42" t="n">
        <v>21.5</v>
      </c>
      <c r="H32" s="42" t="n">
        <v>21</v>
      </c>
      <c r="I32" s="42" t="n">
        <v>-0.5</v>
      </c>
      <c r="J32" s="42" t="n">
        <v>11.2</v>
      </c>
      <c r="K32" s="42" t="n">
        <v>14.4</v>
      </c>
      <c r="L32" s="42" t="n">
        <v>48.3</v>
      </c>
      <c r="M32" s="42" t="n">
        <v>46.5</v>
      </c>
      <c r="N32" s="42" t="n">
        <v>1.8</v>
      </c>
      <c r="O32" s="42" t="n">
        <v>37</v>
      </c>
      <c r="P32" s="42" t="n">
        <v>26</v>
      </c>
      <c r="Q32" s="47" t="inlineStr">
        <is>
          <t>Win</t>
        </is>
      </c>
      <c r="R32" s="42" t="n">
        <v>17.1</v>
      </c>
      <c r="S32" s="53" t="inlineStr">
        <is>
          <t>Loss</t>
        </is>
      </c>
      <c r="T32" s="52" t="inlineStr">
        <is>
          <t>Win</t>
        </is>
      </c>
      <c r="U32" s="52" t="inlineStr">
        <is>
          <t>Win</t>
        </is>
      </c>
      <c r="V32" s="52" t="inlineStr">
        <is>
          <t>Win</t>
        </is>
      </c>
    </row>
    <row r="33">
      <c r="A33" s="42" t="n">
        <v>5</v>
      </c>
      <c r="B33" s="42" t="inlineStr">
        <is>
          <t>2026-10-03</t>
        </is>
      </c>
      <c r="C33" s="42" t="inlineStr">
        <is>
          <t>FBS Independents</t>
        </is>
      </c>
      <c r="D33" s="42" t="inlineStr">
        <is>
          <t>ACC</t>
        </is>
      </c>
      <c r="E33" s="42" t="inlineStr">
        <is>
          <t>Syracuse</t>
        </is>
      </c>
      <c r="F33" s="42" t="inlineStr">
        <is>
          <t>UConn</t>
        </is>
      </c>
      <c r="G33" s="42" t="n">
        <v>-2.2</v>
      </c>
      <c r="H33" s="42" t="n">
        <v>6.5</v>
      </c>
      <c r="I33" s="56" t="n">
        <v>8.699999999999999</v>
      </c>
      <c r="J33" s="42" t="n">
        <v>-9.9</v>
      </c>
      <c r="K33" s="42" t="n">
        <v>-0.2</v>
      </c>
      <c r="L33" s="42" t="n">
        <v>47.9</v>
      </c>
      <c r="M33" s="42" t="n">
        <v>51</v>
      </c>
      <c r="N33" s="47" t="n">
        <v>-3.1</v>
      </c>
      <c r="O33" s="42" t="n">
        <v>42</v>
      </c>
      <c r="P33" s="42" t="n">
        <v>41</v>
      </c>
      <c r="Q33" s="48" t="inlineStr">
        <is>
          <t>Loss</t>
        </is>
      </c>
      <c r="R33" s="42" t="n">
        <v>-3.3</v>
      </c>
      <c r="S33" s="52" t="inlineStr">
        <is>
          <t>Win</t>
        </is>
      </c>
      <c r="T33" s="52" t="inlineStr">
        <is>
          <t>Win</t>
        </is>
      </c>
      <c r="U33" s="52" t="inlineStr">
        <is>
          <t>Win</t>
        </is>
      </c>
      <c r="V33" s="52" t="inlineStr">
        <is>
          <t>Win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5"/>
  <sheetViews>
    <sheetView showGridLines="0" workbookViewId="0">
      <selection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Mid-American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44-33-1</t>
        </is>
      </c>
      <c r="C3" s="45" t="n">
        <v>0.571</v>
      </c>
    </row>
    <row r="4">
      <c r="A4" s="42" t="inlineStr">
        <is>
          <t>Weekly ATS (Wk 8)</t>
        </is>
      </c>
      <c r="B4" s="42" t="inlineStr">
        <is>
          <t>4-3-0</t>
        </is>
      </c>
      <c r="C4" s="45" t="n">
        <v>0.571</v>
      </c>
    </row>
    <row r="5">
      <c r="A5" s="42" t="inlineStr">
        <is>
          <t>Model pick W-L, straight-up (Wk 8)</t>
        </is>
      </c>
      <c r="B5" s="42" t="inlineStr">
        <is>
          <t>5-2</t>
        </is>
      </c>
      <c r="C5" s="45" t="n">
        <v>0.714</v>
      </c>
    </row>
    <row r="6" ht="15.65" customHeight="1"/>
    <row r="7" ht="15.65" customHeight="1">
      <c r="A7" s="41" t="inlineStr">
        <is>
          <t>Mid-American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Ohio</t>
        </is>
      </c>
      <c r="B9" s="42" t="n">
        <v>4</v>
      </c>
      <c r="C9" s="42" t="n">
        <v>0</v>
      </c>
      <c r="D9" s="42" t="n">
        <v>1</v>
      </c>
      <c r="E9" s="42" t="n">
        <v>6</v>
      </c>
      <c r="F9" s="42" t="n">
        <v>2</v>
      </c>
    </row>
    <row r="10">
      <c r="A10" s="42" t="inlineStr">
        <is>
          <t>Toledo</t>
        </is>
      </c>
      <c r="B10" s="42" t="n">
        <v>3</v>
      </c>
      <c r="C10" s="42" t="n">
        <v>1</v>
      </c>
      <c r="D10" s="42" t="n">
        <v>0.75</v>
      </c>
      <c r="E10" s="42" t="n">
        <v>6</v>
      </c>
      <c r="F10" s="42" t="n">
        <v>2</v>
      </c>
    </row>
    <row r="11">
      <c r="A11" s="42" t="inlineStr">
        <is>
          <t>Buffalo</t>
        </is>
      </c>
      <c r="B11" s="42" t="n">
        <v>3</v>
      </c>
      <c r="C11" s="42" t="n">
        <v>1</v>
      </c>
      <c r="D11" s="42" t="n">
        <v>0.75</v>
      </c>
      <c r="E11" s="42" t="n">
        <v>5</v>
      </c>
      <c r="F11" s="42" t="n">
        <v>3</v>
      </c>
    </row>
    <row r="12">
      <c r="A12" s="42" t="inlineStr">
        <is>
          <t>Miami (OH)</t>
        </is>
      </c>
      <c r="B12" s="42" t="n">
        <v>3</v>
      </c>
      <c r="C12" s="42" t="n">
        <v>1</v>
      </c>
      <c r="D12" s="42" t="n">
        <v>0.75</v>
      </c>
      <c r="E12" s="42" t="n">
        <v>5</v>
      </c>
      <c r="F12" s="42" t="n">
        <v>3</v>
      </c>
    </row>
    <row r="13">
      <c r="A13" s="42" t="inlineStr">
        <is>
          <t>Western Michigan</t>
        </is>
      </c>
      <c r="B13" s="42" t="n">
        <v>3</v>
      </c>
      <c r="C13" s="42" t="n">
        <v>1</v>
      </c>
      <c r="D13" s="42" t="n">
        <v>0.75</v>
      </c>
      <c r="E13" s="42" t="n">
        <v>5</v>
      </c>
      <c r="F13" s="42" t="n">
        <v>3</v>
      </c>
    </row>
    <row r="14">
      <c r="A14" s="42" t="inlineStr">
        <is>
          <t>Eastern Michigan</t>
        </is>
      </c>
      <c r="B14" s="42" t="n">
        <v>3</v>
      </c>
      <c r="C14" s="42" t="n">
        <v>2</v>
      </c>
      <c r="D14" s="42" t="n">
        <v>0.6</v>
      </c>
      <c r="E14" s="42" t="n">
        <v>4</v>
      </c>
      <c r="F14" s="42" t="n">
        <v>5</v>
      </c>
    </row>
    <row r="15">
      <c r="A15" s="42" t="inlineStr">
        <is>
          <t>Ball State</t>
        </is>
      </c>
      <c r="B15" s="42" t="n">
        <v>2</v>
      </c>
      <c r="C15" s="42" t="n">
        <v>2</v>
      </c>
      <c r="D15" s="42" t="n">
        <v>0.5</v>
      </c>
      <c r="E15" s="42" t="n">
        <v>3</v>
      </c>
      <c r="F15" s="42" t="n">
        <v>5</v>
      </c>
    </row>
    <row r="16">
      <c r="A16" s="42" t="inlineStr">
        <is>
          <t>Kent State</t>
        </is>
      </c>
      <c r="B16" s="42" t="n">
        <v>2</v>
      </c>
      <c r="C16" s="42" t="n">
        <v>2</v>
      </c>
      <c r="D16" s="42" t="n">
        <v>0.5</v>
      </c>
      <c r="E16" s="42" t="n">
        <v>3</v>
      </c>
      <c r="F16" s="42" t="n">
        <v>5</v>
      </c>
    </row>
    <row r="17" ht="26.5" customHeight="1">
      <c r="A17" s="42" t="inlineStr">
        <is>
          <t>Bowling Green</t>
        </is>
      </c>
      <c r="B17" s="42" t="n">
        <v>2</v>
      </c>
      <c r="C17" s="42" t="n">
        <v>2</v>
      </c>
      <c r="D17" s="42" t="n">
        <v>0.5</v>
      </c>
      <c r="E17" s="42" t="n">
        <v>2</v>
      </c>
      <c r="F17" s="42" t="n">
        <v>6</v>
      </c>
    </row>
    <row r="18">
      <c r="A18" s="42" t="inlineStr">
        <is>
          <t>Massachusetts</t>
        </is>
      </c>
      <c r="B18" s="42" t="n">
        <v>1</v>
      </c>
      <c r="C18" s="42" t="n">
        <v>3</v>
      </c>
      <c r="D18" s="42" t="n">
        <v>0.25</v>
      </c>
      <c r="E18" s="42" t="n">
        <v>4</v>
      </c>
      <c r="F18" s="42" t="n">
        <v>4</v>
      </c>
    </row>
    <row r="19">
      <c r="A19" s="42" t="inlineStr">
        <is>
          <t>Central Michigan</t>
        </is>
      </c>
      <c r="B19" s="42" t="n">
        <v>1</v>
      </c>
      <c r="C19" s="42" t="n">
        <v>3</v>
      </c>
      <c r="D19" s="42" t="n">
        <v>0.25</v>
      </c>
      <c r="E19" s="42" t="n">
        <v>3</v>
      </c>
      <c r="F19" s="42" t="n">
        <v>5</v>
      </c>
    </row>
    <row r="20">
      <c r="A20" s="42" t="inlineStr">
        <is>
          <t>Akron</t>
        </is>
      </c>
      <c r="B20" s="42" t="n">
        <v>0</v>
      </c>
      <c r="C20" s="42" t="n">
        <v>4</v>
      </c>
      <c r="D20" s="42" t="n">
        <v>0</v>
      </c>
      <c r="E20" s="42" t="n">
        <v>1</v>
      </c>
      <c r="F20" s="42" t="n">
        <v>7</v>
      </c>
    </row>
    <row r="21">
      <c r="A21" s="42" t="inlineStr">
        <is>
          <t>Sacramento State</t>
        </is>
      </c>
      <c r="B21" s="42" t="n">
        <v>0</v>
      </c>
      <c r="C21" s="42" t="n">
        <v>5</v>
      </c>
      <c r="D21" s="42" t="n">
        <v>0</v>
      </c>
      <c r="E21" s="42" t="n">
        <v>1</v>
      </c>
      <c r="F21" s="42" t="n">
        <v>7</v>
      </c>
    </row>
    <row r="22" ht="26.5" customHeight="1"/>
    <row r="23" ht="26.25" customHeight="1">
      <c r="A23" s="41" t="inlineStr">
        <is>
          <t>Week 9</t>
        </is>
      </c>
    </row>
    <row r="24" ht="26.5" customHeight="1">
      <c r="A24" s="46" t="inlineStr">
        <is>
          <t>Week</t>
        </is>
      </c>
      <c r="B24" s="46" t="inlineStr">
        <is>
          <t>Date</t>
        </is>
      </c>
      <c r="C24" s="46" t="inlineStr">
        <is>
          <t>Home Conf</t>
        </is>
      </c>
      <c r="D24" s="46" t="inlineStr">
        <is>
          <t>Away Conf</t>
        </is>
      </c>
      <c r="E24" s="46" t="inlineStr">
        <is>
          <t>Away Team</t>
        </is>
      </c>
      <c r="F24" s="46" t="inlineStr">
        <is>
          <t>Home Team</t>
        </is>
      </c>
      <c r="G24" s="46" t="inlineStr">
        <is>
          <t>Model Line (Home)</t>
        </is>
      </c>
      <c r="H24" s="46" t="inlineStr">
        <is>
          <t>Market Line (Home)</t>
        </is>
      </c>
      <c r="I24" s="46" t="inlineStr">
        <is>
          <t>Spread Edge (pts)</t>
        </is>
      </c>
      <c r="J24" s="46" t="inlineStr">
        <is>
          <t>Ridge Line (Home)</t>
        </is>
      </c>
      <c r="K24" s="46" t="inlineStr">
        <is>
          <t>Massey Line (Home)</t>
        </is>
      </c>
      <c r="L24" s="46" t="inlineStr">
        <is>
          <t>Model Total</t>
        </is>
      </c>
      <c r="M24" s="46" t="inlineStr">
        <is>
          <t>Market Total</t>
        </is>
      </c>
      <c r="N24" s="46" t="inlineStr">
        <is>
          <t>Total Edge (pts)</t>
        </is>
      </c>
      <c r="O24" s="46" t="inlineStr">
        <is>
          <t>Away Pts</t>
        </is>
      </c>
      <c r="P24" s="46" t="inlineStr">
        <is>
          <t>Home Pts</t>
        </is>
      </c>
      <c r="Q24" s="46" t="inlineStr">
        <is>
          <t>Model Result (SU)</t>
        </is>
      </c>
      <c r="R24" s="46" t="inlineStr">
        <is>
          <t>XGBoost Line (Home)</t>
        </is>
      </c>
      <c r="S24" s="46" t="inlineStr">
        <is>
          <t>Gamma ATS</t>
        </is>
      </c>
      <c r="T24" s="46" t="inlineStr">
        <is>
          <t>Ridge ATS</t>
        </is>
      </c>
      <c r="U24" s="46" t="inlineStr">
        <is>
          <t>XGBoost ATS</t>
        </is>
      </c>
      <c r="V24" s="46" t="inlineStr">
        <is>
          <t>Massey ATS</t>
        </is>
      </c>
    </row>
    <row r="25">
      <c r="A25" s="42" t="n">
        <v>9</v>
      </c>
      <c r="B25" s="42" t="inlineStr">
        <is>
          <t>2026-10-31</t>
        </is>
      </c>
      <c r="C25" s="42" t="inlineStr">
        <is>
          <t>Mid-American</t>
        </is>
      </c>
      <c r="D25" s="42" t="inlineStr">
        <is>
          <t>Mid-American</t>
        </is>
      </c>
      <c r="E25" s="42" t="inlineStr">
        <is>
          <t>Kent State</t>
        </is>
      </c>
      <c r="F25" s="42" t="inlineStr">
        <is>
          <t>Sacramento State</t>
        </is>
      </c>
      <c r="G25" s="42" t="n">
        <v>8.199999999999999</v>
      </c>
      <c r="H25" s="42" t="n">
        <v>11.5</v>
      </c>
      <c r="I25" s="47" t="n">
        <v>3.3</v>
      </c>
      <c r="J25" s="42" t="n">
        <v>2.7</v>
      </c>
      <c r="K25" s="42" t="n">
        <v>3.8</v>
      </c>
      <c r="L25" s="42" t="n">
        <v>45.7</v>
      </c>
      <c r="M25" s="42" t="n">
        <v>46.5</v>
      </c>
      <c r="N25" s="42" t="n">
        <v>-0.8</v>
      </c>
      <c r="O25" s="42" t="n"/>
      <c r="P25" s="42" t="n"/>
      <c r="Q25" s="42" t="n"/>
      <c r="R25" s="42" t="n">
        <v>2</v>
      </c>
      <c r="S25" s="51" t="n"/>
      <c r="T25" s="51" t="n"/>
      <c r="U25" s="51" t="n"/>
      <c r="V25" s="51" t="n"/>
    </row>
    <row r="26">
      <c r="A26" s="42" t="n">
        <v>9</v>
      </c>
      <c r="B26" s="42" t="inlineStr">
        <is>
          <t>2026-10-31</t>
        </is>
      </c>
      <c r="C26" s="42" t="inlineStr">
        <is>
          <t>Mid-American</t>
        </is>
      </c>
      <c r="D26" s="42" t="inlineStr">
        <is>
          <t>Mid-American</t>
        </is>
      </c>
      <c r="E26" s="42" t="inlineStr">
        <is>
          <t>Bowling Green</t>
        </is>
      </c>
      <c r="F26" s="42" t="inlineStr">
        <is>
          <t>Western Michigan</t>
        </is>
      </c>
      <c r="G26" s="42" t="n">
        <v>-16.5</v>
      </c>
      <c r="H26" s="42" t="n">
        <v>-14</v>
      </c>
      <c r="I26" s="47" t="n">
        <v>2.5</v>
      </c>
      <c r="J26" s="42" t="n">
        <v>-19.7</v>
      </c>
      <c r="K26" s="42" t="n">
        <v>-16.2</v>
      </c>
      <c r="L26" s="42" t="n">
        <v>46.2</v>
      </c>
      <c r="M26" s="42" t="n">
        <v>43.5</v>
      </c>
      <c r="N26" s="47" t="n">
        <v>2.7</v>
      </c>
      <c r="O26" s="42" t="n"/>
      <c r="P26" s="42" t="n"/>
      <c r="Q26" s="42" t="n"/>
      <c r="R26" s="42" t="n">
        <v>-16.1</v>
      </c>
      <c r="S26" s="51" t="n"/>
      <c r="T26" s="51" t="n"/>
      <c r="U26" s="51" t="n"/>
      <c r="V26" s="51" t="n"/>
    </row>
    <row r="28">
      <c r="A28" s="41" t="inlineStr">
        <is>
          <t>Week 8</t>
        </is>
      </c>
    </row>
    <row r="29">
      <c r="A29" s="46" t="inlineStr">
        <is>
          <t>Week</t>
        </is>
      </c>
      <c r="B29" s="46" t="inlineStr">
        <is>
          <t>Date</t>
        </is>
      </c>
      <c r="C29" s="46" t="inlineStr">
        <is>
          <t>Home Conf</t>
        </is>
      </c>
      <c r="D29" s="46" t="inlineStr">
        <is>
          <t>Away Conf</t>
        </is>
      </c>
      <c r="E29" s="46" t="inlineStr">
        <is>
          <t>Away Team</t>
        </is>
      </c>
      <c r="F29" s="46" t="inlineStr">
        <is>
          <t>Home Team</t>
        </is>
      </c>
      <c r="G29" s="46" t="inlineStr">
        <is>
          <t>Model Line (Home)</t>
        </is>
      </c>
      <c r="H29" s="46" t="inlineStr">
        <is>
          <t>Market Line (Home)</t>
        </is>
      </c>
      <c r="I29" s="46" t="inlineStr">
        <is>
          <t>Spread Edge (pts)</t>
        </is>
      </c>
      <c r="J29" s="46" t="inlineStr">
        <is>
          <t>Ridge Line (Home)</t>
        </is>
      </c>
      <c r="K29" s="46" t="inlineStr">
        <is>
          <t>Massey Line (Home)</t>
        </is>
      </c>
      <c r="L29" s="46" t="inlineStr">
        <is>
          <t>Model Total</t>
        </is>
      </c>
      <c r="M29" s="46" t="inlineStr">
        <is>
          <t>Market Total</t>
        </is>
      </c>
      <c r="N29" s="46" t="inlineStr">
        <is>
          <t>Total Edge (pts)</t>
        </is>
      </c>
      <c r="O29" s="46" t="inlineStr">
        <is>
          <t>Away Pts</t>
        </is>
      </c>
      <c r="P29" s="46" t="inlineStr">
        <is>
          <t>Home Pts</t>
        </is>
      </c>
      <c r="Q29" s="46" t="inlineStr">
        <is>
          <t>Model Result (SU)</t>
        </is>
      </c>
      <c r="R29" s="46" t="inlineStr">
        <is>
          <t>XGBoost Line (Home)</t>
        </is>
      </c>
      <c r="S29" s="46" t="inlineStr">
        <is>
          <t>Gamma ATS</t>
        </is>
      </c>
      <c r="T29" s="46" t="inlineStr">
        <is>
          <t>Ridge ATS</t>
        </is>
      </c>
      <c r="U29" s="46" t="inlineStr">
        <is>
          <t>XGBoost ATS</t>
        </is>
      </c>
      <c r="V29" s="46" t="inlineStr">
        <is>
          <t>Massey ATS</t>
        </is>
      </c>
    </row>
    <row r="30">
      <c r="A30" s="42" t="n">
        <v>8</v>
      </c>
      <c r="B30" s="42" t="inlineStr">
        <is>
          <t>2026-10-23</t>
        </is>
      </c>
      <c r="C30" s="42" t="inlineStr">
        <is>
          <t>FBS Independents</t>
        </is>
      </c>
      <c r="D30" s="42" t="inlineStr">
        <is>
          <t>Mid-American</t>
        </is>
      </c>
      <c r="E30" s="42" t="inlineStr">
        <is>
          <t>Massachusetts</t>
        </is>
      </c>
      <c r="F30" s="42" t="inlineStr">
        <is>
          <t>UConn</t>
        </is>
      </c>
      <c r="G30" s="42" t="n">
        <v>-15.3</v>
      </c>
      <c r="H30" s="42" t="n">
        <v>-12.8</v>
      </c>
      <c r="I30" s="47" t="n">
        <v>2.5</v>
      </c>
      <c r="J30" s="42" t="n">
        <v>-24.2</v>
      </c>
      <c r="K30" s="42" t="n">
        <v>-7.2</v>
      </c>
      <c r="L30" s="42" t="n">
        <v>53.5</v>
      </c>
      <c r="M30" s="42" t="n">
        <v>53.5</v>
      </c>
      <c r="N30" s="42" t="n">
        <v>0</v>
      </c>
      <c r="O30" s="42" t="n">
        <v>16</v>
      </c>
      <c r="P30" s="42" t="n">
        <v>35</v>
      </c>
      <c r="Q30" s="47" t="inlineStr">
        <is>
          <t>Win</t>
        </is>
      </c>
      <c r="R30" s="42" t="n">
        <v>-21.2</v>
      </c>
      <c r="S30" s="52" t="inlineStr">
        <is>
          <t>Win</t>
        </is>
      </c>
      <c r="T30" s="52" t="inlineStr">
        <is>
          <t>Win</t>
        </is>
      </c>
      <c r="U30" s="52" t="inlineStr">
        <is>
          <t>Win</t>
        </is>
      </c>
      <c r="V30" s="53" t="inlineStr">
        <is>
          <t>Loss</t>
        </is>
      </c>
    </row>
    <row r="31">
      <c r="A31" s="42" t="n">
        <v>8</v>
      </c>
      <c r="B31" s="42" t="inlineStr">
        <is>
          <t>2026-10-24</t>
        </is>
      </c>
      <c r="C31" s="42" t="inlineStr">
        <is>
          <t>Mid-American</t>
        </is>
      </c>
      <c r="D31" s="42" t="inlineStr">
        <is>
          <t>Mid-American</t>
        </is>
      </c>
      <c r="E31" s="42" t="inlineStr">
        <is>
          <t>Sacramento State</t>
        </is>
      </c>
      <c r="F31" s="42" t="inlineStr">
        <is>
          <t>Ball State</t>
        </is>
      </c>
      <c r="G31" s="42" t="n">
        <v>-9.300000000000001</v>
      </c>
      <c r="H31" s="42" t="n">
        <v>-14.2</v>
      </c>
      <c r="I31" s="56" t="n">
        <v>-4.9</v>
      </c>
      <c r="J31" s="42" t="n">
        <v>-2.3</v>
      </c>
      <c r="K31" s="42" t="n">
        <v>-8.4</v>
      </c>
      <c r="L31" s="42" t="n">
        <v>51.1</v>
      </c>
      <c r="M31" s="42" t="n">
        <v>51.5</v>
      </c>
      <c r="N31" s="42" t="n">
        <v>-0.4</v>
      </c>
      <c r="O31" s="42" t="n">
        <v>17</v>
      </c>
      <c r="P31" s="42" t="n">
        <v>34</v>
      </c>
      <c r="Q31" s="47" t="inlineStr">
        <is>
          <t>Win</t>
        </is>
      </c>
      <c r="R31" s="42" t="n">
        <v>-7.7</v>
      </c>
      <c r="S31" s="53" t="inlineStr">
        <is>
          <t>Loss</t>
        </is>
      </c>
      <c r="T31" s="53" t="inlineStr">
        <is>
          <t>Loss</t>
        </is>
      </c>
      <c r="U31" s="53" t="inlineStr">
        <is>
          <t>Loss</t>
        </is>
      </c>
      <c r="V31" s="53" t="inlineStr">
        <is>
          <t>Loss</t>
        </is>
      </c>
    </row>
    <row r="32" ht="15.75" customHeight="1">
      <c r="A32" s="42" t="n">
        <v>8</v>
      </c>
      <c r="B32" s="42" t="inlineStr">
        <is>
          <t>2026-10-24</t>
        </is>
      </c>
      <c r="C32" s="42" t="inlineStr">
        <is>
          <t>Mid-American</t>
        </is>
      </c>
      <c r="D32" s="42" t="inlineStr">
        <is>
          <t>Mid-American</t>
        </is>
      </c>
      <c r="E32" s="42" t="inlineStr">
        <is>
          <t>Bowling Green</t>
        </is>
      </c>
      <c r="F32" s="42" t="inlineStr">
        <is>
          <t>Buffalo</t>
        </is>
      </c>
      <c r="G32" s="42" t="n">
        <v>-6.1</v>
      </c>
      <c r="H32" s="42" t="n">
        <v>-3</v>
      </c>
      <c r="I32" s="47" t="n">
        <v>3.1</v>
      </c>
      <c r="J32" s="42" t="n">
        <v>-7.2</v>
      </c>
      <c r="K32" s="42" t="n">
        <v>-8.699999999999999</v>
      </c>
      <c r="L32" s="42" t="n">
        <v>44.6</v>
      </c>
      <c r="M32" s="42" t="n">
        <v>44.8</v>
      </c>
      <c r="N32" s="42" t="n">
        <v>-0.2</v>
      </c>
      <c r="O32" s="42" t="n">
        <v>24</v>
      </c>
      <c r="P32" s="42" t="n">
        <v>31</v>
      </c>
      <c r="Q32" s="47" t="inlineStr">
        <is>
          <t>Win</t>
        </is>
      </c>
      <c r="R32" s="42" t="n">
        <v>-5.7</v>
      </c>
      <c r="S32" s="52" t="inlineStr">
        <is>
          <t>Win</t>
        </is>
      </c>
      <c r="T32" s="52" t="inlineStr">
        <is>
          <t>Win</t>
        </is>
      </c>
      <c r="U32" s="52" t="inlineStr">
        <is>
          <t>Win</t>
        </is>
      </c>
      <c r="V32" s="52" t="inlineStr">
        <is>
          <t>Win</t>
        </is>
      </c>
    </row>
    <row r="33" ht="26.25" customHeight="1">
      <c r="A33" s="42" t="n">
        <v>8</v>
      </c>
      <c r="B33" s="42" t="inlineStr">
        <is>
          <t>2026-10-24</t>
        </is>
      </c>
      <c r="C33" s="42" t="inlineStr">
        <is>
          <t>Mid-American</t>
        </is>
      </c>
      <c r="D33" s="42" t="inlineStr">
        <is>
          <t>Mid-American</t>
        </is>
      </c>
      <c r="E33" s="42" t="inlineStr">
        <is>
          <t>Miami (OH)</t>
        </is>
      </c>
      <c r="F33" s="42" t="inlineStr">
        <is>
          <t>Central Michigan</t>
        </is>
      </c>
      <c r="G33" s="42" t="n">
        <v>-5.4</v>
      </c>
      <c r="H33" s="42" t="n">
        <v>3.2</v>
      </c>
      <c r="I33" s="56" t="n">
        <v>8.6</v>
      </c>
      <c r="J33" s="42" t="n">
        <v>2.2</v>
      </c>
      <c r="K33" s="42" t="n">
        <v>1.3</v>
      </c>
      <c r="L33" s="42" t="n">
        <v>48.4</v>
      </c>
      <c r="M33" s="42" t="n">
        <v>40.5</v>
      </c>
      <c r="N33" s="47" t="n">
        <v>7.9</v>
      </c>
      <c r="O33" s="42" t="n">
        <v>28</v>
      </c>
      <c r="P33" s="42" t="n">
        <v>27</v>
      </c>
      <c r="Q33" s="48" t="inlineStr">
        <is>
          <t>Loss</t>
        </is>
      </c>
      <c r="R33" s="42" t="n">
        <v>1.7</v>
      </c>
      <c r="S33" s="52" t="inlineStr">
        <is>
          <t>Win</t>
        </is>
      </c>
      <c r="T33" s="52" t="inlineStr">
        <is>
          <t>Win</t>
        </is>
      </c>
      <c r="U33" s="52" t="inlineStr">
        <is>
          <t>Win</t>
        </is>
      </c>
      <c r="V33" s="52" t="inlineStr">
        <is>
          <t>Win</t>
        </is>
      </c>
    </row>
    <row r="34" ht="26.5" customHeight="1">
      <c r="A34" s="42" t="n">
        <v>8</v>
      </c>
      <c r="B34" s="42" t="inlineStr">
        <is>
          <t>2026-10-24</t>
        </is>
      </c>
      <c r="C34" s="42" t="inlineStr">
        <is>
          <t>Mid-American</t>
        </is>
      </c>
      <c r="D34" s="42" t="inlineStr">
        <is>
          <t>Mid-American</t>
        </is>
      </c>
      <c r="E34" s="42" t="inlineStr">
        <is>
          <t>Akron</t>
        </is>
      </c>
      <c r="F34" s="42" t="inlineStr">
        <is>
          <t>Kent State</t>
        </is>
      </c>
      <c r="G34" s="42" t="n">
        <v>-6.9</v>
      </c>
      <c r="H34" s="42" t="n">
        <v>-3</v>
      </c>
      <c r="I34" s="47" t="n">
        <v>3.9</v>
      </c>
      <c r="J34" s="42" t="n">
        <v>-3.8</v>
      </c>
      <c r="K34" s="42" t="n">
        <v>-0.8</v>
      </c>
      <c r="L34" s="42" t="n">
        <v>48</v>
      </c>
      <c r="M34" s="42" t="n">
        <v>47.5</v>
      </c>
      <c r="N34" s="42" t="n">
        <v>0.5</v>
      </c>
      <c r="O34" s="42" t="n">
        <v>20</v>
      </c>
      <c r="P34" s="42" t="n">
        <v>35</v>
      </c>
      <c r="Q34" s="47" t="inlineStr">
        <is>
          <t>Win</t>
        </is>
      </c>
      <c r="R34" s="42" t="n">
        <v>-2.4</v>
      </c>
      <c r="S34" s="52" t="inlineStr">
        <is>
          <t>Win</t>
        </is>
      </c>
      <c r="T34" s="52" t="inlineStr">
        <is>
          <t>Win</t>
        </is>
      </c>
      <c r="U34" s="52" t="inlineStr">
        <is>
          <t>Win</t>
        </is>
      </c>
      <c r="V34" s="53" t="inlineStr">
        <is>
          <t>Loss</t>
        </is>
      </c>
    </row>
    <row r="35">
      <c r="A35" s="42" t="n">
        <v>8</v>
      </c>
      <c r="B35" s="42" t="inlineStr">
        <is>
          <t>2026-10-24</t>
        </is>
      </c>
      <c r="C35" s="42" t="inlineStr">
        <is>
          <t>Mid-American</t>
        </is>
      </c>
      <c r="D35" s="42" t="inlineStr">
        <is>
          <t>Mid-American</t>
        </is>
      </c>
      <c r="E35" s="42" t="inlineStr">
        <is>
          <t>Eastern Michigan</t>
        </is>
      </c>
      <c r="F35" s="42" t="inlineStr">
        <is>
          <t>Ohio</t>
        </is>
      </c>
      <c r="G35" s="42" t="n">
        <v>-15.8</v>
      </c>
      <c r="H35" s="42" t="n">
        <v>-10</v>
      </c>
      <c r="I35" s="56" t="n">
        <v>5.8</v>
      </c>
      <c r="J35" s="42" t="n">
        <v>-15.7</v>
      </c>
      <c r="K35" s="42" t="n">
        <v>-13.2</v>
      </c>
      <c r="L35" s="42" t="n">
        <v>50.3</v>
      </c>
      <c r="M35" s="42" t="n">
        <v>48.5</v>
      </c>
      <c r="N35" s="42" t="n">
        <v>1.8</v>
      </c>
      <c r="O35" s="42" t="n">
        <v>20</v>
      </c>
      <c r="P35" s="42" t="n">
        <v>24</v>
      </c>
      <c r="Q35" s="47" t="inlineStr">
        <is>
          <t>Win</t>
        </is>
      </c>
      <c r="R35" s="42" t="n">
        <v>-11.6</v>
      </c>
      <c r="S35" s="53" t="inlineStr">
        <is>
          <t>Loss</t>
        </is>
      </c>
      <c r="T35" s="53" t="inlineStr">
        <is>
          <t>Loss</t>
        </is>
      </c>
      <c r="U35" s="53" t="inlineStr">
        <is>
          <t>Loss</t>
        </is>
      </c>
      <c r="V35" s="53" t="inlineStr">
        <is>
          <t>Loss</t>
        </is>
      </c>
    </row>
    <row r="36">
      <c r="A36" s="42" t="n">
        <v>8</v>
      </c>
      <c r="B36" s="42" t="inlineStr">
        <is>
          <t>2026-10-24</t>
        </is>
      </c>
      <c r="C36" s="42" t="inlineStr">
        <is>
          <t>Mid-American</t>
        </is>
      </c>
      <c r="D36" s="42" t="inlineStr">
        <is>
          <t>Mid-American</t>
        </is>
      </c>
      <c r="E36" s="42" t="inlineStr">
        <is>
          <t>Western Michigan</t>
        </is>
      </c>
      <c r="F36" s="42" t="inlineStr">
        <is>
          <t>Toledo</t>
        </is>
      </c>
      <c r="G36" s="42" t="n">
        <v>1.1</v>
      </c>
      <c r="H36" s="42" t="n">
        <v>-3</v>
      </c>
      <c r="I36" s="56" t="n">
        <v>-4.1</v>
      </c>
      <c r="J36" s="42" t="n">
        <v>3.6</v>
      </c>
      <c r="K36" s="42" t="n">
        <v>-3.5</v>
      </c>
      <c r="L36" s="42" t="n">
        <v>47.8</v>
      </c>
      <c r="M36" s="42" t="n">
        <v>47.2</v>
      </c>
      <c r="N36" s="42" t="n">
        <v>0.6</v>
      </c>
      <c r="O36" s="42" t="n">
        <v>38</v>
      </c>
      <c r="P36" s="42" t="n">
        <v>45</v>
      </c>
      <c r="Q36" s="48" t="inlineStr">
        <is>
          <t>Loss</t>
        </is>
      </c>
      <c r="R36" s="42" t="n">
        <v>3.6</v>
      </c>
      <c r="S36" s="53" t="inlineStr">
        <is>
          <t>Loss</t>
        </is>
      </c>
      <c r="T36" s="53" t="inlineStr">
        <is>
          <t>Loss</t>
        </is>
      </c>
      <c r="U36" s="53" t="inlineStr">
        <is>
          <t>Loss</t>
        </is>
      </c>
      <c r="V36" s="52" t="inlineStr">
        <is>
          <t>Win</t>
        </is>
      </c>
    </row>
    <row r="38">
      <c r="A38" s="41" t="inlineStr">
        <is>
          <t>Week 7</t>
        </is>
      </c>
    </row>
    <row r="39">
      <c r="A39" s="46" t="inlineStr">
        <is>
          <t>Week</t>
        </is>
      </c>
      <c r="B39" s="46" t="inlineStr">
        <is>
          <t>Date</t>
        </is>
      </c>
      <c r="C39" s="46" t="inlineStr">
        <is>
          <t>Home Conf</t>
        </is>
      </c>
      <c r="D39" s="46" t="inlineStr">
        <is>
          <t>Away Conf</t>
        </is>
      </c>
      <c r="E39" s="46" t="inlineStr">
        <is>
          <t>Away Team</t>
        </is>
      </c>
      <c r="F39" s="46" t="inlineStr">
        <is>
          <t>Home Team</t>
        </is>
      </c>
      <c r="G39" s="46" t="inlineStr">
        <is>
          <t>Model Line (Home)</t>
        </is>
      </c>
      <c r="H39" s="46" t="inlineStr">
        <is>
          <t>Market Line (Home)</t>
        </is>
      </c>
      <c r="I39" s="46" t="inlineStr">
        <is>
          <t>Spread Edge (pts)</t>
        </is>
      </c>
      <c r="J39" s="46" t="inlineStr">
        <is>
          <t>Ridge Line (Home)</t>
        </is>
      </c>
      <c r="K39" s="46" t="inlineStr">
        <is>
          <t>Massey Line (Home)</t>
        </is>
      </c>
      <c r="L39" s="46" t="inlineStr">
        <is>
          <t>Model Total</t>
        </is>
      </c>
      <c r="M39" s="46" t="inlineStr">
        <is>
          <t>Market Total</t>
        </is>
      </c>
      <c r="N39" s="46" t="inlineStr">
        <is>
          <t>Total Edge (pts)</t>
        </is>
      </c>
      <c r="O39" s="46" t="inlineStr">
        <is>
          <t>Away Pts</t>
        </is>
      </c>
      <c r="P39" s="46" t="inlineStr">
        <is>
          <t>Home Pts</t>
        </is>
      </c>
      <c r="Q39" s="46" t="inlineStr">
        <is>
          <t>Model Result (SU)</t>
        </is>
      </c>
      <c r="R39" s="46" t="inlineStr">
        <is>
          <t>XGBoost Line (Home)</t>
        </is>
      </c>
      <c r="S39" s="46" t="inlineStr">
        <is>
          <t>Gamma ATS</t>
        </is>
      </c>
      <c r="T39" s="46" t="inlineStr">
        <is>
          <t>Ridge ATS</t>
        </is>
      </c>
      <c r="U39" s="46" t="inlineStr">
        <is>
          <t>XGBoost ATS</t>
        </is>
      </c>
      <c r="V39" s="46" t="inlineStr">
        <is>
          <t>Massey ATS</t>
        </is>
      </c>
    </row>
    <row r="40">
      <c r="A40" s="42" t="n">
        <v>7</v>
      </c>
      <c r="B40" s="42" t="inlineStr">
        <is>
          <t>2026-10-17</t>
        </is>
      </c>
      <c r="C40" s="42" t="inlineStr">
        <is>
          <t>American Athletic</t>
        </is>
      </c>
      <c r="D40" s="42" t="inlineStr">
        <is>
          <t>Mid-American</t>
        </is>
      </c>
      <c r="E40" s="42" t="inlineStr">
        <is>
          <t>Kent State</t>
        </is>
      </c>
      <c r="F40" s="42" t="inlineStr">
        <is>
          <t>South Florida</t>
        </is>
      </c>
      <c r="G40" s="42" t="n">
        <v>-19.7</v>
      </c>
      <c r="H40" s="42" t="n">
        <v>-20.8</v>
      </c>
      <c r="I40" s="42" t="n">
        <v>-1.1</v>
      </c>
      <c r="J40" s="42" t="n">
        <v>-22.4</v>
      </c>
      <c r="K40" s="42" t="n">
        <v>-20.5</v>
      </c>
      <c r="L40" s="42" t="n">
        <v>52.2</v>
      </c>
      <c r="M40" s="42" t="n">
        <v>45.5</v>
      </c>
      <c r="N40" s="47" t="n">
        <v>6.7</v>
      </c>
      <c r="O40" s="42" t="n">
        <v>2</v>
      </c>
      <c r="P40" s="42" t="n">
        <v>29</v>
      </c>
      <c r="Q40" s="47" t="inlineStr">
        <is>
          <t>Win</t>
        </is>
      </c>
      <c r="R40" s="42" t="n">
        <v>-15.2</v>
      </c>
      <c r="S40" s="53" t="inlineStr">
        <is>
          <t>Loss</t>
        </is>
      </c>
      <c r="T40" s="52" t="inlineStr">
        <is>
          <t>Win</t>
        </is>
      </c>
      <c r="U40" s="53" t="inlineStr">
        <is>
          <t>Loss</t>
        </is>
      </c>
      <c r="V40" s="52" t="inlineStr">
        <is>
          <t>Win</t>
        </is>
      </c>
    </row>
    <row r="41">
      <c r="A41" s="42" t="n">
        <v>7</v>
      </c>
      <c r="B41" s="42" t="inlineStr">
        <is>
          <t>2026-10-17</t>
        </is>
      </c>
      <c r="C41" s="42" t="inlineStr">
        <is>
          <t>Mid-American</t>
        </is>
      </c>
      <c r="D41" s="42" t="inlineStr">
        <is>
          <t>Mid-American</t>
        </is>
      </c>
      <c r="E41" s="42" t="inlineStr">
        <is>
          <t>Ball State</t>
        </is>
      </c>
      <c r="F41" s="42" t="inlineStr">
        <is>
          <t>Bowling Green</t>
        </is>
      </c>
      <c r="G41" s="42" t="n">
        <v>-11.3</v>
      </c>
      <c r="H41" s="42" t="n">
        <v>-6.5</v>
      </c>
      <c r="I41" s="56" t="n">
        <v>4.8</v>
      </c>
      <c r="J41" s="42" t="n">
        <v>-8.300000000000001</v>
      </c>
      <c r="K41" s="42" t="n">
        <v>-6.6</v>
      </c>
      <c r="L41" s="42" t="n">
        <v>48.7</v>
      </c>
      <c r="M41" s="42" t="n">
        <v>47.5</v>
      </c>
      <c r="N41" s="42" t="n">
        <v>1.2</v>
      </c>
      <c r="O41" s="42" t="n">
        <v>32</v>
      </c>
      <c r="P41" s="42" t="n">
        <v>31</v>
      </c>
      <c r="Q41" s="48" t="inlineStr">
        <is>
          <t>Loss</t>
        </is>
      </c>
      <c r="R41" s="42" t="n">
        <v>-4.8</v>
      </c>
      <c r="S41" s="53" t="inlineStr">
        <is>
          <t>Loss</t>
        </is>
      </c>
      <c r="T41" s="53" t="inlineStr">
        <is>
          <t>Loss</t>
        </is>
      </c>
      <c r="U41" s="52" t="inlineStr">
        <is>
          <t>Win</t>
        </is>
      </c>
      <c r="V41" s="53" t="inlineStr">
        <is>
          <t>Loss</t>
        </is>
      </c>
    </row>
    <row r="42">
      <c r="A42" s="42" t="n">
        <v>7</v>
      </c>
      <c r="B42" s="42" t="inlineStr">
        <is>
          <t>2026-10-17</t>
        </is>
      </c>
      <c r="C42" s="42" t="inlineStr">
        <is>
          <t>Mid-American</t>
        </is>
      </c>
      <c r="D42" s="42" t="inlineStr">
        <is>
          <t>Mid-American</t>
        </is>
      </c>
      <c r="E42" s="42" t="inlineStr">
        <is>
          <t>Massachusetts</t>
        </is>
      </c>
      <c r="F42" s="42" t="inlineStr">
        <is>
          <t>Buffalo</t>
        </is>
      </c>
      <c r="G42" s="42" t="n">
        <v>-12.3</v>
      </c>
      <c r="H42" s="42" t="n">
        <v>-6.2</v>
      </c>
      <c r="I42" s="56" t="n">
        <v>6.1</v>
      </c>
      <c r="J42" s="42" t="n">
        <v>-11.3</v>
      </c>
      <c r="K42" s="42" t="n">
        <v>4.3</v>
      </c>
      <c r="L42" s="42" t="n">
        <v>48.4</v>
      </c>
      <c r="M42" s="42" t="n">
        <v>41.5</v>
      </c>
      <c r="N42" s="47" t="n">
        <v>6.9</v>
      </c>
      <c r="O42" s="42" t="n">
        <v>18</v>
      </c>
      <c r="P42" s="42" t="n">
        <v>25</v>
      </c>
      <c r="Q42" s="47" t="inlineStr">
        <is>
          <t>Win</t>
        </is>
      </c>
      <c r="R42" s="42" t="n">
        <v>-14</v>
      </c>
      <c r="S42" s="52" t="inlineStr">
        <is>
          <t>Win</t>
        </is>
      </c>
      <c r="T42" s="52" t="inlineStr">
        <is>
          <t>Win</t>
        </is>
      </c>
      <c r="U42" s="52" t="inlineStr">
        <is>
          <t>Win</t>
        </is>
      </c>
      <c r="V42" s="53" t="inlineStr">
        <is>
          <t>Loss</t>
        </is>
      </c>
    </row>
    <row r="43" ht="15.75" customHeight="1">
      <c r="A43" s="42" t="n">
        <v>7</v>
      </c>
      <c r="B43" s="42" t="inlineStr">
        <is>
          <t>2026-10-17</t>
        </is>
      </c>
      <c r="C43" s="42" t="inlineStr">
        <is>
          <t>Mid-American</t>
        </is>
      </c>
      <c r="D43" s="42" t="inlineStr">
        <is>
          <t>Mid-American</t>
        </is>
      </c>
      <c r="E43" s="42" t="inlineStr">
        <is>
          <t>Western Michigan</t>
        </is>
      </c>
      <c r="F43" s="42" t="inlineStr">
        <is>
          <t>Central Michigan</t>
        </is>
      </c>
      <c r="G43" s="42" t="n">
        <v>8.300000000000001</v>
      </c>
      <c r="H43" s="42" t="n">
        <v>6.5</v>
      </c>
      <c r="I43" s="42" t="n">
        <v>-1.8</v>
      </c>
      <c r="J43" s="42" t="n">
        <v>9.9</v>
      </c>
      <c r="K43" s="42" t="n">
        <v>5.6</v>
      </c>
      <c r="L43" s="42" t="n">
        <v>46.8</v>
      </c>
      <c r="M43" s="42" t="n">
        <v>43.2</v>
      </c>
      <c r="N43" s="47" t="n">
        <v>3.6</v>
      </c>
      <c r="O43" s="42" t="n">
        <v>21</v>
      </c>
      <c r="P43" s="42" t="n">
        <v>14</v>
      </c>
      <c r="Q43" s="47" t="inlineStr">
        <is>
          <t>Win</t>
        </is>
      </c>
      <c r="R43" s="42" t="n">
        <v>6.3</v>
      </c>
      <c r="S43" s="52" t="inlineStr">
        <is>
          <t>Win</t>
        </is>
      </c>
      <c r="T43" s="52" t="inlineStr">
        <is>
          <t>Win</t>
        </is>
      </c>
      <c r="U43" s="52" t="inlineStr">
        <is>
          <t>Win</t>
        </is>
      </c>
      <c r="V43" s="52" t="inlineStr">
        <is>
          <t>Win</t>
        </is>
      </c>
    </row>
    <row r="44" ht="26.25" customHeight="1">
      <c r="A44" s="42" t="n">
        <v>7</v>
      </c>
      <c r="B44" s="42" t="inlineStr">
        <is>
          <t>2026-10-17</t>
        </is>
      </c>
      <c r="C44" s="42" t="inlineStr">
        <is>
          <t>Mid-American</t>
        </is>
      </c>
      <c r="D44" s="42" t="inlineStr">
        <is>
          <t>Mid-American</t>
        </is>
      </c>
      <c r="E44" s="42" t="inlineStr">
        <is>
          <t>Toledo</t>
        </is>
      </c>
      <c r="F44" s="42" t="inlineStr">
        <is>
          <t>Eastern Michigan</t>
        </is>
      </c>
      <c r="G44" s="42" t="n">
        <v>11.1</v>
      </c>
      <c r="H44" s="42" t="n">
        <v>6.5</v>
      </c>
      <c r="I44" s="56" t="n">
        <v>-4.6</v>
      </c>
      <c r="J44" s="42" t="n">
        <v>1</v>
      </c>
      <c r="K44" s="42" t="n">
        <v>4.9</v>
      </c>
      <c r="L44" s="42" t="n">
        <v>49.4</v>
      </c>
      <c r="M44" s="42" t="n">
        <v>53.5</v>
      </c>
      <c r="N44" s="47" t="n">
        <v>-4.1</v>
      </c>
      <c r="O44" s="42" t="n">
        <v>34</v>
      </c>
      <c r="P44" s="42" t="n">
        <v>14</v>
      </c>
      <c r="Q44" s="47" t="inlineStr">
        <is>
          <t>Win</t>
        </is>
      </c>
      <c r="R44" s="42" t="n">
        <v>1.5</v>
      </c>
      <c r="S44" s="52" t="inlineStr">
        <is>
          <t>Win</t>
        </is>
      </c>
      <c r="T44" s="53" t="inlineStr">
        <is>
          <t>Loss</t>
        </is>
      </c>
      <c r="U44" s="53" t="inlineStr">
        <is>
          <t>Loss</t>
        </is>
      </c>
      <c r="V44" s="53" t="inlineStr">
        <is>
          <t>Loss</t>
        </is>
      </c>
    </row>
    <row r="45">
      <c r="A45" s="42" t="n">
        <v>7</v>
      </c>
      <c r="B45" s="42" t="inlineStr">
        <is>
          <t>2026-10-17</t>
        </is>
      </c>
      <c r="C45" s="42" t="inlineStr">
        <is>
          <t>Mid-American</t>
        </is>
      </c>
      <c r="D45" s="42" t="inlineStr">
        <is>
          <t>Mid-American</t>
        </is>
      </c>
      <c r="E45" s="42" t="inlineStr">
        <is>
          <t>Akron</t>
        </is>
      </c>
      <c r="F45" s="42" t="inlineStr">
        <is>
          <t>Miami (OH)</t>
        </is>
      </c>
      <c r="G45" s="42" t="n">
        <v>-7.9</v>
      </c>
      <c r="H45" s="42" t="n">
        <v>-9.800000000000001</v>
      </c>
      <c r="I45" s="42" t="n">
        <v>-1.9</v>
      </c>
      <c r="J45" s="42" t="n">
        <v>-11.7</v>
      </c>
      <c r="K45" s="42" t="n">
        <v>-12</v>
      </c>
      <c r="L45" s="42" t="n">
        <v>51.9</v>
      </c>
      <c r="M45" s="42" t="n">
        <v>46.5</v>
      </c>
      <c r="N45" s="47" t="n">
        <v>5.4</v>
      </c>
      <c r="O45" s="42" t="n">
        <v>14</v>
      </c>
      <c r="P45" s="42" t="n">
        <v>34</v>
      </c>
      <c r="Q45" s="47" t="inlineStr">
        <is>
          <t>Win</t>
        </is>
      </c>
      <c r="R45" s="42" t="n">
        <v>-9.4</v>
      </c>
      <c r="S45" s="53" t="inlineStr">
        <is>
          <t>Loss</t>
        </is>
      </c>
      <c r="T45" s="52" t="inlineStr">
        <is>
          <t>Win</t>
        </is>
      </c>
      <c r="U45" s="52" t="inlineStr">
        <is>
          <t>Win</t>
        </is>
      </c>
      <c r="V45" s="52" t="inlineStr">
        <is>
          <t>Win</t>
        </is>
      </c>
    </row>
    <row r="46">
      <c r="A46" s="42" t="n">
        <v>7</v>
      </c>
      <c r="B46" s="42" t="inlineStr">
        <is>
          <t>2026-10-18</t>
        </is>
      </c>
      <c r="C46" s="42" t="inlineStr">
        <is>
          <t>Mid-American</t>
        </is>
      </c>
      <c r="D46" s="42" t="inlineStr">
        <is>
          <t>Mid-American</t>
        </is>
      </c>
      <c r="E46" s="42" t="inlineStr">
        <is>
          <t>Ohio</t>
        </is>
      </c>
      <c r="F46" s="42" t="inlineStr">
        <is>
          <t>Sacramento State</t>
        </is>
      </c>
      <c r="G46" s="42" t="n">
        <v>19.6</v>
      </c>
      <c r="H46" s="42" t="n">
        <v>15.2</v>
      </c>
      <c r="I46" s="56" t="n">
        <v>-4.4</v>
      </c>
      <c r="J46" s="42" t="n">
        <v>16.4</v>
      </c>
      <c r="K46" s="42" t="n">
        <v>11</v>
      </c>
      <c r="L46" s="42" t="n">
        <v>49.8</v>
      </c>
      <c r="M46" s="42" t="n">
        <v>48.2</v>
      </c>
      <c r="N46" s="42" t="n">
        <v>1.5</v>
      </c>
      <c r="O46" s="42" t="n">
        <v>48</v>
      </c>
      <c r="P46" s="42" t="n">
        <v>7</v>
      </c>
      <c r="Q46" s="47" t="inlineStr">
        <is>
          <t>Win</t>
        </is>
      </c>
      <c r="R46" s="42" t="n">
        <v>18.7</v>
      </c>
      <c r="S46" s="52" t="inlineStr">
        <is>
          <t>Win</t>
        </is>
      </c>
      <c r="T46" s="52" t="inlineStr">
        <is>
          <t>Win</t>
        </is>
      </c>
      <c r="U46" s="52" t="inlineStr">
        <is>
          <t>Win</t>
        </is>
      </c>
      <c r="V46" s="53" t="inlineStr">
        <is>
          <t>Loss</t>
        </is>
      </c>
    </row>
    <row r="48">
      <c r="A48" s="41" t="inlineStr">
        <is>
          <t>Week 6</t>
        </is>
      </c>
    </row>
    <row r="49">
      <c r="A49" s="46" t="inlineStr">
        <is>
          <t>Week</t>
        </is>
      </c>
      <c r="B49" s="46" t="inlineStr">
        <is>
          <t>Date</t>
        </is>
      </c>
      <c r="C49" s="46" t="inlineStr">
        <is>
          <t>Home Conf</t>
        </is>
      </c>
      <c r="D49" s="46" t="inlineStr">
        <is>
          <t>Away Conf</t>
        </is>
      </c>
      <c r="E49" s="46" t="inlineStr">
        <is>
          <t>Away Team</t>
        </is>
      </c>
      <c r="F49" s="46" t="inlineStr">
        <is>
          <t>Home Team</t>
        </is>
      </c>
      <c r="G49" s="46" t="inlineStr">
        <is>
          <t>Model Line (Home)</t>
        </is>
      </c>
      <c r="H49" s="46" t="inlineStr">
        <is>
          <t>Market Line (Home)</t>
        </is>
      </c>
      <c r="I49" s="46" t="inlineStr">
        <is>
          <t>Spread Edge (pts)</t>
        </is>
      </c>
      <c r="J49" s="46" t="inlineStr">
        <is>
          <t>Ridge Line (Home)</t>
        </is>
      </c>
      <c r="K49" s="46" t="inlineStr">
        <is>
          <t>Massey Line (Home)</t>
        </is>
      </c>
      <c r="L49" s="46" t="inlineStr">
        <is>
          <t>Model Total</t>
        </is>
      </c>
      <c r="M49" s="46" t="inlineStr">
        <is>
          <t>Market Total</t>
        </is>
      </c>
      <c r="N49" s="46" t="inlineStr">
        <is>
          <t>Total Edge (pts)</t>
        </is>
      </c>
      <c r="O49" s="46" t="inlineStr">
        <is>
          <t>Away Pts</t>
        </is>
      </c>
      <c r="P49" s="46" t="inlineStr">
        <is>
          <t>Home Pts</t>
        </is>
      </c>
      <c r="Q49" s="46" t="inlineStr">
        <is>
          <t>Model Result (SU)</t>
        </is>
      </c>
      <c r="R49" s="46" t="inlineStr">
        <is>
          <t>XGBoost Line (Home)</t>
        </is>
      </c>
      <c r="S49" s="46" t="inlineStr">
        <is>
          <t>Gamma ATS</t>
        </is>
      </c>
      <c r="T49" s="46" t="inlineStr">
        <is>
          <t>Ridge ATS</t>
        </is>
      </c>
      <c r="U49" s="46" t="inlineStr">
        <is>
          <t>XGBoost ATS</t>
        </is>
      </c>
      <c r="V49" s="46" t="inlineStr">
        <is>
          <t>Massey ATS</t>
        </is>
      </c>
    </row>
    <row r="50">
      <c r="A50" s="42" t="n">
        <v>6</v>
      </c>
      <c r="B50" s="42" t="inlineStr">
        <is>
          <t>2026-10-10</t>
        </is>
      </c>
      <c r="C50" s="42" t="inlineStr">
        <is>
          <t>Big Ten</t>
        </is>
      </c>
      <c r="D50" s="42" t="inlineStr">
        <is>
          <t>Mid-American</t>
        </is>
      </c>
      <c r="E50" s="42" t="inlineStr">
        <is>
          <t>Ball State</t>
        </is>
      </c>
      <c r="F50" s="42" t="inlineStr">
        <is>
          <t>Northwestern</t>
        </is>
      </c>
      <c r="G50" s="42" t="n">
        <v>-34.6</v>
      </c>
      <c r="H50" s="42" t="n">
        <v>-35.8</v>
      </c>
      <c r="I50" s="42" t="n">
        <v>-1.2</v>
      </c>
      <c r="J50" s="42" t="n">
        <v>-34.3</v>
      </c>
      <c r="K50" s="42" t="n">
        <v>-28.4</v>
      </c>
      <c r="L50" s="42" t="n">
        <v>53.2</v>
      </c>
      <c r="M50" s="42" t="n">
        <v>52.5</v>
      </c>
      <c r="N50" s="42" t="n">
        <v>0.7</v>
      </c>
      <c r="O50" s="42" t="n">
        <v>14</v>
      </c>
      <c r="P50" s="42" t="n">
        <v>45</v>
      </c>
      <c r="Q50" s="47" t="inlineStr">
        <is>
          <t>Win</t>
        </is>
      </c>
      <c r="R50" s="42" t="n">
        <v>-26.4</v>
      </c>
      <c r="S50" s="52" t="inlineStr">
        <is>
          <t>Win</t>
        </is>
      </c>
      <c r="T50" s="52" t="inlineStr">
        <is>
          <t>Win</t>
        </is>
      </c>
      <c r="U50" s="52" t="inlineStr">
        <is>
          <t>Win</t>
        </is>
      </c>
      <c r="V50" s="52" t="inlineStr">
        <is>
          <t>Win</t>
        </is>
      </c>
    </row>
    <row r="51">
      <c r="A51" s="42" t="n">
        <v>6</v>
      </c>
      <c r="B51" s="42" t="inlineStr">
        <is>
          <t>2026-10-10</t>
        </is>
      </c>
      <c r="C51" s="42" t="inlineStr">
        <is>
          <t>Mid-American</t>
        </is>
      </c>
      <c r="D51" s="42" t="inlineStr">
        <is>
          <t>Mid-American</t>
        </is>
      </c>
      <c r="E51" s="42" t="inlineStr">
        <is>
          <t>Eastern Michigan</t>
        </is>
      </c>
      <c r="F51" s="42" t="inlineStr">
        <is>
          <t>Akron</t>
        </is>
      </c>
      <c r="G51" s="42" t="n">
        <v>2.1</v>
      </c>
      <c r="H51" s="42" t="n">
        <v>6.5</v>
      </c>
      <c r="I51" s="56" t="n">
        <v>4.4</v>
      </c>
      <c r="J51" s="42" t="n">
        <v>3.6</v>
      </c>
      <c r="K51" s="42" t="n">
        <v>4.3</v>
      </c>
      <c r="L51" s="42" t="n">
        <v>49.8</v>
      </c>
      <c r="M51" s="42" t="n">
        <v>51.5</v>
      </c>
      <c r="N51" s="42" t="n">
        <v>-1.7</v>
      </c>
      <c r="O51" s="42" t="n">
        <v>25</v>
      </c>
      <c r="P51" s="42" t="n">
        <v>23</v>
      </c>
      <c r="Q51" s="47" t="inlineStr">
        <is>
          <t>Win</t>
        </is>
      </c>
      <c r="R51" s="42" t="n">
        <v>5.3</v>
      </c>
      <c r="S51" s="52" t="inlineStr">
        <is>
          <t>Win</t>
        </is>
      </c>
      <c r="T51" s="52" t="inlineStr">
        <is>
          <t>Win</t>
        </is>
      </c>
      <c r="U51" s="52" t="inlineStr">
        <is>
          <t>Win</t>
        </is>
      </c>
      <c r="V51" s="52" t="inlineStr">
        <is>
          <t>Win</t>
        </is>
      </c>
    </row>
    <row r="52">
      <c r="A52" s="42" t="n">
        <v>6</v>
      </c>
      <c r="B52" s="42" t="inlineStr">
        <is>
          <t>2026-10-10</t>
        </is>
      </c>
      <c r="C52" s="42" t="inlineStr">
        <is>
          <t>Mid-American</t>
        </is>
      </c>
      <c r="D52" s="42" t="inlineStr">
        <is>
          <t>Mid-American</t>
        </is>
      </c>
      <c r="E52" s="42" t="inlineStr">
        <is>
          <t>Sacramento State</t>
        </is>
      </c>
      <c r="F52" s="42" t="inlineStr">
        <is>
          <t>Bowling Green</t>
        </is>
      </c>
      <c r="G52" s="42" t="n">
        <v>-14.6</v>
      </c>
      <c r="H52" s="42" t="n">
        <v>-7.5</v>
      </c>
      <c r="I52" s="56" t="n">
        <v>7.1</v>
      </c>
      <c r="J52" s="42" t="n">
        <v>-3.7</v>
      </c>
      <c r="K52" s="42" t="n">
        <v>-0.4</v>
      </c>
      <c r="L52" s="42" t="n">
        <v>46.1</v>
      </c>
      <c r="M52" s="42" t="n">
        <v>43.5</v>
      </c>
      <c r="N52" s="47" t="n">
        <v>2.6</v>
      </c>
      <c r="O52" s="42" t="n">
        <v>10</v>
      </c>
      <c r="P52" s="42" t="n">
        <v>38</v>
      </c>
      <c r="Q52" s="47" t="inlineStr">
        <is>
          <t>Win</t>
        </is>
      </c>
      <c r="R52" s="42" t="n">
        <v>-7.9</v>
      </c>
      <c r="S52" s="52" t="inlineStr">
        <is>
          <t>Win</t>
        </is>
      </c>
      <c r="T52" s="53" t="inlineStr">
        <is>
          <t>Loss</t>
        </is>
      </c>
      <c r="U52" s="52" t="inlineStr">
        <is>
          <t>Win</t>
        </is>
      </c>
      <c r="V52" s="53" t="inlineStr">
        <is>
          <t>Loss</t>
        </is>
      </c>
    </row>
    <row r="53" ht="15.75" customHeight="1">
      <c r="A53" s="42" t="n">
        <v>6</v>
      </c>
      <c r="B53" s="42" t="inlineStr">
        <is>
          <t>2026-10-10</t>
        </is>
      </c>
      <c r="C53" s="42" t="inlineStr">
        <is>
          <t>Mid-American</t>
        </is>
      </c>
      <c r="D53" s="42" t="inlineStr">
        <is>
          <t>Mid-American</t>
        </is>
      </c>
      <c r="E53" s="42" t="inlineStr">
        <is>
          <t>Miami (OH)</t>
        </is>
      </c>
      <c r="F53" s="42" t="inlineStr">
        <is>
          <t>Massachusetts</t>
        </is>
      </c>
      <c r="G53" s="42" t="n">
        <v>5</v>
      </c>
      <c r="H53" s="42" t="n">
        <v>2.5</v>
      </c>
      <c r="I53" s="47" t="n">
        <v>-2.5</v>
      </c>
      <c r="J53" s="42" t="n">
        <v>8.199999999999999</v>
      </c>
      <c r="K53" s="42" t="n">
        <v>-9</v>
      </c>
      <c r="L53" s="42" t="n">
        <v>52.6</v>
      </c>
      <c r="M53" s="42" t="n">
        <v>47.5</v>
      </c>
      <c r="N53" s="47" t="n">
        <v>5.1</v>
      </c>
      <c r="O53" s="42" t="n">
        <v>20</v>
      </c>
      <c r="P53" s="42" t="n">
        <v>19</v>
      </c>
      <c r="Q53" s="47" t="inlineStr">
        <is>
          <t>Win</t>
        </is>
      </c>
      <c r="R53" s="42" t="n">
        <v>10.7</v>
      </c>
      <c r="S53" s="53" t="inlineStr">
        <is>
          <t>Loss</t>
        </is>
      </c>
      <c r="T53" s="53" t="inlineStr">
        <is>
          <t>Loss</t>
        </is>
      </c>
      <c r="U53" s="53" t="inlineStr">
        <is>
          <t>Loss</t>
        </is>
      </c>
      <c r="V53" s="52" t="inlineStr">
        <is>
          <t>Win</t>
        </is>
      </c>
    </row>
    <row r="54" ht="26.25" customHeight="1">
      <c r="A54" s="42" t="n">
        <v>6</v>
      </c>
      <c r="B54" s="42" t="inlineStr">
        <is>
          <t>2026-10-10</t>
        </is>
      </c>
      <c r="C54" s="42" t="inlineStr">
        <is>
          <t>Mid-American</t>
        </is>
      </c>
      <c r="D54" s="42" t="inlineStr">
        <is>
          <t>Mid-American</t>
        </is>
      </c>
      <c r="E54" s="42" t="inlineStr">
        <is>
          <t>Central Michigan</t>
        </is>
      </c>
      <c r="F54" s="42" t="inlineStr">
        <is>
          <t>Ohio</t>
        </is>
      </c>
      <c r="G54" s="42" t="n">
        <v>-3.1</v>
      </c>
      <c r="H54" s="42" t="n">
        <v>-3</v>
      </c>
      <c r="I54" s="42" t="n">
        <v>0.1</v>
      </c>
      <c r="J54" s="42" t="n">
        <v>-12.1</v>
      </c>
      <c r="K54" s="42" t="n">
        <v>-5.4</v>
      </c>
      <c r="L54" s="42" t="n">
        <v>51.1</v>
      </c>
      <c r="M54" s="42" t="n">
        <v>46.2</v>
      </c>
      <c r="N54" s="47" t="n">
        <v>4.9</v>
      </c>
      <c r="O54" s="42" t="n">
        <v>14</v>
      </c>
      <c r="P54" s="42" t="n">
        <v>31</v>
      </c>
      <c r="Q54" s="47" t="inlineStr">
        <is>
          <t>Win</t>
        </is>
      </c>
      <c r="R54" s="42" t="n">
        <v>-9.4</v>
      </c>
      <c r="S54" s="52" t="inlineStr">
        <is>
          <t>Win</t>
        </is>
      </c>
      <c r="T54" s="52" t="inlineStr">
        <is>
          <t>Win</t>
        </is>
      </c>
      <c r="U54" s="52" t="inlineStr">
        <is>
          <t>Win</t>
        </is>
      </c>
      <c r="V54" s="52" t="inlineStr">
        <is>
          <t>Win</t>
        </is>
      </c>
    </row>
    <row r="55">
      <c r="A55" s="42" t="n">
        <v>6</v>
      </c>
      <c r="B55" s="42" t="inlineStr">
        <is>
          <t>2026-10-10</t>
        </is>
      </c>
      <c r="C55" s="42" t="inlineStr">
        <is>
          <t>Mid-American</t>
        </is>
      </c>
      <c r="D55" s="42" t="inlineStr">
        <is>
          <t>Mid-American</t>
        </is>
      </c>
      <c r="E55" s="42" t="inlineStr">
        <is>
          <t>Buffalo</t>
        </is>
      </c>
      <c r="F55" s="42" t="inlineStr">
        <is>
          <t>Toledo</t>
        </is>
      </c>
      <c r="G55" s="42" t="n">
        <v>-16.2</v>
      </c>
      <c r="H55" s="42" t="n">
        <v>-20.8</v>
      </c>
      <c r="I55" s="56" t="n">
        <v>-4.6</v>
      </c>
      <c r="J55" s="42" t="n">
        <v>-14.1</v>
      </c>
      <c r="K55" s="42" t="n">
        <v>-19.9</v>
      </c>
      <c r="L55" s="42" t="n">
        <v>47.6</v>
      </c>
      <c r="M55" s="42" t="n">
        <v>55.5</v>
      </c>
      <c r="N55" s="47" t="n">
        <v>-7.9</v>
      </c>
      <c r="O55" s="42" t="n">
        <v>23</v>
      </c>
      <c r="P55" s="42" t="n">
        <v>8</v>
      </c>
      <c r="Q55" s="48" t="inlineStr">
        <is>
          <t>Loss</t>
        </is>
      </c>
      <c r="R55" s="42" t="n">
        <v>-15</v>
      </c>
      <c r="S55" s="52" t="inlineStr">
        <is>
          <t>Win</t>
        </is>
      </c>
      <c r="T55" s="52" t="inlineStr">
        <is>
          <t>Win</t>
        </is>
      </c>
      <c r="U55" s="52" t="inlineStr">
        <is>
          <t>Win</t>
        </is>
      </c>
      <c r="V55" s="53" t="inlineStr">
        <is>
          <t>Loss</t>
        </is>
      </c>
    </row>
    <row r="56">
      <c r="A56" s="42" t="n">
        <v>6</v>
      </c>
      <c r="B56" s="42" t="inlineStr">
        <is>
          <t>2026-10-10</t>
        </is>
      </c>
      <c r="C56" s="42" t="inlineStr">
        <is>
          <t>Mid-American</t>
        </is>
      </c>
      <c r="D56" s="42" t="inlineStr">
        <is>
          <t>Mid-American</t>
        </is>
      </c>
      <c r="E56" s="42" t="inlineStr">
        <is>
          <t>Kent State</t>
        </is>
      </c>
      <c r="F56" s="42" t="inlineStr">
        <is>
          <t>Western Michigan</t>
        </is>
      </c>
      <c r="G56" s="42" t="n">
        <v>-16.9</v>
      </c>
      <c r="H56" s="42" t="n">
        <v>-13.5</v>
      </c>
      <c r="I56" s="47" t="n">
        <v>3.4</v>
      </c>
      <c r="J56" s="42" t="n">
        <v>-18.8</v>
      </c>
      <c r="K56" s="42" t="n">
        <v>-15.5</v>
      </c>
      <c r="L56" s="42" t="n">
        <v>46.5</v>
      </c>
      <c r="M56" s="42" t="n">
        <v>43.5</v>
      </c>
      <c r="N56" s="47" t="n">
        <v>3</v>
      </c>
      <c r="O56" s="42" t="n">
        <v>7</v>
      </c>
      <c r="P56" s="42" t="n">
        <v>38</v>
      </c>
      <c r="Q56" s="47" t="inlineStr">
        <is>
          <t>Win</t>
        </is>
      </c>
      <c r="R56" s="42" t="n">
        <v>-16.2</v>
      </c>
      <c r="S56" s="52" t="inlineStr">
        <is>
          <t>Win</t>
        </is>
      </c>
      <c r="T56" s="52" t="inlineStr">
        <is>
          <t>Win</t>
        </is>
      </c>
      <c r="U56" s="52" t="inlineStr">
        <is>
          <t>Win</t>
        </is>
      </c>
      <c r="V56" s="52" t="inlineStr">
        <is>
          <t>Win</t>
        </is>
      </c>
    </row>
    <row r="58">
      <c r="A58" s="41" t="inlineStr">
        <is>
          <t>Week 5</t>
        </is>
      </c>
    </row>
    <row r="59">
      <c r="A59" s="46" t="inlineStr">
        <is>
          <t>Week</t>
        </is>
      </c>
      <c r="B59" s="46" t="inlineStr">
        <is>
          <t>Date</t>
        </is>
      </c>
      <c r="C59" s="46" t="inlineStr">
        <is>
          <t>Home Conf</t>
        </is>
      </c>
      <c r="D59" s="46" t="inlineStr">
        <is>
          <t>Away Conf</t>
        </is>
      </c>
      <c r="E59" s="46" t="inlineStr">
        <is>
          <t>Away Team</t>
        </is>
      </c>
      <c r="F59" s="46" t="inlineStr">
        <is>
          <t>Home Team</t>
        </is>
      </c>
      <c r="G59" s="46" t="inlineStr">
        <is>
          <t>Model Line (Home)</t>
        </is>
      </c>
      <c r="H59" s="46" t="inlineStr">
        <is>
          <t>Market Line (Home)</t>
        </is>
      </c>
      <c r="I59" s="46" t="inlineStr">
        <is>
          <t>Spread Edge (pts)</t>
        </is>
      </c>
      <c r="J59" s="46" t="inlineStr">
        <is>
          <t>Ridge Line (Home)</t>
        </is>
      </c>
      <c r="K59" s="46" t="inlineStr">
        <is>
          <t>Massey Line (Home)</t>
        </is>
      </c>
      <c r="L59" s="46" t="inlineStr">
        <is>
          <t>Model Total</t>
        </is>
      </c>
      <c r="M59" s="46" t="inlineStr">
        <is>
          <t>Market Total</t>
        </is>
      </c>
      <c r="N59" s="46" t="inlineStr">
        <is>
          <t>Total Edge (pts)</t>
        </is>
      </c>
      <c r="O59" s="46" t="inlineStr">
        <is>
          <t>Away Pts</t>
        </is>
      </c>
      <c r="P59" s="46" t="inlineStr">
        <is>
          <t>Home Pts</t>
        </is>
      </c>
      <c r="Q59" s="46" t="inlineStr">
        <is>
          <t>Model Result (SU)</t>
        </is>
      </c>
      <c r="R59" s="46" t="inlineStr">
        <is>
          <t>XGBoost Line (Home)</t>
        </is>
      </c>
      <c r="S59" s="46" t="inlineStr">
        <is>
          <t>Gamma ATS</t>
        </is>
      </c>
      <c r="T59" s="46" t="inlineStr">
        <is>
          <t>Ridge ATS</t>
        </is>
      </c>
      <c r="U59" s="46" t="inlineStr">
        <is>
          <t>XGBoost ATS</t>
        </is>
      </c>
      <c r="V59" s="46" t="inlineStr">
        <is>
          <t>Massey ATS</t>
        </is>
      </c>
    </row>
    <row r="60">
      <c r="A60" s="42" t="n">
        <v>5</v>
      </c>
      <c r="B60" s="42" t="inlineStr">
        <is>
          <t>2026-10-03</t>
        </is>
      </c>
      <c r="C60" s="42" t="inlineStr">
        <is>
          <t>Mid-American</t>
        </is>
      </c>
      <c r="D60" s="42" t="inlineStr">
        <is>
          <t>Mid-American</t>
        </is>
      </c>
      <c r="E60" s="42" t="inlineStr">
        <is>
          <t>Toledo</t>
        </is>
      </c>
      <c r="F60" s="42" t="inlineStr">
        <is>
          <t>Ball State</t>
        </is>
      </c>
      <c r="G60" s="42" t="n">
        <v>21.5</v>
      </c>
      <c r="H60" s="42" t="n">
        <v>20.8</v>
      </c>
      <c r="I60" s="42" t="n">
        <v>-0.7</v>
      </c>
      <c r="J60" s="42" t="n">
        <v>12</v>
      </c>
      <c r="K60" s="42" t="n">
        <v>18</v>
      </c>
      <c r="L60" s="42" t="n">
        <v>52.3</v>
      </c>
      <c r="M60" s="42" t="n">
        <v>52.2</v>
      </c>
      <c r="N60" s="42" t="n">
        <v>0.1</v>
      </c>
      <c r="O60" s="42" t="n">
        <v>39</v>
      </c>
      <c r="P60" s="42" t="n">
        <v>24</v>
      </c>
      <c r="Q60" s="47" t="inlineStr">
        <is>
          <t>Win</t>
        </is>
      </c>
      <c r="R60" s="42" t="n">
        <v>14.4</v>
      </c>
      <c r="S60" s="53" t="inlineStr">
        <is>
          <t>Loss</t>
        </is>
      </c>
      <c r="T60" s="52" t="inlineStr">
        <is>
          <t>Win</t>
        </is>
      </c>
      <c r="U60" s="52" t="inlineStr">
        <is>
          <t>Win</t>
        </is>
      </c>
      <c r="V60" s="52" t="inlineStr">
        <is>
          <t>Win</t>
        </is>
      </c>
    </row>
    <row r="61">
      <c r="A61" s="42" t="n">
        <v>5</v>
      </c>
      <c r="B61" s="42" t="inlineStr">
        <is>
          <t>2026-10-03</t>
        </is>
      </c>
      <c r="C61" s="42" t="inlineStr">
        <is>
          <t>Mid-American</t>
        </is>
      </c>
      <c r="D61" s="42" t="inlineStr">
        <is>
          <t>Mid-American</t>
        </is>
      </c>
      <c r="E61" s="42" t="inlineStr">
        <is>
          <t>Western Michigan</t>
        </is>
      </c>
      <c r="F61" s="42" t="inlineStr">
        <is>
          <t>Buffalo</t>
        </is>
      </c>
      <c r="G61" s="42" t="n">
        <v>12.7</v>
      </c>
      <c r="H61" s="42" t="n">
        <v>13.2</v>
      </c>
      <c r="I61" s="42" t="n">
        <v>0.5</v>
      </c>
      <c r="J61" s="42" t="n">
        <v>10.3</v>
      </c>
      <c r="K61" s="42" t="n">
        <v>8.800000000000001</v>
      </c>
      <c r="L61" s="42" t="n">
        <v>45.3</v>
      </c>
      <c r="M61" s="42" t="n">
        <v>46.2</v>
      </c>
      <c r="N61" s="42" t="n">
        <v>-0.9</v>
      </c>
      <c r="O61" s="42" t="n">
        <v>20</v>
      </c>
      <c r="P61" s="42" t="n">
        <v>17</v>
      </c>
      <c r="Q61" s="47" t="inlineStr">
        <is>
          <t>Win</t>
        </is>
      </c>
      <c r="R61" s="42" t="n">
        <v>6.4</v>
      </c>
      <c r="S61" s="53" t="inlineStr">
        <is>
          <t>Loss</t>
        </is>
      </c>
      <c r="T61" s="52" t="inlineStr">
        <is>
          <t>Win</t>
        </is>
      </c>
      <c r="U61" s="52" t="inlineStr">
        <is>
          <t>Win</t>
        </is>
      </c>
      <c r="V61" s="52" t="inlineStr">
        <is>
          <t>Win</t>
        </is>
      </c>
    </row>
    <row r="62">
      <c r="A62" s="42" t="n">
        <v>5</v>
      </c>
      <c r="B62" s="42" t="inlineStr">
        <is>
          <t>2026-10-03</t>
        </is>
      </c>
      <c r="C62" s="42" t="inlineStr">
        <is>
          <t>Mid-American</t>
        </is>
      </c>
      <c r="D62" s="42" t="inlineStr">
        <is>
          <t>Mid-American</t>
        </is>
      </c>
      <c r="E62" s="42" t="inlineStr">
        <is>
          <t>Akron</t>
        </is>
      </c>
      <c r="F62" s="42" t="inlineStr">
        <is>
          <t>Central Michigan</t>
        </is>
      </c>
      <c r="G62" s="42" t="n">
        <v>-12.1</v>
      </c>
      <c r="H62" s="42" t="n">
        <v>-6.8</v>
      </c>
      <c r="I62" s="56" t="n">
        <v>5.3</v>
      </c>
      <c r="J62" s="42" t="n">
        <v>-6.3</v>
      </c>
      <c r="K62" s="42" t="n">
        <v>-5.1</v>
      </c>
      <c r="L62" s="42" t="n">
        <v>47</v>
      </c>
      <c r="M62" s="42" t="n">
        <v>47.2</v>
      </c>
      <c r="N62" s="42" t="n">
        <v>-0.3</v>
      </c>
      <c r="O62" s="42" t="n">
        <v>17</v>
      </c>
      <c r="P62" s="42" t="n">
        <v>41</v>
      </c>
      <c r="Q62" s="47" t="inlineStr">
        <is>
          <t>Win</t>
        </is>
      </c>
      <c r="R62" s="42" t="n">
        <v>-6.7</v>
      </c>
      <c r="S62" s="52" t="inlineStr">
        <is>
          <t>Win</t>
        </is>
      </c>
      <c r="T62" s="52" t="inlineStr">
        <is>
          <t>Win</t>
        </is>
      </c>
      <c r="U62" s="52" t="inlineStr">
        <is>
          <t>Win</t>
        </is>
      </c>
      <c r="V62" s="53" t="inlineStr">
        <is>
          <t>Loss</t>
        </is>
      </c>
    </row>
    <row r="63">
      <c r="A63" s="42" t="n">
        <v>5</v>
      </c>
      <c r="B63" s="42" t="inlineStr">
        <is>
          <t>2026-10-03</t>
        </is>
      </c>
      <c r="C63" s="42" t="inlineStr">
        <is>
          <t>Mid-American</t>
        </is>
      </c>
      <c r="D63" s="42" t="inlineStr">
        <is>
          <t>Mid-American</t>
        </is>
      </c>
      <c r="E63" s="42" t="inlineStr">
        <is>
          <t>Ohio</t>
        </is>
      </c>
      <c r="F63" s="42" t="inlineStr">
        <is>
          <t>Kent State</t>
        </is>
      </c>
      <c r="G63" s="42" t="n">
        <v>5.5</v>
      </c>
      <c r="H63" s="42" t="n">
        <v>3.5</v>
      </c>
      <c r="I63" s="47" t="n">
        <v>-2</v>
      </c>
      <c r="J63" s="42" t="n">
        <v>10.9</v>
      </c>
      <c r="K63" s="42" t="n">
        <v>10.7</v>
      </c>
      <c r="L63" s="42" t="n">
        <v>53.3</v>
      </c>
      <c r="M63" s="42" t="n">
        <v>50.8</v>
      </c>
      <c r="N63" s="47" t="n">
        <v>2.6</v>
      </c>
      <c r="O63" s="42" t="n">
        <v>13</v>
      </c>
      <c r="P63" s="42" t="n">
        <v>10</v>
      </c>
      <c r="Q63" s="47" t="inlineStr">
        <is>
          <t>Win</t>
        </is>
      </c>
      <c r="R63" s="42" t="n">
        <v>15.5</v>
      </c>
      <c r="S63" s="53" t="inlineStr">
        <is>
          <t>Loss</t>
        </is>
      </c>
      <c r="T63" s="53" t="inlineStr">
        <is>
          <t>Loss</t>
        </is>
      </c>
      <c r="U63" s="53" t="inlineStr">
        <is>
          <t>Loss</t>
        </is>
      </c>
      <c r="V63" s="53" t="inlineStr">
        <is>
          <t>Loss</t>
        </is>
      </c>
    </row>
    <row r="64">
      <c r="A64" s="42" t="n">
        <v>5</v>
      </c>
      <c r="B64" s="42" t="inlineStr">
        <is>
          <t>2026-10-03</t>
        </is>
      </c>
      <c r="C64" s="42" t="inlineStr">
        <is>
          <t>Mid-American</t>
        </is>
      </c>
      <c r="D64" s="42" t="inlineStr">
        <is>
          <t>Mid-American</t>
        </is>
      </c>
      <c r="E64" s="42" t="inlineStr">
        <is>
          <t>Eastern Michigan</t>
        </is>
      </c>
      <c r="F64" s="42" t="inlineStr">
        <is>
          <t>Massachusetts</t>
        </is>
      </c>
      <c r="G64" s="42" t="n">
        <v>-1.7</v>
      </c>
      <c r="H64" s="42" t="n">
        <v>-5.8</v>
      </c>
      <c r="I64" s="56" t="n">
        <v>-4.1</v>
      </c>
      <c r="J64" s="42" t="n">
        <v>1.4</v>
      </c>
      <c r="K64" s="42" t="n">
        <v>-22.9</v>
      </c>
      <c r="L64" s="42" t="n">
        <v>48.3</v>
      </c>
      <c r="M64" s="42" t="n">
        <v>49.2</v>
      </c>
      <c r="N64" s="42" t="n">
        <v>-1</v>
      </c>
      <c r="O64" s="42" t="n">
        <v>38</v>
      </c>
      <c r="P64" s="42" t="n">
        <v>14</v>
      </c>
      <c r="Q64" s="48" t="inlineStr">
        <is>
          <t>Loss</t>
        </is>
      </c>
      <c r="R64" s="42" t="n">
        <v>0.1</v>
      </c>
      <c r="S64" s="52" t="inlineStr">
        <is>
          <t>Win</t>
        </is>
      </c>
      <c r="T64" s="52" t="inlineStr">
        <is>
          <t>Win</t>
        </is>
      </c>
      <c r="U64" s="52" t="inlineStr">
        <is>
          <t>Win</t>
        </is>
      </c>
      <c r="V64" s="53" t="inlineStr">
        <is>
          <t>Loss</t>
        </is>
      </c>
    </row>
    <row r="65">
      <c r="A65" s="42" t="n">
        <v>5</v>
      </c>
      <c r="B65" s="42" t="inlineStr">
        <is>
          <t>2026-10-03</t>
        </is>
      </c>
      <c r="C65" s="42" t="inlineStr">
        <is>
          <t>Mid-American</t>
        </is>
      </c>
      <c r="D65" s="42" t="inlineStr">
        <is>
          <t>Mid-American</t>
        </is>
      </c>
      <c r="E65" s="42" t="inlineStr">
        <is>
          <t>Bowling Green</t>
        </is>
      </c>
      <c r="F65" s="42" t="inlineStr">
        <is>
          <t>Miami (OH)</t>
        </is>
      </c>
      <c r="G65" s="42" t="n">
        <v>-5.8</v>
      </c>
      <c r="H65" s="42" t="n">
        <v>-11.2</v>
      </c>
      <c r="I65" s="56" t="n">
        <v>-5.4</v>
      </c>
      <c r="J65" s="42" t="n">
        <v>-13.7</v>
      </c>
      <c r="K65" s="42" t="n">
        <v>-18.8</v>
      </c>
      <c r="L65" s="42" t="n">
        <v>48.6</v>
      </c>
      <c r="M65" s="42" t="n">
        <v>42.2</v>
      </c>
      <c r="N65" s="47" t="n">
        <v>6.4</v>
      </c>
      <c r="O65" s="42" t="n">
        <v>24</v>
      </c>
      <c r="P65" s="42" t="n">
        <v>20</v>
      </c>
      <c r="Q65" s="48" t="inlineStr">
        <is>
          <t>Loss</t>
        </is>
      </c>
      <c r="R65" s="42" t="n">
        <v>-13.1</v>
      </c>
      <c r="S65" s="52" t="inlineStr">
        <is>
          <t>Win</t>
        </is>
      </c>
      <c r="T65" s="53" t="inlineStr">
        <is>
          <t>Loss</t>
        </is>
      </c>
      <c r="U65" s="53" t="inlineStr">
        <is>
          <t>Loss</t>
        </is>
      </c>
      <c r="V65" s="53" t="inlineStr">
        <is>
          <t>Loss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topLeftCell="B20" workbookViewId="0">
      <selection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Mountain West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35-19-0</t>
        </is>
      </c>
      <c r="C3" s="45" t="n">
        <v>0.648</v>
      </c>
    </row>
    <row r="4">
      <c r="A4" s="42" t="inlineStr">
        <is>
          <t>Weekly ATS (Wk 8)</t>
        </is>
      </c>
      <c r="B4" s="42" t="inlineStr">
        <is>
          <t>3-1-0</t>
        </is>
      </c>
      <c r="C4" s="45" t="n">
        <v>0.75</v>
      </c>
    </row>
    <row r="5">
      <c r="A5" s="42" t="inlineStr">
        <is>
          <t>Model pick W-L, straight-up (Wk 8)</t>
        </is>
      </c>
      <c r="B5" s="42" t="inlineStr">
        <is>
          <t>2-2</t>
        </is>
      </c>
      <c r="C5" s="45" t="n">
        <v>0.5</v>
      </c>
    </row>
    <row r="6" ht="15.65" customHeight="1"/>
    <row r="7" ht="15.65" customHeight="1">
      <c r="A7" s="41" t="inlineStr">
        <is>
          <t>Mountain West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New Mexico</t>
        </is>
      </c>
      <c r="B9" s="42" t="n">
        <v>3</v>
      </c>
      <c r="C9" s="42" t="n">
        <v>0</v>
      </c>
      <c r="D9" s="42" t="n">
        <v>1</v>
      </c>
      <c r="E9" s="42" t="n">
        <v>6</v>
      </c>
      <c r="F9" s="42" t="n">
        <v>1</v>
      </c>
    </row>
    <row r="10">
      <c r="A10" s="42" t="inlineStr">
        <is>
          <t>Wyoming</t>
        </is>
      </c>
      <c r="B10" s="42" t="n">
        <v>4</v>
      </c>
      <c r="C10" s="42" t="n">
        <v>1</v>
      </c>
      <c r="D10" s="42" t="n">
        <v>0.8</v>
      </c>
      <c r="E10" s="42" t="n">
        <v>5</v>
      </c>
      <c r="F10" s="42" t="n">
        <v>3</v>
      </c>
    </row>
    <row r="11">
      <c r="A11" s="42" t="inlineStr">
        <is>
          <t>UNLV</t>
        </is>
      </c>
      <c r="B11" s="42" t="n">
        <v>2</v>
      </c>
      <c r="C11" s="42" t="n">
        <v>1</v>
      </c>
      <c r="D11" s="42" t="n">
        <v>0.667</v>
      </c>
      <c r="E11" s="42" t="n">
        <v>4</v>
      </c>
      <c r="F11" s="42" t="n">
        <v>3</v>
      </c>
    </row>
    <row r="12">
      <c r="A12" s="42" t="inlineStr">
        <is>
          <t>North Dakota State</t>
        </is>
      </c>
      <c r="B12" s="42" t="n">
        <v>3</v>
      </c>
      <c r="C12" s="42" t="n">
        <v>2</v>
      </c>
      <c r="D12" s="42" t="n">
        <v>0.6</v>
      </c>
      <c r="E12" s="42" t="n">
        <v>6</v>
      </c>
      <c r="F12" s="42" t="n">
        <v>2</v>
      </c>
    </row>
    <row r="13">
      <c r="A13" s="42" t="inlineStr">
        <is>
          <t>Air Force</t>
        </is>
      </c>
      <c r="B13" s="42" t="n">
        <v>3</v>
      </c>
      <c r="C13" s="42" t="n">
        <v>2</v>
      </c>
      <c r="D13" s="42" t="n">
        <v>0.6</v>
      </c>
      <c r="E13" s="42" t="n">
        <v>5</v>
      </c>
      <c r="F13" s="42" t="n">
        <v>2</v>
      </c>
    </row>
    <row r="14" ht="26.5" customHeight="1">
      <c r="A14" s="42" t="inlineStr">
        <is>
          <t>San José State</t>
        </is>
      </c>
      <c r="B14" s="42" t="n">
        <v>2</v>
      </c>
      <c r="C14" s="42" t="n">
        <v>2</v>
      </c>
      <c r="D14" s="42" t="n">
        <v>0.5</v>
      </c>
      <c r="E14" s="42" t="n">
        <v>4</v>
      </c>
      <c r="F14" s="42" t="n">
        <v>4</v>
      </c>
    </row>
    <row r="15">
      <c r="A15" s="42" t="inlineStr">
        <is>
          <t>Nevada</t>
        </is>
      </c>
      <c r="B15" s="42" t="n">
        <v>2</v>
      </c>
      <c r="C15" s="42" t="n">
        <v>2</v>
      </c>
      <c r="D15" s="42" t="n">
        <v>0.5</v>
      </c>
      <c r="E15" s="42" t="n">
        <v>3</v>
      </c>
      <c r="F15" s="42" t="n">
        <v>4</v>
      </c>
    </row>
    <row r="16">
      <c r="A16" s="42" t="inlineStr">
        <is>
          <t>Hawai'i</t>
        </is>
      </c>
      <c r="B16" s="42" t="n">
        <v>1</v>
      </c>
      <c r="C16" s="42" t="n">
        <v>4</v>
      </c>
      <c r="D16" s="42" t="n">
        <v>0.2</v>
      </c>
      <c r="E16" s="42" t="n">
        <v>2</v>
      </c>
      <c r="F16" s="42" t="n">
        <v>6</v>
      </c>
    </row>
    <row r="17">
      <c r="A17" s="42" t="inlineStr">
        <is>
          <t>UTEP</t>
        </is>
      </c>
      <c r="B17" s="42" t="n">
        <v>0</v>
      </c>
      <c r="C17" s="42" t="n">
        <v>3</v>
      </c>
      <c r="D17" s="42" t="n">
        <v>0</v>
      </c>
      <c r="E17" s="42" t="n">
        <v>1</v>
      </c>
      <c r="F17" s="42" t="n">
        <v>6</v>
      </c>
    </row>
    <row r="18">
      <c r="A18" s="42" t="inlineStr">
        <is>
          <t>Northern Illinois</t>
        </is>
      </c>
      <c r="B18" s="42" t="n">
        <v>0</v>
      </c>
      <c r="C18" s="42" t="n">
        <v>3</v>
      </c>
      <c r="D18" s="42" t="n">
        <v>0</v>
      </c>
      <c r="E18" s="42" t="n">
        <v>0</v>
      </c>
      <c r="F18" s="42" t="n">
        <v>7</v>
      </c>
    </row>
    <row r="19" ht="26.5" customHeight="1"/>
    <row r="20" ht="26.25" customHeight="1">
      <c r="A20" s="41" t="inlineStr">
        <is>
          <t>Week 9</t>
        </is>
      </c>
    </row>
    <row r="21" ht="26.5" customHeight="1">
      <c r="A21" s="46" t="inlineStr">
        <is>
          <t>Week</t>
        </is>
      </c>
      <c r="B21" s="46" t="inlineStr">
        <is>
          <t>Date</t>
        </is>
      </c>
      <c r="C21" s="46" t="inlineStr">
        <is>
          <t>Home Conf</t>
        </is>
      </c>
      <c r="D21" s="46" t="inlineStr">
        <is>
          <t>Away Conf</t>
        </is>
      </c>
      <c r="E21" s="46" t="inlineStr">
        <is>
          <t>Away Team</t>
        </is>
      </c>
      <c r="F21" s="46" t="inlineStr">
        <is>
          <t>Home Team</t>
        </is>
      </c>
      <c r="G21" s="46" t="inlineStr">
        <is>
          <t>Model Line (Home)</t>
        </is>
      </c>
      <c r="H21" s="46" t="inlineStr">
        <is>
          <t>Market Line (Home)</t>
        </is>
      </c>
      <c r="I21" s="46" t="inlineStr">
        <is>
          <t>Spread Edge (pts)</t>
        </is>
      </c>
      <c r="J21" s="46" t="inlineStr">
        <is>
          <t>Ridge Line (Home)</t>
        </is>
      </c>
      <c r="K21" s="46" t="inlineStr">
        <is>
          <t>Massey Line (Home)</t>
        </is>
      </c>
      <c r="L21" s="46" t="inlineStr">
        <is>
          <t>Model Total</t>
        </is>
      </c>
      <c r="M21" s="46" t="inlineStr">
        <is>
          <t>Market Total</t>
        </is>
      </c>
      <c r="N21" s="46" t="inlineStr">
        <is>
          <t>Total Edge (pts)</t>
        </is>
      </c>
      <c r="O21" s="46" t="inlineStr">
        <is>
          <t>Away Pts</t>
        </is>
      </c>
      <c r="P21" s="46" t="inlineStr">
        <is>
          <t>Home Pts</t>
        </is>
      </c>
      <c r="Q21" s="46" t="inlineStr">
        <is>
          <t>Model Result (SU)</t>
        </is>
      </c>
      <c r="R21" s="46" t="inlineStr">
        <is>
          <t>XGBoost Line (Home)</t>
        </is>
      </c>
      <c r="S21" s="46" t="inlineStr">
        <is>
          <t>Gamma ATS</t>
        </is>
      </c>
      <c r="T21" s="46" t="inlineStr">
        <is>
          <t>Ridge ATS</t>
        </is>
      </c>
      <c r="U21" s="46" t="inlineStr">
        <is>
          <t>XGBoost ATS</t>
        </is>
      </c>
      <c r="V21" s="46" t="inlineStr">
        <is>
          <t>Massey ATS</t>
        </is>
      </c>
    </row>
    <row r="22">
      <c r="A22" s="42" t="n">
        <v>9</v>
      </c>
      <c r="B22" s="42" t="inlineStr">
        <is>
          <t>2026-10-31</t>
        </is>
      </c>
      <c r="C22" s="42" t="inlineStr">
        <is>
          <t>Big Ten</t>
        </is>
      </c>
      <c r="D22" s="42" t="inlineStr">
        <is>
          <t>Mountain West</t>
        </is>
      </c>
      <c r="E22" s="42" t="inlineStr">
        <is>
          <t>Nevada</t>
        </is>
      </c>
      <c r="F22" s="42" t="inlineStr">
        <is>
          <t>UCLA</t>
        </is>
      </c>
      <c r="G22" s="42" t="n">
        <v>-21.2</v>
      </c>
      <c r="H22" s="42" t="n">
        <v>-22.5</v>
      </c>
      <c r="I22" s="42" t="n">
        <v>-1.3</v>
      </c>
      <c r="J22" s="42" t="n">
        <v>-23.3</v>
      </c>
      <c r="K22" s="42" t="n">
        <v>-19.5</v>
      </c>
      <c r="L22" s="42" t="n">
        <v>43.5</v>
      </c>
      <c r="M22" s="42" t="n">
        <v>44.5</v>
      </c>
      <c r="N22" s="42" t="n">
        <v>-1</v>
      </c>
      <c r="O22" s="42" t="n"/>
      <c r="P22" s="42" t="n"/>
      <c r="Q22" s="42" t="n"/>
      <c r="R22" s="42" t="n">
        <v>-20.6</v>
      </c>
      <c r="S22" s="51" t="n"/>
      <c r="T22" s="51" t="n"/>
      <c r="U22" s="51" t="n"/>
      <c r="V22" s="51" t="n"/>
    </row>
    <row r="23">
      <c r="A23" s="42" t="n">
        <v>9</v>
      </c>
      <c r="B23" s="42" t="inlineStr">
        <is>
          <t>2026-10-31</t>
        </is>
      </c>
      <c r="C23" s="42" t="inlineStr">
        <is>
          <t>Mountain West</t>
        </is>
      </c>
      <c r="D23" s="42" t="inlineStr">
        <is>
          <t>FBS Independents</t>
        </is>
      </c>
      <c r="E23" s="42" t="inlineStr">
        <is>
          <t>UConn</t>
        </is>
      </c>
      <c r="F23" s="42" t="inlineStr">
        <is>
          <t>Air Force</t>
        </is>
      </c>
      <c r="G23" s="42" t="n">
        <v>-5.2</v>
      </c>
      <c r="H23" s="42" t="n">
        <v>-3</v>
      </c>
      <c r="I23" s="47" t="n">
        <v>2.2</v>
      </c>
      <c r="J23" s="42" t="n">
        <v>-9.800000000000001</v>
      </c>
      <c r="K23" s="42" t="n">
        <v>1.5</v>
      </c>
      <c r="L23" s="42" t="n">
        <v>53.2</v>
      </c>
      <c r="M23" s="42" t="n">
        <v>53.5</v>
      </c>
      <c r="N23" s="42" t="n">
        <v>-0.3</v>
      </c>
      <c r="O23" s="42" t="n"/>
      <c r="P23" s="42" t="n"/>
      <c r="Q23" s="42" t="n"/>
      <c r="R23" s="42" t="n">
        <v>-2.8</v>
      </c>
      <c r="S23" s="51" t="n"/>
      <c r="T23" s="51" t="n"/>
      <c r="U23" s="51" t="n"/>
      <c r="V23" s="51" t="n"/>
    </row>
    <row r="24">
      <c r="A24" s="42" t="n">
        <v>9</v>
      </c>
      <c r="B24" s="42" t="inlineStr">
        <is>
          <t>2026-10-31</t>
        </is>
      </c>
      <c r="C24" s="42" t="inlineStr">
        <is>
          <t>Mountain West</t>
        </is>
      </c>
      <c r="D24" s="42" t="inlineStr">
        <is>
          <t>Mountain West</t>
        </is>
      </c>
      <c r="E24" s="42" t="inlineStr">
        <is>
          <t>UTEP</t>
        </is>
      </c>
      <c r="F24" s="42" t="inlineStr">
        <is>
          <t>North Dakota State</t>
        </is>
      </c>
      <c r="G24" s="42" t="n">
        <v>-36</v>
      </c>
      <c r="H24" s="42" t="n">
        <v>-26.5</v>
      </c>
      <c r="I24" s="56" t="n">
        <v>9.5</v>
      </c>
      <c r="J24" s="42" t="n">
        <v>-31.6</v>
      </c>
      <c r="K24" s="42" t="n">
        <v>-29.3</v>
      </c>
      <c r="L24" s="42" t="n">
        <v>43.3</v>
      </c>
      <c r="M24" s="42" t="n">
        <v>44.5</v>
      </c>
      <c r="N24" s="42" t="n">
        <v>-1.2</v>
      </c>
      <c r="O24" s="42" t="n"/>
      <c r="P24" s="42" t="n"/>
      <c r="Q24" s="42" t="n"/>
      <c r="R24" s="42" t="n">
        <v>-18.6</v>
      </c>
      <c r="S24" s="51" t="n"/>
      <c r="T24" s="51" t="n"/>
      <c r="U24" s="51" t="n"/>
      <c r="V24" s="51" t="n"/>
    </row>
    <row r="25">
      <c r="A25" s="42" t="n">
        <v>9</v>
      </c>
      <c r="B25" s="42" t="inlineStr">
        <is>
          <t>2026-10-31</t>
        </is>
      </c>
      <c r="C25" s="42" t="inlineStr">
        <is>
          <t>Mountain West</t>
        </is>
      </c>
      <c r="D25" s="42" t="inlineStr">
        <is>
          <t>Mountain West</t>
        </is>
      </c>
      <c r="E25" s="42" t="inlineStr">
        <is>
          <t>New Mexico</t>
        </is>
      </c>
      <c r="F25" s="42" t="inlineStr">
        <is>
          <t>San José State</t>
        </is>
      </c>
      <c r="G25" s="42" t="n">
        <v>14.9</v>
      </c>
      <c r="H25" s="42" t="n">
        <v>14.5</v>
      </c>
      <c r="I25" s="42" t="n">
        <v>-0.4</v>
      </c>
      <c r="J25" s="42" t="n">
        <v>20.2</v>
      </c>
      <c r="K25" s="42" t="n">
        <v>16.3</v>
      </c>
      <c r="L25" s="42" t="n">
        <v>45.6</v>
      </c>
      <c r="M25" s="42" t="n">
        <v>41.5</v>
      </c>
      <c r="N25" s="47" t="n">
        <v>4.1</v>
      </c>
      <c r="O25" s="42" t="n"/>
      <c r="P25" s="42" t="n"/>
      <c r="Q25" s="42" t="n"/>
      <c r="R25" s="42" t="n">
        <v>16</v>
      </c>
      <c r="S25" s="51" t="n"/>
      <c r="T25" s="51" t="n"/>
      <c r="U25" s="51" t="n"/>
      <c r="V25" s="51" t="n"/>
    </row>
    <row r="26">
      <c r="A26" s="42" t="n">
        <v>9</v>
      </c>
      <c r="B26" s="42" t="inlineStr">
        <is>
          <t>2026-11-01</t>
        </is>
      </c>
      <c r="C26" s="42" t="inlineStr">
        <is>
          <t>Mountain West</t>
        </is>
      </c>
      <c r="D26" s="42" t="inlineStr">
        <is>
          <t>Mountain West</t>
        </is>
      </c>
      <c r="E26" s="42" t="inlineStr">
        <is>
          <t>Northern Illinois</t>
        </is>
      </c>
      <c r="F26" s="42" t="inlineStr">
        <is>
          <t>UNLV</t>
        </is>
      </c>
      <c r="G26" s="42" t="n">
        <v>-27.9</v>
      </c>
      <c r="H26" s="42" t="n">
        <v>-24.5</v>
      </c>
      <c r="I26" s="47" t="n">
        <v>3.4</v>
      </c>
      <c r="J26" s="42" t="n">
        <v>-21.3</v>
      </c>
      <c r="K26" s="42" t="n">
        <v>-19.7</v>
      </c>
      <c r="L26" s="42" t="n">
        <v>44.4</v>
      </c>
      <c r="M26" s="42" t="n">
        <v>52.5</v>
      </c>
      <c r="N26" s="47" t="n">
        <v>-8.1</v>
      </c>
      <c r="O26" s="42" t="n"/>
      <c r="P26" s="42" t="n"/>
      <c r="Q26" s="42" t="n"/>
      <c r="R26" s="42" t="n">
        <v>-19.3</v>
      </c>
      <c r="S26" s="51" t="n"/>
      <c r="T26" s="51" t="n"/>
      <c r="U26" s="51" t="n"/>
      <c r="V26" s="51" t="n"/>
    </row>
    <row r="27" ht="15.75" customHeight="1"/>
    <row r="28" ht="26.25" customHeight="1">
      <c r="A28" s="41" t="inlineStr">
        <is>
          <t>Week 8</t>
        </is>
      </c>
    </row>
    <row r="29" ht="26.5" customHeight="1">
      <c r="A29" s="46" t="inlineStr">
        <is>
          <t>Week</t>
        </is>
      </c>
      <c r="B29" s="46" t="inlineStr">
        <is>
          <t>Date</t>
        </is>
      </c>
      <c r="C29" s="46" t="inlineStr">
        <is>
          <t>Home Conf</t>
        </is>
      </c>
      <c r="D29" s="46" t="inlineStr">
        <is>
          <t>Away Conf</t>
        </is>
      </c>
      <c r="E29" s="46" t="inlineStr">
        <is>
          <t>Away Team</t>
        </is>
      </c>
      <c r="F29" s="46" t="inlineStr">
        <is>
          <t>Home Team</t>
        </is>
      </c>
      <c r="G29" s="46" t="inlineStr">
        <is>
          <t>Model Line (Home)</t>
        </is>
      </c>
      <c r="H29" s="46" t="inlineStr">
        <is>
          <t>Market Line (Home)</t>
        </is>
      </c>
      <c r="I29" s="46" t="inlineStr">
        <is>
          <t>Spread Edge (pts)</t>
        </is>
      </c>
      <c r="J29" s="46" t="inlineStr">
        <is>
          <t>Ridge Line (Home)</t>
        </is>
      </c>
      <c r="K29" s="46" t="inlineStr">
        <is>
          <t>Massey Line (Home)</t>
        </is>
      </c>
      <c r="L29" s="46" t="inlineStr">
        <is>
          <t>Model Total</t>
        </is>
      </c>
      <c r="M29" s="46" t="inlineStr">
        <is>
          <t>Market Total</t>
        </is>
      </c>
      <c r="N29" s="46" t="inlineStr">
        <is>
          <t>Total Edge (pts)</t>
        </is>
      </c>
      <c r="O29" s="46" t="inlineStr">
        <is>
          <t>Away Pts</t>
        </is>
      </c>
      <c r="P29" s="46" t="inlineStr">
        <is>
          <t>Home Pts</t>
        </is>
      </c>
      <c r="Q29" s="46" t="inlineStr">
        <is>
          <t>Model Result (SU)</t>
        </is>
      </c>
      <c r="R29" s="46" t="inlineStr">
        <is>
          <t>XGBoost Line (Home)</t>
        </is>
      </c>
      <c r="S29" s="46" t="inlineStr">
        <is>
          <t>Gamma ATS</t>
        </is>
      </c>
      <c r="T29" s="46" t="inlineStr">
        <is>
          <t>Ridge ATS</t>
        </is>
      </c>
      <c r="U29" s="46" t="inlineStr">
        <is>
          <t>XGBoost ATS</t>
        </is>
      </c>
      <c r="V29" s="46" t="inlineStr">
        <is>
          <t>Massey ATS</t>
        </is>
      </c>
    </row>
    <row r="30">
      <c r="A30" s="42" t="n">
        <v>8</v>
      </c>
      <c r="B30" s="42" t="inlineStr">
        <is>
          <t>2026-10-24</t>
        </is>
      </c>
      <c r="C30" s="42" t="inlineStr">
        <is>
          <t>Mountain West</t>
        </is>
      </c>
      <c r="D30" s="42" t="inlineStr">
        <is>
          <t>Mountain West</t>
        </is>
      </c>
      <c r="E30" s="42" t="inlineStr">
        <is>
          <t>San José State</t>
        </is>
      </c>
      <c r="F30" s="42" t="inlineStr">
        <is>
          <t>Nevada</t>
        </is>
      </c>
      <c r="G30" s="42" t="n">
        <v>-10.3</v>
      </c>
      <c r="H30" s="42" t="n">
        <v>-6.8</v>
      </c>
      <c r="I30" s="47" t="n">
        <v>3.5</v>
      </c>
      <c r="J30" s="42" t="n">
        <v>-3.3</v>
      </c>
      <c r="K30" s="42" t="n">
        <v>-5.9</v>
      </c>
      <c r="L30" s="42" t="n">
        <v>46.8</v>
      </c>
      <c r="M30" s="42" t="n">
        <v>46.5</v>
      </c>
      <c r="N30" s="42" t="n">
        <v>0.3</v>
      </c>
      <c r="O30" s="42" t="n">
        <v>13</v>
      </c>
      <c r="P30" s="42" t="n">
        <v>28</v>
      </c>
      <c r="Q30" s="47" t="inlineStr">
        <is>
          <t>Win</t>
        </is>
      </c>
      <c r="R30" s="42" t="n">
        <v>-4.6</v>
      </c>
      <c r="S30" s="52" t="inlineStr">
        <is>
          <t>Win</t>
        </is>
      </c>
      <c r="T30" s="53" t="inlineStr">
        <is>
          <t>Loss</t>
        </is>
      </c>
      <c r="U30" s="53" t="inlineStr">
        <is>
          <t>Loss</t>
        </is>
      </c>
      <c r="V30" s="52" t="inlineStr">
        <is>
          <t>Win</t>
        </is>
      </c>
    </row>
    <row r="31">
      <c r="A31" s="42" t="n">
        <v>8</v>
      </c>
      <c r="B31" s="42" t="inlineStr">
        <is>
          <t>2026-10-24</t>
        </is>
      </c>
      <c r="C31" s="42" t="inlineStr">
        <is>
          <t>Mountain West</t>
        </is>
      </c>
      <c r="D31" s="42" t="inlineStr">
        <is>
          <t>Mountain West</t>
        </is>
      </c>
      <c r="E31" s="42" t="inlineStr">
        <is>
          <t>Hawai'i</t>
        </is>
      </c>
      <c r="F31" s="42" t="inlineStr">
        <is>
          <t>Northern Illinois</t>
        </is>
      </c>
      <c r="G31" s="42" t="n">
        <v>5.2</v>
      </c>
      <c r="H31" s="42" t="n">
        <v>4</v>
      </c>
      <c r="I31" s="42" t="n">
        <v>-1.2</v>
      </c>
      <c r="J31" s="42" t="n">
        <v>5.2</v>
      </c>
      <c r="K31" s="42" t="n">
        <v>0.9</v>
      </c>
      <c r="L31" s="42" t="n">
        <v>43.7</v>
      </c>
      <c r="M31" s="42" t="n">
        <v>47.5</v>
      </c>
      <c r="N31" s="47" t="n">
        <v>-3.8</v>
      </c>
      <c r="O31" s="42" t="n">
        <v>56</v>
      </c>
      <c r="P31" s="42" t="n">
        <v>21</v>
      </c>
      <c r="Q31" s="47" t="inlineStr">
        <is>
          <t>Win</t>
        </is>
      </c>
      <c r="R31" s="42" t="n">
        <v>0.4</v>
      </c>
      <c r="S31" s="52" t="inlineStr">
        <is>
          <t>Win</t>
        </is>
      </c>
      <c r="T31" s="52" t="inlineStr">
        <is>
          <t>Win</t>
        </is>
      </c>
      <c r="U31" s="53" t="inlineStr">
        <is>
          <t>Loss</t>
        </is>
      </c>
      <c r="V31" s="53" t="inlineStr">
        <is>
          <t>Loss</t>
        </is>
      </c>
    </row>
    <row r="32">
      <c r="A32" s="42" t="n">
        <v>8</v>
      </c>
      <c r="B32" s="42" t="inlineStr">
        <is>
          <t>2026-10-24</t>
        </is>
      </c>
      <c r="C32" s="42" t="inlineStr">
        <is>
          <t>Mountain West</t>
        </is>
      </c>
      <c r="D32" s="42" t="inlineStr">
        <is>
          <t>Mountain West</t>
        </is>
      </c>
      <c r="E32" s="42" t="inlineStr">
        <is>
          <t>Air Force</t>
        </is>
      </c>
      <c r="F32" s="42" t="inlineStr">
        <is>
          <t>Wyoming</t>
        </is>
      </c>
      <c r="G32" s="42" t="n">
        <v>5.3</v>
      </c>
      <c r="H32" s="42" t="n">
        <v>5.5</v>
      </c>
      <c r="I32" s="42" t="n">
        <v>0.2</v>
      </c>
      <c r="J32" s="42" t="n">
        <v>6.3</v>
      </c>
      <c r="K32" s="42" t="n">
        <v>7.6</v>
      </c>
      <c r="L32" s="42" t="n">
        <v>47.7</v>
      </c>
      <c r="M32" s="42" t="n">
        <v>46.5</v>
      </c>
      <c r="N32" s="42" t="n">
        <v>1.2</v>
      </c>
      <c r="O32" s="42" t="n">
        <v>14</v>
      </c>
      <c r="P32" s="42" t="n">
        <v>28</v>
      </c>
      <c r="Q32" s="48" t="inlineStr">
        <is>
          <t>Loss</t>
        </is>
      </c>
      <c r="R32" s="42" t="n">
        <v>3.4</v>
      </c>
      <c r="S32" s="53" t="inlineStr">
        <is>
          <t>Loss</t>
        </is>
      </c>
      <c r="T32" s="53" t="inlineStr">
        <is>
          <t>Loss</t>
        </is>
      </c>
      <c r="U32" s="52" t="inlineStr">
        <is>
          <t>Win</t>
        </is>
      </c>
      <c r="V32" s="53" t="inlineStr">
        <is>
          <t>Loss</t>
        </is>
      </c>
    </row>
    <row r="33">
      <c r="A33" s="42" t="n">
        <v>8</v>
      </c>
      <c r="B33" s="42" t="inlineStr">
        <is>
          <t>2026-10-25</t>
        </is>
      </c>
      <c r="C33" s="42" t="inlineStr">
        <is>
          <t>Mountain West</t>
        </is>
      </c>
      <c r="D33" s="42" t="inlineStr">
        <is>
          <t>Mountain West</t>
        </is>
      </c>
      <c r="E33" s="42" t="inlineStr">
        <is>
          <t>North Dakota State</t>
        </is>
      </c>
      <c r="F33" s="42" t="inlineStr">
        <is>
          <t>New Mexico</t>
        </is>
      </c>
      <c r="G33" s="42" t="n">
        <v>2.9</v>
      </c>
      <c r="H33" s="42" t="n">
        <v>-4.5</v>
      </c>
      <c r="I33" s="56" t="n">
        <v>-7.4</v>
      </c>
      <c r="J33" s="42" t="n">
        <v>5.6</v>
      </c>
      <c r="K33" s="42" t="n">
        <v>-7.4</v>
      </c>
      <c r="L33" s="42" t="n">
        <v>42.5</v>
      </c>
      <c r="M33" s="42" t="n">
        <v>40.5</v>
      </c>
      <c r="N33" s="47" t="n">
        <v>2</v>
      </c>
      <c r="O33" s="42" t="n">
        <v>16</v>
      </c>
      <c r="P33" s="42" t="n">
        <v>21</v>
      </c>
      <c r="Q33" s="48" t="inlineStr">
        <is>
          <t>Loss</t>
        </is>
      </c>
      <c r="R33" s="42" t="n">
        <v>3.1</v>
      </c>
      <c r="S33" s="53" t="inlineStr">
        <is>
          <t>Loss</t>
        </is>
      </c>
      <c r="T33" s="53" t="inlineStr">
        <is>
          <t>Loss</t>
        </is>
      </c>
      <c r="U33" s="53" t="inlineStr">
        <is>
          <t>Loss</t>
        </is>
      </c>
      <c r="V33" s="52" t="inlineStr">
        <is>
          <t>Win</t>
        </is>
      </c>
    </row>
    <row r="35" ht="15.75" customHeight="1">
      <c r="A35" s="41" t="inlineStr">
        <is>
          <t>Week 7</t>
        </is>
      </c>
    </row>
    <row r="36" ht="15.75" customHeight="1">
      <c r="A36" s="46" t="inlineStr">
        <is>
          <t>Week</t>
        </is>
      </c>
      <c r="B36" s="46" t="inlineStr">
        <is>
          <t>Date</t>
        </is>
      </c>
      <c r="C36" s="46" t="inlineStr">
        <is>
          <t>Home Conf</t>
        </is>
      </c>
      <c r="D36" s="46" t="inlineStr">
        <is>
          <t>Away Conf</t>
        </is>
      </c>
      <c r="E36" s="46" t="inlineStr">
        <is>
          <t>Away Team</t>
        </is>
      </c>
      <c r="F36" s="46" t="inlineStr">
        <is>
          <t>Home Team</t>
        </is>
      </c>
      <c r="G36" s="46" t="inlineStr">
        <is>
          <t>Model Line (Home)</t>
        </is>
      </c>
      <c r="H36" s="46" t="inlineStr">
        <is>
          <t>Market Line (Home)</t>
        </is>
      </c>
      <c r="I36" s="46" t="inlineStr">
        <is>
          <t>Spread Edge (pts)</t>
        </is>
      </c>
      <c r="J36" s="46" t="inlineStr">
        <is>
          <t>Ridge Line (Home)</t>
        </is>
      </c>
      <c r="K36" s="46" t="inlineStr">
        <is>
          <t>Massey Line (Home)</t>
        </is>
      </c>
      <c r="L36" s="46" t="inlineStr">
        <is>
          <t>Model Total</t>
        </is>
      </c>
      <c r="M36" s="46" t="inlineStr">
        <is>
          <t>Market Total</t>
        </is>
      </c>
      <c r="N36" s="46" t="inlineStr">
        <is>
          <t>Total Edge (pts)</t>
        </is>
      </c>
      <c r="O36" s="46" t="inlineStr">
        <is>
          <t>Away Pts</t>
        </is>
      </c>
      <c r="P36" s="46" t="inlineStr">
        <is>
          <t>Home Pts</t>
        </is>
      </c>
      <c r="Q36" s="46" t="inlineStr">
        <is>
          <t>Model Result (SU)</t>
        </is>
      </c>
      <c r="R36" s="46" t="inlineStr">
        <is>
          <t>XGBoost Line (Home)</t>
        </is>
      </c>
      <c r="S36" s="46" t="inlineStr">
        <is>
          <t>Gamma ATS</t>
        </is>
      </c>
      <c r="T36" s="46" t="inlineStr">
        <is>
          <t>Ridge ATS</t>
        </is>
      </c>
      <c r="U36" s="46" t="inlineStr">
        <is>
          <t>XGBoost ATS</t>
        </is>
      </c>
      <c r="V36" s="46" t="inlineStr">
        <is>
          <t>Massey ATS</t>
        </is>
      </c>
    </row>
    <row r="37" ht="26.25" customHeight="1">
      <c r="A37" s="42" t="n">
        <v>7</v>
      </c>
      <c r="B37" s="42" t="inlineStr">
        <is>
          <t>2026-10-17</t>
        </is>
      </c>
      <c r="C37" s="42" t="inlineStr">
        <is>
          <t>Mountain West</t>
        </is>
      </c>
      <c r="D37" s="42" t="inlineStr">
        <is>
          <t>Mountain West</t>
        </is>
      </c>
      <c r="E37" s="42" t="inlineStr">
        <is>
          <t>UNLV</t>
        </is>
      </c>
      <c r="F37" s="42" t="inlineStr">
        <is>
          <t>Air Force</t>
        </is>
      </c>
      <c r="G37" s="42" t="n">
        <v>3.7</v>
      </c>
      <c r="H37" s="42" t="n">
        <v>1.2</v>
      </c>
      <c r="I37" s="47" t="n">
        <v>-2.5</v>
      </c>
      <c r="J37" s="42" t="n">
        <v>4.8</v>
      </c>
      <c r="K37" s="42" t="n">
        <v>-5</v>
      </c>
      <c r="L37" s="42" t="n">
        <v>47.2</v>
      </c>
      <c r="M37" s="42" t="n">
        <v>48.5</v>
      </c>
      <c r="N37" s="42" t="n">
        <v>-1.3</v>
      </c>
      <c r="O37" s="42" t="n">
        <v>31</v>
      </c>
      <c r="P37" s="42" t="n">
        <v>41</v>
      </c>
      <c r="Q37" s="48" t="inlineStr">
        <is>
          <t>Loss</t>
        </is>
      </c>
      <c r="R37" s="42" t="n">
        <v>1.2</v>
      </c>
      <c r="S37" s="53" t="inlineStr">
        <is>
          <t>Loss</t>
        </is>
      </c>
      <c r="T37" s="53" t="inlineStr">
        <is>
          <t>Loss</t>
        </is>
      </c>
      <c r="U37" s="53" t="inlineStr">
        <is>
          <t>Loss</t>
        </is>
      </c>
      <c r="V37" s="52" t="inlineStr">
        <is>
          <t>Win</t>
        </is>
      </c>
    </row>
    <row r="38">
      <c r="A38" s="42" t="n">
        <v>7</v>
      </c>
      <c r="B38" s="42" t="inlineStr">
        <is>
          <t>2026-10-17</t>
        </is>
      </c>
      <c r="C38" s="42" t="inlineStr">
        <is>
          <t>Mountain West</t>
        </is>
      </c>
      <c r="D38" s="42" t="inlineStr">
        <is>
          <t>Mountain West</t>
        </is>
      </c>
      <c r="E38" s="42" t="inlineStr">
        <is>
          <t>Nevada</t>
        </is>
      </c>
      <c r="F38" s="42" t="inlineStr">
        <is>
          <t>North Dakota State</t>
        </is>
      </c>
      <c r="G38" s="42" t="n">
        <v>-24.9</v>
      </c>
      <c r="H38" s="42" t="n">
        <v>-14.8</v>
      </c>
      <c r="I38" s="56" t="n">
        <v>10.1</v>
      </c>
      <c r="J38" s="42" t="n">
        <v>-22.8</v>
      </c>
      <c r="K38" s="42" t="n">
        <v>-13.4</v>
      </c>
      <c r="L38" s="42" t="n">
        <v>45.1</v>
      </c>
      <c r="M38" s="42" t="n">
        <v>42.5</v>
      </c>
      <c r="N38" s="47" t="n">
        <v>2.6</v>
      </c>
      <c r="O38" s="42" t="n">
        <v>17</v>
      </c>
      <c r="P38" s="42" t="n">
        <v>31</v>
      </c>
      <c r="Q38" s="47" t="inlineStr">
        <is>
          <t>Win</t>
        </is>
      </c>
      <c r="R38" s="42" t="n">
        <v>-25.3</v>
      </c>
      <c r="S38" s="53" t="inlineStr">
        <is>
          <t>Loss</t>
        </is>
      </c>
      <c r="T38" s="53" t="inlineStr">
        <is>
          <t>Loss</t>
        </is>
      </c>
      <c r="U38" s="53" t="inlineStr">
        <is>
          <t>Loss</t>
        </is>
      </c>
      <c r="V38" s="52" t="inlineStr">
        <is>
          <t>Win</t>
        </is>
      </c>
    </row>
    <row r="39">
      <c r="A39" s="42" t="n">
        <v>7</v>
      </c>
      <c r="B39" s="42" t="inlineStr">
        <is>
          <t>2026-10-17</t>
        </is>
      </c>
      <c r="C39" s="42" t="inlineStr">
        <is>
          <t>Mountain West</t>
        </is>
      </c>
      <c r="D39" s="42" t="inlineStr">
        <is>
          <t>Mountain West</t>
        </is>
      </c>
      <c r="E39" s="42" t="inlineStr">
        <is>
          <t>Northern Illinois</t>
        </is>
      </c>
      <c r="F39" s="42" t="inlineStr">
        <is>
          <t>Wyoming</t>
        </is>
      </c>
      <c r="G39" s="42" t="n">
        <v>-11.7</v>
      </c>
      <c r="H39" s="42" t="n">
        <v>-7.8</v>
      </c>
      <c r="I39" s="47" t="n">
        <v>3.9</v>
      </c>
      <c r="J39" s="42" t="n">
        <v>-7.6</v>
      </c>
      <c r="K39" s="42" t="n">
        <v>-7.2</v>
      </c>
      <c r="L39" s="42" t="n">
        <v>40.3</v>
      </c>
      <c r="M39" s="42" t="n">
        <v>40.5</v>
      </c>
      <c r="N39" s="42" t="n">
        <v>-0.2</v>
      </c>
      <c r="O39" s="42" t="n">
        <v>23</v>
      </c>
      <c r="P39" s="42" t="n">
        <v>41</v>
      </c>
      <c r="Q39" s="47" t="inlineStr">
        <is>
          <t>Win</t>
        </is>
      </c>
      <c r="R39" s="42" t="n">
        <v>-6.2</v>
      </c>
      <c r="S39" s="52" t="inlineStr">
        <is>
          <t>Win</t>
        </is>
      </c>
      <c r="T39" s="52" t="inlineStr">
        <is>
          <t>Win</t>
        </is>
      </c>
      <c r="U39" s="53" t="inlineStr">
        <is>
          <t>Loss</t>
        </is>
      </c>
      <c r="V39" s="52" t="inlineStr">
        <is>
          <t>Win</t>
        </is>
      </c>
    </row>
    <row r="40">
      <c r="A40" s="42" t="n">
        <v>7</v>
      </c>
      <c r="B40" s="42" t="inlineStr">
        <is>
          <t>2026-10-18</t>
        </is>
      </c>
      <c r="C40" s="42" t="inlineStr">
        <is>
          <t>Mountain West</t>
        </is>
      </c>
      <c r="D40" s="42" t="inlineStr">
        <is>
          <t>Mountain West</t>
        </is>
      </c>
      <c r="E40" s="42" t="inlineStr">
        <is>
          <t>New Mexico</t>
        </is>
      </c>
      <c r="F40" s="42" t="inlineStr">
        <is>
          <t>Hawai'i</t>
        </is>
      </c>
      <c r="G40" s="42" t="n">
        <v>10.3</v>
      </c>
      <c r="H40" s="42" t="n">
        <v>15.5</v>
      </c>
      <c r="I40" s="56" t="n">
        <v>5.2</v>
      </c>
      <c r="J40" s="42" t="n">
        <v>14.4</v>
      </c>
      <c r="K40" s="42" t="n">
        <v>23.5</v>
      </c>
      <c r="L40" s="42" t="n">
        <v>45.4</v>
      </c>
      <c r="M40" s="42" t="n">
        <v>44.5</v>
      </c>
      <c r="N40" s="42" t="n">
        <v>0.9</v>
      </c>
      <c r="O40" s="42" t="n">
        <v>21</v>
      </c>
      <c r="P40" s="42" t="n">
        <v>10</v>
      </c>
      <c r="Q40" s="47" t="inlineStr">
        <is>
          <t>Win</t>
        </is>
      </c>
      <c r="R40" s="42" t="n">
        <v>10.7</v>
      </c>
      <c r="S40" s="52" t="inlineStr">
        <is>
          <t>Win</t>
        </is>
      </c>
      <c r="T40" s="52" t="inlineStr">
        <is>
          <t>Win</t>
        </is>
      </c>
      <c r="U40" s="52" t="inlineStr">
        <is>
          <t>Win</t>
        </is>
      </c>
      <c r="V40" s="53" t="inlineStr">
        <is>
          <t>Loss</t>
        </is>
      </c>
    </row>
    <row r="41">
      <c r="A41" s="42" t="n">
        <v>7</v>
      </c>
      <c r="B41" s="42" t="inlineStr">
        <is>
          <t>2026-10-18</t>
        </is>
      </c>
      <c r="C41" s="42" t="inlineStr">
        <is>
          <t>Mountain West</t>
        </is>
      </c>
      <c r="D41" s="42" t="inlineStr">
        <is>
          <t>Mountain West</t>
        </is>
      </c>
      <c r="E41" s="42" t="inlineStr">
        <is>
          <t>San José State</t>
        </is>
      </c>
      <c r="F41" s="42" t="inlineStr">
        <is>
          <t>UTEP</t>
        </is>
      </c>
      <c r="G41" s="42" t="n">
        <v>0.9</v>
      </c>
      <c r="H41" s="42" t="n">
        <v>7.2</v>
      </c>
      <c r="I41" s="56" t="n">
        <v>6.3</v>
      </c>
      <c r="J41" s="42" t="n">
        <v>5.5</v>
      </c>
      <c r="K41" s="42" t="n">
        <v>9.6</v>
      </c>
      <c r="L41" s="42" t="n">
        <v>46.6</v>
      </c>
      <c r="M41" s="42" t="n">
        <v>46.8</v>
      </c>
      <c r="N41" s="42" t="n">
        <v>-0.2</v>
      </c>
      <c r="O41" s="42" t="n">
        <v>24</v>
      </c>
      <c r="P41" s="42" t="n">
        <v>11</v>
      </c>
      <c r="Q41" s="47" t="inlineStr">
        <is>
          <t>Win</t>
        </is>
      </c>
      <c r="R41" s="42" t="n">
        <v>4.1</v>
      </c>
      <c r="S41" s="53" t="inlineStr">
        <is>
          <t>Loss</t>
        </is>
      </c>
      <c r="T41" s="53" t="inlineStr">
        <is>
          <t>Loss</t>
        </is>
      </c>
      <c r="U41" s="53" t="inlineStr">
        <is>
          <t>Loss</t>
        </is>
      </c>
      <c r="V41" s="52" t="inlineStr">
        <is>
          <t>Win</t>
        </is>
      </c>
    </row>
    <row r="43" ht="15.75" customHeight="1">
      <c r="A43" s="41" t="inlineStr">
        <is>
          <t>Week 6</t>
        </is>
      </c>
    </row>
    <row r="44" ht="26.25" customHeight="1">
      <c r="A44" s="46" t="inlineStr">
        <is>
          <t>Week</t>
        </is>
      </c>
      <c r="B44" s="46" t="inlineStr">
        <is>
          <t>Date</t>
        </is>
      </c>
      <c r="C44" s="46" t="inlineStr">
        <is>
          <t>Home Conf</t>
        </is>
      </c>
      <c r="D44" s="46" t="inlineStr">
        <is>
          <t>Away Conf</t>
        </is>
      </c>
      <c r="E44" s="46" t="inlineStr">
        <is>
          <t>Away Team</t>
        </is>
      </c>
      <c r="F44" s="46" t="inlineStr">
        <is>
          <t>Home Team</t>
        </is>
      </c>
      <c r="G44" s="46" t="inlineStr">
        <is>
          <t>Model Line (Home)</t>
        </is>
      </c>
      <c r="H44" s="46" t="inlineStr">
        <is>
          <t>Market Line (Home)</t>
        </is>
      </c>
      <c r="I44" s="46" t="inlineStr">
        <is>
          <t>Spread Edge (pts)</t>
        </is>
      </c>
      <c r="J44" s="46" t="inlineStr">
        <is>
          <t>Ridge Line (Home)</t>
        </is>
      </c>
      <c r="K44" s="46" t="inlineStr">
        <is>
          <t>Massey Line (Home)</t>
        </is>
      </c>
      <c r="L44" s="46" t="inlineStr">
        <is>
          <t>Model Total</t>
        </is>
      </c>
      <c r="M44" s="46" t="inlineStr">
        <is>
          <t>Market Total</t>
        </is>
      </c>
      <c r="N44" s="46" t="inlineStr">
        <is>
          <t>Total Edge (pts)</t>
        </is>
      </c>
      <c r="O44" s="46" t="inlineStr">
        <is>
          <t>Away Pts</t>
        </is>
      </c>
      <c r="P44" s="46" t="inlineStr">
        <is>
          <t>Home Pts</t>
        </is>
      </c>
      <c r="Q44" s="46" t="inlineStr">
        <is>
          <t>Model Result (SU)</t>
        </is>
      </c>
      <c r="R44" s="46" t="inlineStr">
        <is>
          <t>XGBoost Line (Home)</t>
        </is>
      </c>
      <c r="S44" s="46" t="inlineStr">
        <is>
          <t>Gamma ATS</t>
        </is>
      </c>
      <c r="T44" s="46" t="inlineStr">
        <is>
          <t>Ridge ATS</t>
        </is>
      </c>
      <c r="U44" s="46" t="inlineStr">
        <is>
          <t>XGBoost ATS</t>
        </is>
      </c>
      <c r="V44" s="46" t="inlineStr">
        <is>
          <t>Massey ATS</t>
        </is>
      </c>
    </row>
    <row r="45">
      <c r="A45" s="42" t="n">
        <v>6</v>
      </c>
      <c r="B45" s="42" t="inlineStr">
        <is>
          <t>2026-10-11</t>
        </is>
      </c>
      <c r="C45" s="42" t="inlineStr">
        <is>
          <t>Big 12</t>
        </is>
      </c>
      <c r="D45" s="42" t="inlineStr">
        <is>
          <t>Mountain West</t>
        </is>
      </c>
      <c r="E45" s="42" t="inlineStr">
        <is>
          <t>Hawai'i</t>
        </is>
      </c>
      <c r="F45" s="42" t="inlineStr">
        <is>
          <t>Arizona State</t>
        </is>
      </c>
      <c r="G45" s="42" t="n">
        <v>-17.3</v>
      </c>
      <c r="H45" s="42" t="n">
        <v>-20.8</v>
      </c>
      <c r="I45" s="47" t="n">
        <v>-3.5</v>
      </c>
      <c r="J45" s="42" t="n">
        <v>-17.2</v>
      </c>
      <c r="K45" s="42" t="n">
        <v>-14.5</v>
      </c>
      <c r="L45" s="42" t="n">
        <v>47.9</v>
      </c>
      <c r="M45" s="42" t="n">
        <v>50.5</v>
      </c>
      <c r="N45" s="47" t="n">
        <v>-2.6</v>
      </c>
      <c r="O45" s="42" t="n">
        <v>12</v>
      </c>
      <c r="P45" s="42" t="n">
        <v>30</v>
      </c>
      <c r="Q45" s="47" t="inlineStr">
        <is>
          <t>Win</t>
        </is>
      </c>
      <c r="R45" s="42" t="n">
        <v>-14.6</v>
      </c>
      <c r="S45" s="52" t="inlineStr">
        <is>
          <t>Win</t>
        </is>
      </c>
      <c r="T45" s="52" t="inlineStr">
        <is>
          <t>Win</t>
        </is>
      </c>
      <c r="U45" s="52" t="inlineStr">
        <is>
          <t>Win</t>
        </is>
      </c>
      <c r="V45" s="52" t="inlineStr">
        <is>
          <t>Win</t>
        </is>
      </c>
    </row>
    <row r="46">
      <c r="A46" s="42" t="n">
        <v>6</v>
      </c>
      <c r="B46" s="42" t="inlineStr">
        <is>
          <t>2026-10-10</t>
        </is>
      </c>
      <c r="C46" s="42" t="inlineStr">
        <is>
          <t>Mountain West</t>
        </is>
      </c>
      <c r="D46" s="42" t="inlineStr">
        <is>
          <t>Mountain West</t>
        </is>
      </c>
      <c r="E46" s="42" t="inlineStr">
        <is>
          <t>Air Force</t>
        </is>
      </c>
      <c r="F46" s="42" t="inlineStr">
        <is>
          <t>Northern Illinois</t>
        </is>
      </c>
      <c r="G46" s="42" t="n">
        <v>9.300000000000001</v>
      </c>
      <c r="H46" s="42" t="n">
        <v>7.5</v>
      </c>
      <c r="I46" s="42" t="n">
        <v>-1.8</v>
      </c>
      <c r="J46" s="42" t="n">
        <v>9.4</v>
      </c>
      <c r="K46" s="42" t="n">
        <v>9.9</v>
      </c>
      <c r="L46" s="42" t="n">
        <v>41.3</v>
      </c>
      <c r="M46" s="42" t="n">
        <v>46.8</v>
      </c>
      <c r="N46" s="47" t="n">
        <v>-5.5</v>
      </c>
      <c r="O46" s="42" t="n">
        <v>28</v>
      </c>
      <c r="P46" s="42" t="n">
        <v>7</v>
      </c>
      <c r="Q46" s="47" t="inlineStr">
        <is>
          <t>Win</t>
        </is>
      </c>
      <c r="R46" s="42" t="n">
        <v>4.2</v>
      </c>
      <c r="S46" s="52" t="inlineStr">
        <is>
          <t>Win</t>
        </is>
      </c>
      <c r="T46" s="52" t="inlineStr">
        <is>
          <t>Win</t>
        </is>
      </c>
      <c r="U46" s="53" t="inlineStr">
        <is>
          <t>Loss</t>
        </is>
      </c>
      <c r="V46" s="52" t="inlineStr">
        <is>
          <t>Win</t>
        </is>
      </c>
    </row>
    <row r="47">
      <c r="A47" s="42" t="n">
        <v>6</v>
      </c>
      <c r="B47" s="42" t="inlineStr">
        <is>
          <t>2026-10-10</t>
        </is>
      </c>
      <c r="C47" s="42" t="inlineStr">
        <is>
          <t>Mountain West</t>
        </is>
      </c>
      <c r="D47" s="42" t="inlineStr">
        <is>
          <t>Mountain West</t>
        </is>
      </c>
      <c r="E47" s="42" t="inlineStr">
        <is>
          <t>Wyoming</t>
        </is>
      </c>
      <c r="F47" s="42" t="inlineStr">
        <is>
          <t>San José State</t>
        </is>
      </c>
      <c r="G47" s="42" t="n">
        <v>-5</v>
      </c>
      <c r="H47" s="42" t="n">
        <v>-4.5</v>
      </c>
      <c r="I47" s="42" t="n">
        <v>0.5</v>
      </c>
      <c r="J47" s="42" t="n">
        <v>1.5</v>
      </c>
      <c r="K47" s="42" t="n">
        <v>-7.5</v>
      </c>
      <c r="L47" s="42" t="n">
        <v>45.6</v>
      </c>
      <c r="M47" s="42" t="n">
        <v>42.5</v>
      </c>
      <c r="N47" s="47" t="n">
        <v>3.1</v>
      </c>
      <c r="O47" s="42" t="n">
        <v>16</v>
      </c>
      <c r="P47" s="42" t="n">
        <v>13</v>
      </c>
      <c r="Q47" s="48" t="inlineStr">
        <is>
          <t>Loss</t>
        </is>
      </c>
      <c r="R47" s="42" t="n">
        <v>0.4</v>
      </c>
      <c r="S47" s="53" t="inlineStr">
        <is>
          <t>Loss</t>
        </is>
      </c>
      <c r="T47" s="52" t="inlineStr">
        <is>
          <t>Win</t>
        </is>
      </c>
      <c r="U47" s="52" t="inlineStr">
        <is>
          <t>Win</t>
        </is>
      </c>
      <c r="V47" s="53" t="inlineStr">
        <is>
          <t>Loss</t>
        </is>
      </c>
    </row>
    <row r="48">
      <c r="A48" s="42" t="n">
        <v>6</v>
      </c>
      <c r="B48" s="42" t="inlineStr">
        <is>
          <t>2026-10-10</t>
        </is>
      </c>
      <c r="C48" s="42" t="inlineStr">
        <is>
          <t>Mountain West</t>
        </is>
      </c>
      <c r="D48" s="42" t="inlineStr">
        <is>
          <t>Mountain West</t>
        </is>
      </c>
      <c r="E48" s="42" t="inlineStr">
        <is>
          <t>North Dakota State</t>
        </is>
      </c>
      <c r="F48" s="42" t="inlineStr">
        <is>
          <t>UNLV</t>
        </is>
      </c>
      <c r="G48" s="42" t="n">
        <v>12.1</v>
      </c>
      <c r="H48" s="42" t="n">
        <v>3</v>
      </c>
      <c r="I48" s="56" t="n">
        <v>-9.1</v>
      </c>
      <c r="J48" s="42" t="n">
        <v>8.1</v>
      </c>
      <c r="K48" s="42" t="n">
        <v>9.4</v>
      </c>
      <c r="L48" s="42" t="n">
        <v>43.9</v>
      </c>
      <c r="M48" s="42" t="n">
        <v>47.5</v>
      </c>
      <c r="N48" s="47" t="n">
        <v>-3.6</v>
      </c>
      <c r="O48" s="42" t="n">
        <v>7</v>
      </c>
      <c r="P48" s="42" t="n">
        <v>13</v>
      </c>
      <c r="Q48" s="48" t="inlineStr">
        <is>
          <t>Loss</t>
        </is>
      </c>
      <c r="R48" s="42" t="n">
        <v>4.3</v>
      </c>
      <c r="S48" s="53" t="inlineStr">
        <is>
          <t>Loss</t>
        </is>
      </c>
      <c r="T48" s="53" t="inlineStr">
        <is>
          <t>Loss</t>
        </is>
      </c>
      <c r="U48" s="53" t="inlineStr">
        <is>
          <t>Loss</t>
        </is>
      </c>
      <c r="V48" s="53" t="inlineStr">
        <is>
          <t>Loss</t>
        </is>
      </c>
    </row>
    <row r="49">
      <c r="A49" s="42" t="n">
        <v>6</v>
      </c>
      <c r="B49" s="42" t="inlineStr">
        <is>
          <t>2026-10-10</t>
        </is>
      </c>
      <c r="C49" s="42" t="inlineStr">
        <is>
          <t>Mountain West</t>
        </is>
      </c>
      <c r="D49" s="42" t="inlineStr">
        <is>
          <t>Mountain West</t>
        </is>
      </c>
      <c r="E49" s="42" t="inlineStr">
        <is>
          <t>Nevada</t>
        </is>
      </c>
      <c r="F49" s="42" t="inlineStr">
        <is>
          <t>UTEP</t>
        </is>
      </c>
      <c r="G49" s="42" t="n">
        <v>7.3</v>
      </c>
      <c r="H49" s="42" t="n">
        <v>9.800000000000001</v>
      </c>
      <c r="I49" s="47" t="n">
        <v>2.5</v>
      </c>
      <c r="J49" s="42" t="n">
        <v>5</v>
      </c>
      <c r="K49" s="42" t="n">
        <v>11.7</v>
      </c>
      <c r="L49" s="42" t="n">
        <v>45</v>
      </c>
      <c r="M49" s="42" t="n">
        <v>49.5</v>
      </c>
      <c r="N49" s="47" t="n">
        <v>-4.5</v>
      </c>
      <c r="O49" s="42" t="n">
        <v>30</v>
      </c>
      <c r="P49" s="42" t="n">
        <v>13</v>
      </c>
      <c r="Q49" s="47" t="inlineStr">
        <is>
          <t>Win</t>
        </is>
      </c>
      <c r="R49" s="42" t="n">
        <v>6.4</v>
      </c>
      <c r="S49" s="53" t="inlineStr">
        <is>
          <t>Loss</t>
        </is>
      </c>
      <c r="T49" s="53" t="inlineStr">
        <is>
          <t>Loss</t>
        </is>
      </c>
      <c r="U49" s="53" t="inlineStr">
        <is>
          <t>Loss</t>
        </is>
      </c>
      <c r="V49" s="52" t="inlineStr">
        <is>
          <t>Win</t>
        </is>
      </c>
    </row>
    <row r="51">
      <c r="A51" s="41" t="inlineStr">
        <is>
          <t>Week 5</t>
        </is>
      </c>
    </row>
    <row r="52">
      <c r="A52" s="46" t="inlineStr">
        <is>
          <t>Week</t>
        </is>
      </c>
      <c r="B52" s="46" t="inlineStr">
        <is>
          <t>Date</t>
        </is>
      </c>
      <c r="C52" s="46" t="inlineStr">
        <is>
          <t>Home Conf</t>
        </is>
      </c>
      <c r="D52" s="46" t="inlineStr">
        <is>
          <t>Away Conf</t>
        </is>
      </c>
      <c r="E52" s="46" t="inlineStr">
        <is>
          <t>Away Team</t>
        </is>
      </c>
      <c r="F52" s="46" t="inlineStr">
        <is>
          <t>Home Team</t>
        </is>
      </c>
      <c r="G52" s="46" t="inlineStr">
        <is>
          <t>Model Line (Home)</t>
        </is>
      </c>
      <c r="H52" s="46" t="inlineStr">
        <is>
          <t>Market Line (Home)</t>
        </is>
      </c>
      <c r="I52" s="46" t="inlineStr">
        <is>
          <t>Spread Edge (pts)</t>
        </is>
      </c>
      <c r="J52" s="46" t="inlineStr">
        <is>
          <t>Ridge Line (Home)</t>
        </is>
      </c>
      <c r="K52" s="46" t="inlineStr">
        <is>
          <t>Massey Line (Home)</t>
        </is>
      </c>
      <c r="L52" s="46" t="inlineStr">
        <is>
          <t>Model Total</t>
        </is>
      </c>
      <c r="M52" s="46" t="inlineStr">
        <is>
          <t>Market Total</t>
        </is>
      </c>
      <c r="N52" s="46" t="inlineStr">
        <is>
          <t>Total Edge (pts)</t>
        </is>
      </c>
      <c r="O52" s="46" t="inlineStr">
        <is>
          <t>Away Pts</t>
        </is>
      </c>
      <c r="P52" s="46" t="inlineStr">
        <is>
          <t>Home Pts</t>
        </is>
      </c>
      <c r="Q52" s="46" t="inlineStr">
        <is>
          <t>Model Result (SU)</t>
        </is>
      </c>
      <c r="R52" s="46" t="inlineStr">
        <is>
          <t>XGBoost Line (Home)</t>
        </is>
      </c>
      <c r="S52" s="46" t="inlineStr">
        <is>
          <t>Gamma ATS</t>
        </is>
      </c>
      <c r="T52" s="46" t="inlineStr">
        <is>
          <t>Ridge ATS</t>
        </is>
      </c>
      <c r="U52" s="46" t="inlineStr">
        <is>
          <t>XGBoost ATS</t>
        </is>
      </c>
      <c r="V52" s="46" t="inlineStr">
        <is>
          <t>Massey ATS</t>
        </is>
      </c>
    </row>
    <row r="53">
      <c r="A53" s="42" t="n">
        <v>5</v>
      </c>
      <c r="B53" s="42" t="inlineStr">
        <is>
          <t>2026-10-03</t>
        </is>
      </c>
      <c r="C53" s="42" t="inlineStr">
        <is>
          <t>Mountain West</t>
        </is>
      </c>
      <c r="D53" s="42" t="inlineStr">
        <is>
          <t>American Athletic</t>
        </is>
      </c>
      <c r="E53" s="42" t="inlineStr">
        <is>
          <t>Navy</t>
        </is>
      </c>
      <c r="F53" s="42" t="inlineStr">
        <is>
          <t>Air Force</t>
        </is>
      </c>
      <c r="G53" s="42" t="n">
        <v>4.5</v>
      </c>
      <c r="H53" s="42" t="n">
        <v>-2.8</v>
      </c>
      <c r="I53" s="56" t="n">
        <v>-7.3</v>
      </c>
      <c r="J53" s="42" t="n">
        <v>-8.5</v>
      </c>
      <c r="K53" s="42" t="n">
        <v>-7</v>
      </c>
      <c r="L53" s="42" t="n">
        <v>55.1</v>
      </c>
      <c r="M53" s="42" t="n">
        <v>45.2</v>
      </c>
      <c r="N53" s="47" t="n">
        <v>9.800000000000001</v>
      </c>
      <c r="O53" s="42" t="n">
        <v>9</v>
      </c>
      <c r="P53" s="42" t="n">
        <v>14</v>
      </c>
      <c r="Q53" s="48" t="inlineStr">
        <is>
          <t>Loss</t>
        </is>
      </c>
      <c r="R53" s="42" t="n">
        <v>-4.4</v>
      </c>
      <c r="S53" s="53" t="inlineStr">
        <is>
          <t>Loss</t>
        </is>
      </c>
      <c r="T53" s="52" t="inlineStr">
        <is>
          <t>Win</t>
        </is>
      </c>
      <c r="U53" s="52" t="inlineStr">
        <is>
          <t>Win</t>
        </is>
      </c>
      <c r="V53" s="52" t="inlineStr">
        <is>
          <t>Win</t>
        </is>
      </c>
    </row>
    <row r="54">
      <c r="A54" s="42" t="n">
        <v>5</v>
      </c>
      <c r="B54" s="42" t="inlineStr">
        <is>
          <t>2026-10-03</t>
        </is>
      </c>
      <c r="C54" s="42" t="inlineStr">
        <is>
          <t>Mountain West</t>
        </is>
      </c>
      <c r="D54" s="42" t="inlineStr">
        <is>
          <t>Mountain West</t>
        </is>
      </c>
      <c r="E54" s="42" t="inlineStr">
        <is>
          <t>UTEP</t>
        </is>
      </c>
      <c r="F54" s="42" t="inlineStr">
        <is>
          <t>New Mexico</t>
        </is>
      </c>
      <c r="G54" s="42" t="n">
        <v>-27.6</v>
      </c>
      <c r="H54" s="42" t="n">
        <v>-23.2</v>
      </c>
      <c r="I54" s="56" t="n">
        <v>4.4</v>
      </c>
      <c r="J54" s="42" t="n">
        <v>-22.1</v>
      </c>
      <c r="K54" s="42" t="n">
        <v>-26.6</v>
      </c>
      <c r="L54" s="42" t="n">
        <v>43.7</v>
      </c>
      <c r="M54" s="42" t="n">
        <v>47.8</v>
      </c>
      <c r="N54" s="47" t="n">
        <v>-4.1</v>
      </c>
      <c r="O54" s="42" t="n">
        <v>7</v>
      </c>
      <c r="P54" s="42" t="n">
        <v>61</v>
      </c>
      <c r="Q54" s="47" t="inlineStr">
        <is>
          <t>Win</t>
        </is>
      </c>
      <c r="R54" s="42" t="n">
        <v>-23.9</v>
      </c>
      <c r="S54" s="52" t="inlineStr">
        <is>
          <t>Win</t>
        </is>
      </c>
      <c r="T54" s="53" t="inlineStr">
        <is>
          <t>Loss</t>
        </is>
      </c>
      <c r="U54" s="52" t="inlineStr">
        <is>
          <t>Win</t>
        </is>
      </c>
      <c r="V54" s="52" t="inlineStr">
        <is>
          <t>Win</t>
        </is>
      </c>
    </row>
    <row r="55">
      <c r="A55" s="42" t="n">
        <v>5</v>
      </c>
      <c r="B55" s="42" t="inlineStr">
        <is>
          <t>2026-10-03</t>
        </is>
      </c>
      <c r="C55" s="42" t="inlineStr">
        <is>
          <t>Mountain West</t>
        </is>
      </c>
      <c r="D55" s="42" t="inlineStr">
        <is>
          <t>Mountain West</t>
        </is>
      </c>
      <c r="E55" s="42" t="inlineStr">
        <is>
          <t>Wyoming</t>
        </is>
      </c>
      <c r="F55" s="42" t="inlineStr">
        <is>
          <t>North Dakota State</t>
        </is>
      </c>
      <c r="G55" s="42" t="n">
        <v>-29.3</v>
      </c>
      <c r="H55" s="42" t="n">
        <v>-17.2</v>
      </c>
      <c r="I55" s="56" t="n">
        <v>12.1</v>
      </c>
      <c r="J55" s="42" t="n">
        <v>-22</v>
      </c>
      <c r="K55" s="42" t="n">
        <v>-19.5</v>
      </c>
      <c r="L55" s="42" t="n">
        <v>46.7</v>
      </c>
      <c r="M55" s="42" t="n">
        <v>44.5</v>
      </c>
      <c r="N55" s="47" t="n">
        <v>2.2</v>
      </c>
      <c r="O55" s="42" t="n">
        <v>0</v>
      </c>
      <c r="P55" s="42" t="n">
        <v>28</v>
      </c>
      <c r="Q55" s="47" t="inlineStr">
        <is>
          <t>Win</t>
        </is>
      </c>
      <c r="R55" s="42" t="n">
        <v>-23.1</v>
      </c>
      <c r="S55" s="52" t="inlineStr">
        <is>
          <t>Win</t>
        </is>
      </c>
      <c r="T55" s="52" t="inlineStr">
        <is>
          <t>Win</t>
        </is>
      </c>
      <c r="U55" s="52" t="inlineStr">
        <is>
          <t>Win</t>
        </is>
      </c>
      <c r="V55" s="52" t="inlineStr">
        <is>
          <t>Win</t>
        </is>
      </c>
    </row>
    <row r="56">
      <c r="A56" s="42" t="n">
        <v>5</v>
      </c>
      <c r="B56" s="42" t="inlineStr">
        <is>
          <t>2026-10-03</t>
        </is>
      </c>
      <c r="C56" s="42" t="inlineStr">
        <is>
          <t>Mountain West</t>
        </is>
      </c>
      <c r="D56" s="42" t="inlineStr">
        <is>
          <t>ACC</t>
        </is>
      </c>
      <c r="E56" s="42" t="inlineStr">
        <is>
          <t>California</t>
        </is>
      </c>
      <c r="F56" s="42" t="inlineStr">
        <is>
          <t>UNLV</t>
        </is>
      </c>
      <c r="G56" s="42" t="n">
        <v>-3.3</v>
      </c>
      <c r="H56" s="42" t="n">
        <v>-1.8</v>
      </c>
      <c r="I56" s="42" t="n">
        <v>1.5</v>
      </c>
      <c r="J56" s="42" t="n">
        <v>-15.5</v>
      </c>
      <c r="K56" s="42" t="n">
        <v>-0.8</v>
      </c>
      <c r="L56" s="42" t="n">
        <v>45.6</v>
      </c>
      <c r="M56" s="42" t="n">
        <v>52.2</v>
      </c>
      <c r="N56" s="47" t="n">
        <v>-6.7</v>
      </c>
      <c r="O56" s="42" t="n">
        <v>31</v>
      </c>
      <c r="P56" s="42" t="n">
        <v>39</v>
      </c>
      <c r="Q56" s="47" t="inlineStr">
        <is>
          <t>Win</t>
        </is>
      </c>
      <c r="R56" s="42" t="n">
        <v>-7.9</v>
      </c>
      <c r="S56" s="52" t="inlineStr">
        <is>
          <t>Win</t>
        </is>
      </c>
      <c r="T56" s="52" t="inlineStr">
        <is>
          <t>Win</t>
        </is>
      </c>
      <c r="U56" s="52" t="inlineStr">
        <is>
          <t>Win</t>
        </is>
      </c>
      <c r="V56" s="53" t="inlineStr">
        <is>
          <t>Loss</t>
        </is>
      </c>
    </row>
    <row r="57">
      <c r="A57" s="42" t="n">
        <v>5</v>
      </c>
      <c r="B57" s="42" t="inlineStr">
        <is>
          <t>2026-10-04</t>
        </is>
      </c>
      <c r="C57" s="42" t="inlineStr">
        <is>
          <t>Mountain West</t>
        </is>
      </c>
      <c r="D57" s="42" t="inlineStr">
        <is>
          <t>Mountain West</t>
        </is>
      </c>
      <c r="E57" s="42" t="inlineStr">
        <is>
          <t>San José State</t>
        </is>
      </c>
      <c r="F57" s="42" t="inlineStr">
        <is>
          <t>Hawai'i</t>
        </is>
      </c>
      <c r="G57" s="42" t="n">
        <v>-5.2</v>
      </c>
      <c r="H57" s="42" t="n">
        <v>-2.8</v>
      </c>
      <c r="I57" s="47" t="n">
        <v>2.4</v>
      </c>
      <c r="J57" s="42" t="n">
        <v>-6.7</v>
      </c>
      <c r="K57" s="42" t="n">
        <v>3.5</v>
      </c>
      <c r="L57" s="42" t="n">
        <v>48.5</v>
      </c>
      <c r="M57" s="42" t="n">
        <v>51.2</v>
      </c>
      <c r="N57" s="47" t="n">
        <v>-2.7</v>
      </c>
      <c r="O57" s="42" t="n">
        <v>20</v>
      </c>
      <c r="P57" s="42" t="n">
        <v>16</v>
      </c>
      <c r="Q57" s="48" t="inlineStr">
        <is>
          <t>Loss</t>
        </is>
      </c>
      <c r="R57" s="42" t="n">
        <v>-6.4</v>
      </c>
      <c r="S57" s="53" t="inlineStr">
        <is>
          <t>Loss</t>
        </is>
      </c>
      <c r="T57" s="53" t="inlineStr">
        <is>
          <t>Loss</t>
        </is>
      </c>
      <c r="U57" s="53" t="inlineStr">
        <is>
          <t>Loss</t>
        </is>
      </c>
      <c r="V57" s="52" t="inlineStr">
        <is>
          <t>Win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8"/>
  <sheetViews>
    <sheetView showGridLines="0" workbookViewId="0">
      <selection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Pac-12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26-19-0</t>
        </is>
      </c>
      <c r="C3" s="45" t="n">
        <v>0.578</v>
      </c>
    </row>
    <row r="4">
      <c r="A4" s="42" t="inlineStr">
        <is>
          <t>Weekly ATS (Wk 8)</t>
        </is>
      </c>
      <c r="B4" s="42" t="inlineStr">
        <is>
          <t>1-2-0</t>
        </is>
      </c>
      <c r="C4" s="45" t="n">
        <v>0.333</v>
      </c>
    </row>
    <row r="5">
      <c r="A5" s="42" t="inlineStr">
        <is>
          <t>Model pick W-L, straight-up (Wk 8)</t>
        </is>
      </c>
      <c r="B5" s="42" t="inlineStr">
        <is>
          <t>2-1</t>
        </is>
      </c>
      <c r="C5" s="45" t="n">
        <v>0.667</v>
      </c>
    </row>
    <row r="6" ht="15.65" customHeight="1"/>
    <row r="7" ht="15.65" customHeight="1">
      <c r="A7" s="41" t="inlineStr">
        <is>
          <t>Pac-12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Boise State</t>
        </is>
      </c>
      <c r="B9" s="42" t="n">
        <v>3</v>
      </c>
      <c r="C9" s="42" t="n">
        <v>0</v>
      </c>
      <c r="D9" s="42" t="n">
        <v>1</v>
      </c>
      <c r="E9" s="42" t="n">
        <v>6</v>
      </c>
      <c r="F9" s="42" t="n">
        <v>1</v>
      </c>
    </row>
    <row r="10">
      <c r="A10" s="42" t="inlineStr">
        <is>
          <t>Oregon State</t>
        </is>
      </c>
      <c r="B10" s="42" t="n">
        <v>3</v>
      </c>
      <c r="C10" s="42" t="n">
        <v>0</v>
      </c>
      <c r="D10" s="42" t="n">
        <v>1</v>
      </c>
      <c r="E10" s="42" t="n">
        <v>5</v>
      </c>
      <c r="F10" s="42" t="n">
        <v>2</v>
      </c>
    </row>
    <row r="11">
      <c r="A11" s="42" t="inlineStr">
        <is>
          <t>Texas State</t>
        </is>
      </c>
      <c r="B11" s="42" t="n">
        <v>2</v>
      </c>
      <c r="C11" s="42" t="n">
        <v>1</v>
      </c>
      <c r="D11" s="42" t="n">
        <v>0.667</v>
      </c>
      <c r="E11" s="42" t="n">
        <v>4</v>
      </c>
      <c r="F11" s="42" t="n">
        <v>3</v>
      </c>
    </row>
    <row r="12" ht="26.5" customHeight="1">
      <c r="A12" s="42" t="inlineStr">
        <is>
          <t>San Diego State</t>
        </is>
      </c>
      <c r="B12" s="42" t="n">
        <v>2</v>
      </c>
      <c r="C12" s="42" t="n">
        <v>2</v>
      </c>
      <c r="D12" s="42" t="n">
        <v>0.5</v>
      </c>
      <c r="E12" s="42" t="n">
        <v>3</v>
      </c>
      <c r="F12" s="42" t="n">
        <v>5</v>
      </c>
    </row>
    <row r="13">
      <c r="A13" s="42" t="inlineStr">
        <is>
          <t>Fresno State</t>
        </is>
      </c>
      <c r="B13" s="42" t="n">
        <v>1</v>
      </c>
      <c r="C13" s="42" t="n">
        <v>2</v>
      </c>
      <c r="D13" s="42" t="n">
        <v>0.333</v>
      </c>
      <c r="E13" s="42" t="n">
        <v>4</v>
      </c>
      <c r="F13" s="42" t="n">
        <v>3</v>
      </c>
    </row>
    <row r="14">
      <c r="A14" s="42" t="inlineStr">
        <is>
          <t>Colorado State</t>
        </is>
      </c>
      <c r="B14" s="42" t="n">
        <v>1</v>
      </c>
      <c r="C14" s="42" t="n">
        <v>2</v>
      </c>
      <c r="D14" s="42" t="n">
        <v>0.333</v>
      </c>
      <c r="E14" s="42" t="n">
        <v>3</v>
      </c>
      <c r="F14" s="42" t="n">
        <v>4</v>
      </c>
    </row>
    <row r="15">
      <c r="A15" s="42" t="inlineStr">
        <is>
          <t>Utah State</t>
        </is>
      </c>
      <c r="B15" s="42" t="n">
        <v>1</v>
      </c>
      <c r="C15" s="42" t="n">
        <v>2</v>
      </c>
      <c r="D15" s="42" t="n">
        <v>0.333</v>
      </c>
      <c r="E15" s="42" t="n">
        <v>2</v>
      </c>
      <c r="F15" s="42" t="n">
        <v>5</v>
      </c>
    </row>
    <row r="16">
      <c r="A16" s="42" t="inlineStr">
        <is>
          <t>Washington State</t>
        </is>
      </c>
      <c r="B16" s="42" t="n">
        <v>0</v>
      </c>
      <c r="C16" s="42" t="n">
        <v>4</v>
      </c>
      <c r="D16" s="42" t="n">
        <v>0</v>
      </c>
      <c r="E16" s="42" t="n">
        <v>1</v>
      </c>
      <c r="F16" s="42" t="n">
        <v>7</v>
      </c>
    </row>
    <row r="17" ht="26.5" customHeight="1"/>
    <row r="18" ht="26.25" customHeight="1">
      <c r="A18" s="41" t="inlineStr">
        <is>
          <t>Week 9</t>
        </is>
      </c>
    </row>
    <row r="19" ht="26.5" customHeight="1">
      <c r="A19" s="46" t="inlineStr">
        <is>
          <t>Week</t>
        </is>
      </c>
      <c r="B19" s="46" t="inlineStr">
        <is>
          <t>Date</t>
        </is>
      </c>
      <c r="C19" s="46" t="inlineStr">
        <is>
          <t>Home Conf</t>
        </is>
      </c>
      <c r="D19" s="46" t="inlineStr">
        <is>
          <t>Away Conf</t>
        </is>
      </c>
      <c r="E19" s="46" t="inlineStr">
        <is>
          <t>Away Team</t>
        </is>
      </c>
      <c r="F19" s="46" t="inlineStr">
        <is>
          <t>Home Team</t>
        </is>
      </c>
      <c r="G19" s="46" t="inlineStr">
        <is>
          <t>Model Line (Home)</t>
        </is>
      </c>
      <c r="H19" s="46" t="inlineStr">
        <is>
          <t>Market Line (Home)</t>
        </is>
      </c>
      <c r="I19" s="46" t="inlineStr">
        <is>
          <t>Spread Edge (pts)</t>
        </is>
      </c>
      <c r="J19" s="46" t="inlineStr">
        <is>
          <t>Ridge Line (Home)</t>
        </is>
      </c>
      <c r="K19" s="46" t="inlineStr">
        <is>
          <t>Massey Line (Home)</t>
        </is>
      </c>
      <c r="L19" s="46" t="inlineStr">
        <is>
          <t>Model Total</t>
        </is>
      </c>
      <c r="M19" s="46" t="inlineStr">
        <is>
          <t>Market Total</t>
        </is>
      </c>
      <c r="N19" s="46" t="inlineStr">
        <is>
          <t>Total Edge (pts)</t>
        </is>
      </c>
      <c r="O19" s="46" t="inlineStr">
        <is>
          <t>Away Pts</t>
        </is>
      </c>
      <c r="P19" s="46" t="inlineStr">
        <is>
          <t>Home Pts</t>
        </is>
      </c>
      <c r="Q19" s="46" t="inlineStr">
        <is>
          <t>Model Result (SU)</t>
        </is>
      </c>
      <c r="R19" s="46" t="inlineStr">
        <is>
          <t>XGBoost Line (Home)</t>
        </is>
      </c>
      <c r="S19" s="46" t="inlineStr">
        <is>
          <t>Gamma ATS</t>
        </is>
      </c>
      <c r="T19" s="46" t="inlineStr">
        <is>
          <t>Ridge ATS</t>
        </is>
      </c>
      <c r="U19" s="46" t="inlineStr">
        <is>
          <t>XGBoost ATS</t>
        </is>
      </c>
      <c r="V19" s="46" t="inlineStr">
        <is>
          <t>Massey ATS</t>
        </is>
      </c>
    </row>
    <row r="20">
      <c r="A20" s="42" t="n">
        <v>9</v>
      </c>
      <c r="B20" s="42" t="inlineStr">
        <is>
          <t>2026-10-31</t>
        </is>
      </c>
      <c r="C20" s="42" t="inlineStr">
        <is>
          <t>Pac-12</t>
        </is>
      </c>
      <c r="D20" s="42" t="inlineStr">
        <is>
          <t>Pac-12</t>
        </is>
      </c>
      <c r="E20" s="42" t="inlineStr">
        <is>
          <t>Washington State</t>
        </is>
      </c>
      <c r="F20" s="42" t="inlineStr">
        <is>
          <t>San Diego State</t>
        </is>
      </c>
      <c r="G20" s="42" t="n">
        <v>-1.6</v>
      </c>
      <c r="H20" s="42" t="n">
        <v>-3</v>
      </c>
      <c r="I20" s="42" t="n">
        <v>-1.4</v>
      </c>
      <c r="J20" s="42" t="n">
        <v>-3.7</v>
      </c>
      <c r="K20" s="42" t="n">
        <v>-1.3</v>
      </c>
      <c r="L20" s="42" t="n">
        <v>40.3</v>
      </c>
      <c r="M20" s="42" t="n">
        <v>48.5</v>
      </c>
      <c r="N20" s="47" t="n">
        <v>-8.199999999999999</v>
      </c>
      <c r="O20" s="42" t="n"/>
      <c r="P20" s="42" t="n"/>
      <c r="Q20" s="42" t="n"/>
      <c r="R20" s="42" t="n">
        <v>-6.2</v>
      </c>
      <c r="S20" s="51" t="n"/>
      <c r="T20" s="51" t="n"/>
      <c r="U20" s="51" t="n"/>
      <c r="V20" s="51" t="n"/>
    </row>
    <row r="21">
      <c r="A21" s="42" t="n">
        <v>9</v>
      </c>
      <c r="B21" s="42" t="inlineStr">
        <is>
          <t>2026-10-31</t>
        </is>
      </c>
      <c r="C21" s="42" t="inlineStr">
        <is>
          <t>Pac-12</t>
        </is>
      </c>
      <c r="D21" s="42" t="inlineStr">
        <is>
          <t>Pac-12</t>
        </is>
      </c>
      <c r="E21" s="42" t="inlineStr">
        <is>
          <t>Colorado State</t>
        </is>
      </c>
      <c r="F21" s="42" t="inlineStr">
        <is>
          <t>Utah State</t>
        </is>
      </c>
      <c r="G21" s="42" t="n">
        <v>-11.7</v>
      </c>
      <c r="H21" s="42" t="n">
        <v>-5.5</v>
      </c>
      <c r="I21" s="56" t="n">
        <v>6.2</v>
      </c>
      <c r="J21" s="42" t="n">
        <v>-5.9</v>
      </c>
      <c r="K21" s="42" t="n">
        <v>-3.4</v>
      </c>
      <c r="L21" s="42" t="n">
        <v>52</v>
      </c>
      <c r="M21" s="42" t="n">
        <v>63.5</v>
      </c>
      <c r="N21" s="47" t="n">
        <v>-11.5</v>
      </c>
      <c r="O21" s="42" t="n"/>
      <c r="P21" s="42" t="n"/>
      <c r="Q21" s="42" t="n"/>
      <c r="R21" s="42" t="n">
        <v>-5.3</v>
      </c>
      <c r="S21" s="51" t="n"/>
      <c r="T21" s="51" t="n"/>
      <c r="U21" s="51" t="n"/>
      <c r="V21" s="51" t="n"/>
    </row>
    <row r="22">
      <c r="A22" s="42" t="n">
        <v>9</v>
      </c>
      <c r="B22" s="42" t="inlineStr">
        <is>
          <t>2026-11-01</t>
        </is>
      </c>
      <c r="C22" s="42" t="inlineStr">
        <is>
          <t>Pac-12</t>
        </is>
      </c>
      <c r="D22" s="42" t="inlineStr">
        <is>
          <t>Pac-12</t>
        </is>
      </c>
      <c r="E22" s="42" t="inlineStr">
        <is>
          <t>Texas State</t>
        </is>
      </c>
      <c r="F22" s="42" t="inlineStr">
        <is>
          <t>Boise State</t>
        </is>
      </c>
      <c r="G22" s="42" t="n">
        <v>-12</v>
      </c>
      <c r="H22" s="42" t="n">
        <v>-11.5</v>
      </c>
      <c r="I22" s="42" t="n">
        <v>0.5</v>
      </c>
      <c r="J22" s="42" t="n">
        <v>-14</v>
      </c>
      <c r="K22" s="42" t="n">
        <v>-11</v>
      </c>
      <c r="L22" s="42" t="n">
        <v>61.9</v>
      </c>
      <c r="M22" s="42" t="n">
        <v>63.5</v>
      </c>
      <c r="N22" s="42" t="n">
        <v>-1.6</v>
      </c>
      <c r="O22" s="42" t="n"/>
      <c r="P22" s="42" t="n"/>
      <c r="Q22" s="42" t="n"/>
      <c r="R22" s="42" t="n">
        <v>-13</v>
      </c>
      <c r="S22" s="51" t="n"/>
      <c r="T22" s="51" t="n"/>
      <c r="U22" s="51" t="n"/>
      <c r="V22" s="51" t="n"/>
    </row>
    <row r="23" ht="15.75" customHeight="1">
      <c r="A23" s="42" t="n">
        <v>9</v>
      </c>
      <c r="B23" s="42" t="inlineStr">
        <is>
          <t>2026-11-01</t>
        </is>
      </c>
      <c r="C23" s="42" t="inlineStr">
        <is>
          <t>Pac-12</t>
        </is>
      </c>
      <c r="D23" s="42" t="inlineStr">
        <is>
          <t>Pac-12</t>
        </is>
      </c>
      <c r="E23" s="42" t="inlineStr">
        <is>
          <t>Oregon State</t>
        </is>
      </c>
      <c r="F23" s="42" t="inlineStr">
        <is>
          <t>Fresno State</t>
        </is>
      </c>
      <c r="G23" s="42" t="n">
        <v>1.1</v>
      </c>
      <c r="H23" s="42" t="n">
        <v>7</v>
      </c>
      <c r="I23" s="56" t="n">
        <v>5.9</v>
      </c>
      <c r="J23" s="42" t="n">
        <v>-4.9</v>
      </c>
      <c r="K23" s="42" t="n">
        <v>8</v>
      </c>
      <c r="L23" s="42" t="n">
        <v>51.1</v>
      </c>
      <c r="M23" s="42" t="n">
        <v>57.5</v>
      </c>
      <c r="N23" s="47" t="n">
        <v>-6.4</v>
      </c>
      <c r="O23" s="42" t="n"/>
      <c r="P23" s="42" t="n"/>
      <c r="Q23" s="42" t="n"/>
      <c r="R23" s="42" t="n">
        <v>-6.7</v>
      </c>
      <c r="S23" s="51" t="n"/>
      <c r="T23" s="51" t="n"/>
      <c r="U23" s="51" t="n"/>
      <c r="V23" s="51" t="n"/>
    </row>
    <row r="24" ht="26.25" customHeight="1"/>
    <row r="25" ht="26.5" customHeight="1">
      <c r="A25" s="41" t="inlineStr">
        <is>
          <t>Week 8</t>
        </is>
      </c>
    </row>
    <row r="26">
      <c r="A26" s="46" t="inlineStr">
        <is>
          <t>Week</t>
        </is>
      </c>
      <c r="B26" s="46" t="inlineStr">
        <is>
          <t>Date</t>
        </is>
      </c>
      <c r="C26" s="46" t="inlineStr">
        <is>
          <t>Home Conf</t>
        </is>
      </c>
      <c r="D26" s="46" t="inlineStr">
        <is>
          <t>Away Conf</t>
        </is>
      </c>
      <c r="E26" s="46" t="inlineStr">
        <is>
          <t>Away Team</t>
        </is>
      </c>
      <c r="F26" s="46" t="inlineStr">
        <is>
          <t>Home Team</t>
        </is>
      </c>
      <c r="G26" s="46" t="inlineStr">
        <is>
          <t>Model Line (Home)</t>
        </is>
      </c>
      <c r="H26" s="46" t="inlineStr">
        <is>
          <t>Market Line (Home)</t>
        </is>
      </c>
      <c r="I26" s="46" t="inlineStr">
        <is>
          <t>Spread Edge (pts)</t>
        </is>
      </c>
      <c r="J26" s="46" t="inlineStr">
        <is>
          <t>Ridge Line (Home)</t>
        </is>
      </c>
      <c r="K26" s="46" t="inlineStr">
        <is>
          <t>Massey Line (Home)</t>
        </is>
      </c>
      <c r="L26" s="46" t="inlineStr">
        <is>
          <t>Model Total</t>
        </is>
      </c>
      <c r="M26" s="46" t="inlineStr">
        <is>
          <t>Market Total</t>
        </is>
      </c>
      <c r="N26" s="46" t="inlineStr">
        <is>
          <t>Total Edge (pts)</t>
        </is>
      </c>
      <c r="O26" s="46" t="inlineStr">
        <is>
          <t>Away Pts</t>
        </is>
      </c>
      <c r="P26" s="46" t="inlineStr">
        <is>
          <t>Home Pts</t>
        </is>
      </c>
      <c r="Q26" s="46" t="inlineStr">
        <is>
          <t>Model Result (SU)</t>
        </is>
      </c>
      <c r="R26" s="46" t="inlineStr">
        <is>
          <t>XGBoost Line (Home)</t>
        </is>
      </c>
      <c r="S26" s="46" t="inlineStr">
        <is>
          <t>Gamma ATS</t>
        </is>
      </c>
      <c r="T26" s="46" t="inlineStr">
        <is>
          <t>Ridge ATS</t>
        </is>
      </c>
      <c r="U26" s="46" t="inlineStr">
        <is>
          <t>XGBoost ATS</t>
        </is>
      </c>
      <c r="V26" s="46" t="inlineStr">
        <is>
          <t>Massey ATS</t>
        </is>
      </c>
    </row>
    <row r="27">
      <c r="A27" s="42" t="n">
        <v>8</v>
      </c>
      <c r="B27" s="42" t="inlineStr">
        <is>
          <t>2026-10-24</t>
        </is>
      </c>
      <c r="C27" s="42" t="inlineStr">
        <is>
          <t>Pac-12</t>
        </is>
      </c>
      <c r="D27" s="42" t="inlineStr">
        <is>
          <t>Pac-12</t>
        </is>
      </c>
      <c r="E27" s="42" t="inlineStr">
        <is>
          <t>San Diego State</t>
        </is>
      </c>
      <c r="F27" s="42" t="inlineStr">
        <is>
          <t>Colorado State</t>
        </is>
      </c>
      <c r="G27" s="42" t="n">
        <v>9</v>
      </c>
      <c r="H27" s="42" t="n">
        <v>1.2</v>
      </c>
      <c r="I27" s="56" t="n">
        <v>-7.8</v>
      </c>
      <c r="J27" s="42" t="n">
        <v>4.6</v>
      </c>
      <c r="K27" s="42" t="n">
        <v>-3.2</v>
      </c>
      <c r="L27" s="42" t="n">
        <v>50.4</v>
      </c>
      <c r="M27" s="42" t="n">
        <v>61.5</v>
      </c>
      <c r="N27" s="47" t="n">
        <v>-11.1</v>
      </c>
      <c r="O27" s="42" t="n">
        <v>49</v>
      </c>
      <c r="P27" s="42" t="n">
        <v>56</v>
      </c>
      <c r="Q27" s="48" t="inlineStr">
        <is>
          <t>Loss</t>
        </is>
      </c>
      <c r="R27" s="42" t="n">
        <v>3.8</v>
      </c>
      <c r="S27" s="53" t="inlineStr">
        <is>
          <t>Loss</t>
        </is>
      </c>
      <c r="T27" s="53" t="inlineStr">
        <is>
          <t>Loss</t>
        </is>
      </c>
      <c r="U27" s="53" t="inlineStr">
        <is>
          <t>Loss</t>
        </is>
      </c>
      <c r="V27" s="52" t="inlineStr">
        <is>
          <t>Win</t>
        </is>
      </c>
    </row>
    <row r="28">
      <c r="A28" s="42" t="n">
        <v>8</v>
      </c>
      <c r="B28" s="42" t="inlineStr">
        <is>
          <t>2026-10-24</t>
        </is>
      </c>
      <c r="C28" s="42" t="inlineStr">
        <is>
          <t>Pac-12</t>
        </is>
      </c>
      <c r="D28" s="42" t="inlineStr">
        <is>
          <t>Pac-12</t>
        </is>
      </c>
      <c r="E28" s="42" t="inlineStr">
        <is>
          <t>Utah State</t>
        </is>
      </c>
      <c r="F28" s="42" t="inlineStr">
        <is>
          <t>Texas State</t>
        </is>
      </c>
      <c r="G28" s="42" t="n">
        <v>-0.2</v>
      </c>
      <c r="H28" s="42" t="n">
        <v>-13.5</v>
      </c>
      <c r="I28" s="56" t="n">
        <v>-13.3</v>
      </c>
      <c r="J28" s="42" t="n">
        <v>-10.1</v>
      </c>
      <c r="K28" s="42" t="n">
        <v>-11.2</v>
      </c>
      <c r="L28" s="42" t="n">
        <v>54.6</v>
      </c>
      <c r="M28" s="42" t="n">
        <v>61.2</v>
      </c>
      <c r="N28" s="47" t="n">
        <v>-6.7</v>
      </c>
      <c r="O28" s="42" t="n">
        <v>17</v>
      </c>
      <c r="P28" s="42" t="n">
        <v>20</v>
      </c>
      <c r="Q28" s="47" t="inlineStr">
        <is>
          <t>Win</t>
        </is>
      </c>
      <c r="R28" s="42" t="n">
        <v>-10.9</v>
      </c>
      <c r="S28" s="52" t="inlineStr">
        <is>
          <t>Win</t>
        </is>
      </c>
      <c r="T28" s="52" t="inlineStr">
        <is>
          <t>Win</t>
        </is>
      </c>
      <c r="U28" s="52" t="inlineStr">
        <is>
          <t>Win</t>
        </is>
      </c>
      <c r="V28" s="52" t="inlineStr">
        <is>
          <t>Win</t>
        </is>
      </c>
    </row>
    <row r="29">
      <c r="A29" s="42" t="n">
        <v>8</v>
      </c>
      <c r="B29" s="42" t="inlineStr">
        <is>
          <t>2026-10-24</t>
        </is>
      </c>
      <c r="C29" s="42" t="inlineStr">
        <is>
          <t>Pac-12</t>
        </is>
      </c>
      <c r="D29" s="42" t="inlineStr">
        <is>
          <t>Pac-12</t>
        </is>
      </c>
      <c r="E29" s="42" t="inlineStr">
        <is>
          <t>Boise State</t>
        </is>
      </c>
      <c r="F29" s="42" t="inlineStr">
        <is>
          <t>Washington State</t>
        </is>
      </c>
      <c r="G29" s="42" t="n">
        <v>8.1</v>
      </c>
      <c r="H29" s="42" t="n">
        <v>13.5</v>
      </c>
      <c r="I29" s="56" t="n">
        <v>5.4</v>
      </c>
      <c r="J29" s="42" t="n">
        <v>15.5</v>
      </c>
      <c r="K29" s="42" t="n">
        <v>12.7</v>
      </c>
      <c r="L29" s="42" t="n">
        <v>48.7</v>
      </c>
      <c r="M29" s="42" t="n">
        <v>53.5</v>
      </c>
      <c r="N29" s="47" t="n">
        <v>-4.8</v>
      </c>
      <c r="O29" s="42" t="n">
        <v>31</v>
      </c>
      <c r="P29" s="42" t="n">
        <v>10</v>
      </c>
      <c r="Q29" s="47" t="inlineStr">
        <is>
          <t>Win</t>
        </is>
      </c>
      <c r="R29" s="42" t="n">
        <v>12.3</v>
      </c>
      <c r="S29" s="53" t="inlineStr">
        <is>
          <t>Loss</t>
        </is>
      </c>
      <c r="T29" s="52" t="inlineStr">
        <is>
          <t>Win</t>
        </is>
      </c>
      <c r="U29" s="53" t="inlineStr">
        <is>
          <t>Loss</t>
        </is>
      </c>
      <c r="V29" s="52" t="inlineStr">
        <is>
          <t>Win</t>
        </is>
      </c>
    </row>
    <row r="30" ht="15.75" customHeight="1"/>
    <row r="31" ht="26.25" customHeight="1">
      <c r="A31" s="41" t="inlineStr">
        <is>
          <t>Week 7</t>
        </is>
      </c>
    </row>
    <row r="32">
      <c r="A32" s="46" t="inlineStr">
        <is>
          <t>Week</t>
        </is>
      </c>
      <c r="B32" s="46" t="inlineStr">
        <is>
          <t>Date</t>
        </is>
      </c>
      <c r="C32" s="46" t="inlineStr">
        <is>
          <t>Home Conf</t>
        </is>
      </c>
      <c r="D32" s="46" t="inlineStr">
        <is>
          <t>Away Conf</t>
        </is>
      </c>
      <c r="E32" s="46" t="inlineStr">
        <is>
          <t>Away Team</t>
        </is>
      </c>
      <c r="F32" s="46" t="inlineStr">
        <is>
          <t>Home Team</t>
        </is>
      </c>
      <c r="G32" s="46" t="inlineStr">
        <is>
          <t>Model Line (Home)</t>
        </is>
      </c>
      <c r="H32" s="46" t="inlineStr">
        <is>
          <t>Market Line (Home)</t>
        </is>
      </c>
      <c r="I32" s="46" t="inlineStr">
        <is>
          <t>Spread Edge (pts)</t>
        </is>
      </c>
      <c r="J32" s="46" t="inlineStr">
        <is>
          <t>Ridge Line (Home)</t>
        </is>
      </c>
      <c r="K32" s="46" t="inlineStr">
        <is>
          <t>Massey Line (Home)</t>
        </is>
      </c>
      <c r="L32" s="46" t="inlineStr">
        <is>
          <t>Model Total</t>
        </is>
      </c>
      <c r="M32" s="46" t="inlineStr">
        <is>
          <t>Market Total</t>
        </is>
      </c>
      <c r="N32" s="46" t="inlineStr">
        <is>
          <t>Total Edge (pts)</t>
        </is>
      </c>
      <c r="O32" s="46" t="inlineStr">
        <is>
          <t>Away Pts</t>
        </is>
      </c>
      <c r="P32" s="46" t="inlineStr">
        <is>
          <t>Home Pts</t>
        </is>
      </c>
      <c r="Q32" s="46" t="inlineStr">
        <is>
          <t>Model Result (SU)</t>
        </is>
      </c>
      <c r="R32" s="46" t="inlineStr">
        <is>
          <t>XGBoost Line (Home)</t>
        </is>
      </c>
      <c r="S32" s="46" t="inlineStr">
        <is>
          <t>Gamma ATS</t>
        </is>
      </c>
      <c r="T32" s="46" t="inlineStr">
        <is>
          <t>Ridge ATS</t>
        </is>
      </c>
      <c r="U32" s="46" t="inlineStr">
        <is>
          <t>XGBoost ATS</t>
        </is>
      </c>
      <c r="V32" s="46" t="inlineStr">
        <is>
          <t>Massey ATS</t>
        </is>
      </c>
    </row>
    <row r="33">
      <c r="A33" s="42" t="n">
        <v>7</v>
      </c>
      <c r="B33" s="42" t="inlineStr">
        <is>
          <t>2026-10-16</t>
        </is>
      </c>
      <c r="C33" s="42" t="inlineStr">
        <is>
          <t>Pac-12</t>
        </is>
      </c>
      <c r="D33" s="42" t="inlineStr">
        <is>
          <t>Pac-12</t>
        </is>
      </c>
      <c r="E33" s="42" t="inlineStr">
        <is>
          <t>Colorado State</t>
        </is>
      </c>
      <c r="F33" s="42" t="inlineStr">
        <is>
          <t>Texas State</t>
        </is>
      </c>
      <c r="G33" s="42" t="n">
        <v>-11.6</v>
      </c>
      <c r="H33" s="42" t="n">
        <v>-14.8</v>
      </c>
      <c r="I33" s="47" t="n">
        <v>-3.2</v>
      </c>
      <c r="J33" s="42" t="n">
        <v>-13.6</v>
      </c>
      <c r="K33" s="42" t="n">
        <v>-3.6</v>
      </c>
      <c r="L33" s="42" t="n">
        <v>60.9</v>
      </c>
      <c r="M33" s="42" t="n">
        <v>70.5</v>
      </c>
      <c r="N33" s="47" t="n">
        <v>-9.6</v>
      </c>
      <c r="O33" s="42" t="n">
        <v>27</v>
      </c>
      <c r="P33" s="42" t="n">
        <v>66</v>
      </c>
      <c r="Q33" s="47" t="inlineStr">
        <is>
          <t>Win</t>
        </is>
      </c>
      <c r="R33" s="42" t="n">
        <v>-15</v>
      </c>
      <c r="S33" s="53" t="inlineStr">
        <is>
          <t>Loss</t>
        </is>
      </c>
      <c r="T33" s="53" t="inlineStr">
        <is>
          <t>Loss</t>
        </is>
      </c>
      <c r="U33" s="52" t="inlineStr">
        <is>
          <t>Win</t>
        </is>
      </c>
      <c r="V33" s="53" t="inlineStr">
        <is>
          <t>Loss</t>
        </is>
      </c>
    </row>
    <row r="34">
      <c r="A34" s="42" t="n">
        <v>7</v>
      </c>
      <c r="B34" s="42" t="inlineStr">
        <is>
          <t>2026-10-17</t>
        </is>
      </c>
      <c r="C34" s="42" t="inlineStr">
        <is>
          <t>Pac-12</t>
        </is>
      </c>
      <c r="D34" s="42" t="inlineStr">
        <is>
          <t>Pac-12</t>
        </is>
      </c>
      <c r="E34" s="42" t="inlineStr">
        <is>
          <t>Washington State</t>
        </is>
      </c>
      <c r="F34" s="42" t="inlineStr">
        <is>
          <t>Oregon State</t>
        </is>
      </c>
      <c r="G34" s="42" t="n">
        <v>-6</v>
      </c>
      <c r="H34" s="42" t="n">
        <v>-18.2</v>
      </c>
      <c r="I34" s="56" t="n">
        <v>-12.2</v>
      </c>
      <c r="J34" s="42" t="n">
        <v>-5.7</v>
      </c>
      <c r="K34" s="42" t="n">
        <v>-21.2</v>
      </c>
      <c r="L34" s="42" t="n">
        <v>45.2</v>
      </c>
      <c r="M34" s="42" t="n">
        <v>52.5</v>
      </c>
      <c r="N34" s="47" t="n">
        <v>-7.3</v>
      </c>
      <c r="O34" s="42" t="n">
        <v>30</v>
      </c>
      <c r="P34" s="42" t="n">
        <v>48</v>
      </c>
      <c r="Q34" s="47" t="inlineStr">
        <is>
          <t>Win</t>
        </is>
      </c>
      <c r="R34" s="42" t="n">
        <v>-5.5</v>
      </c>
      <c r="S34" s="52" t="inlineStr">
        <is>
          <t>Win</t>
        </is>
      </c>
      <c r="T34" s="52" t="inlineStr">
        <is>
          <t>Win</t>
        </is>
      </c>
      <c r="U34" s="52" t="inlineStr">
        <is>
          <t>Win</t>
        </is>
      </c>
      <c r="V34" s="53" t="inlineStr">
        <is>
          <t>Loss</t>
        </is>
      </c>
    </row>
    <row r="35">
      <c r="A35" s="42" t="n">
        <v>7</v>
      </c>
      <c r="B35" s="42" t="inlineStr">
        <is>
          <t>2026-10-18</t>
        </is>
      </c>
      <c r="C35" s="42" t="inlineStr">
        <is>
          <t>Pac-12</t>
        </is>
      </c>
      <c r="D35" s="42" t="inlineStr">
        <is>
          <t>Pac-12</t>
        </is>
      </c>
      <c r="E35" s="42" t="inlineStr">
        <is>
          <t>Fresno State</t>
        </is>
      </c>
      <c r="F35" s="42" t="inlineStr">
        <is>
          <t>San Diego State</t>
        </is>
      </c>
      <c r="G35" s="42" t="n">
        <v>1.8</v>
      </c>
      <c r="H35" s="42" t="n">
        <v>7.5</v>
      </c>
      <c r="I35" s="56" t="n">
        <v>5.7</v>
      </c>
      <c r="J35" s="42" t="n">
        <v>6.3</v>
      </c>
      <c r="K35" s="42" t="n">
        <v>9.300000000000001</v>
      </c>
      <c r="L35" s="42" t="n">
        <v>42.6</v>
      </c>
      <c r="M35" s="42" t="n">
        <v>45.5</v>
      </c>
      <c r="N35" s="47" t="n">
        <v>-2.9</v>
      </c>
      <c r="O35" s="42" t="n">
        <v>23</v>
      </c>
      <c r="P35" s="42" t="n">
        <v>26</v>
      </c>
      <c r="Q35" s="48" t="inlineStr">
        <is>
          <t>Loss</t>
        </is>
      </c>
      <c r="R35" s="42" t="n">
        <v>5.2</v>
      </c>
      <c r="S35" s="52" t="inlineStr">
        <is>
          <t>Win</t>
        </is>
      </c>
      <c r="T35" s="52" t="inlineStr">
        <is>
          <t>Win</t>
        </is>
      </c>
      <c r="U35" s="52" t="inlineStr">
        <is>
          <t>Win</t>
        </is>
      </c>
      <c r="V35" s="53" t="inlineStr">
        <is>
          <t>Loss</t>
        </is>
      </c>
    </row>
    <row r="36" ht="15.75" customHeight="1"/>
    <row r="37" ht="26.25" customHeight="1">
      <c r="A37" s="41" t="inlineStr">
        <is>
          <t>Week 6</t>
        </is>
      </c>
    </row>
    <row r="38">
      <c r="A38" s="46" t="inlineStr">
        <is>
          <t>Week</t>
        </is>
      </c>
      <c r="B38" s="46" t="inlineStr">
        <is>
          <t>Date</t>
        </is>
      </c>
      <c r="C38" s="46" t="inlineStr">
        <is>
          <t>Home Conf</t>
        </is>
      </c>
      <c r="D38" s="46" t="inlineStr">
        <is>
          <t>Away Conf</t>
        </is>
      </c>
      <c r="E38" s="46" t="inlineStr">
        <is>
          <t>Away Team</t>
        </is>
      </c>
      <c r="F38" s="46" t="inlineStr">
        <is>
          <t>Home Team</t>
        </is>
      </c>
      <c r="G38" s="46" t="inlineStr">
        <is>
          <t>Model Line (Home)</t>
        </is>
      </c>
      <c r="H38" s="46" t="inlineStr">
        <is>
          <t>Market Line (Home)</t>
        </is>
      </c>
      <c r="I38" s="46" t="inlineStr">
        <is>
          <t>Spread Edge (pts)</t>
        </is>
      </c>
      <c r="J38" s="46" t="inlineStr">
        <is>
          <t>Ridge Line (Home)</t>
        </is>
      </c>
      <c r="K38" s="46" t="inlineStr">
        <is>
          <t>Massey Line (Home)</t>
        </is>
      </c>
      <c r="L38" s="46" t="inlineStr">
        <is>
          <t>Model Total</t>
        </is>
      </c>
      <c r="M38" s="46" t="inlineStr">
        <is>
          <t>Market Total</t>
        </is>
      </c>
      <c r="N38" s="46" t="inlineStr">
        <is>
          <t>Total Edge (pts)</t>
        </is>
      </c>
      <c r="O38" s="46" t="inlineStr">
        <is>
          <t>Away Pts</t>
        </is>
      </c>
      <c r="P38" s="46" t="inlineStr">
        <is>
          <t>Home Pts</t>
        </is>
      </c>
      <c r="Q38" s="46" t="inlineStr">
        <is>
          <t>Model Result (SU)</t>
        </is>
      </c>
      <c r="R38" s="46" t="inlineStr">
        <is>
          <t>XGBoost Line (Home)</t>
        </is>
      </c>
      <c r="S38" s="46" t="inlineStr">
        <is>
          <t>Gamma ATS</t>
        </is>
      </c>
      <c r="T38" s="46" t="inlineStr">
        <is>
          <t>Ridge ATS</t>
        </is>
      </c>
      <c r="U38" s="46" t="inlineStr">
        <is>
          <t>XGBoost ATS</t>
        </is>
      </c>
      <c r="V38" s="46" t="inlineStr">
        <is>
          <t>Massey ATS</t>
        </is>
      </c>
    </row>
    <row r="39">
      <c r="A39" s="42" t="n">
        <v>6</v>
      </c>
      <c r="B39" s="42" t="inlineStr">
        <is>
          <t>2026-10-10</t>
        </is>
      </c>
      <c r="C39" s="42" t="inlineStr">
        <is>
          <t>Pac-12</t>
        </is>
      </c>
      <c r="D39" s="42" t="inlineStr">
        <is>
          <t>Pac-12</t>
        </is>
      </c>
      <c r="E39" s="42" t="inlineStr">
        <is>
          <t>San Diego State</t>
        </is>
      </c>
      <c r="F39" s="42" t="inlineStr">
        <is>
          <t>Oregon State</t>
        </is>
      </c>
      <c r="G39" s="42" t="n">
        <v>-6.7</v>
      </c>
      <c r="H39" s="42" t="n">
        <v>-15.5</v>
      </c>
      <c r="I39" s="56" t="n">
        <v>-8.800000000000001</v>
      </c>
      <c r="J39" s="42" t="n">
        <v>-1.6</v>
      </c>
      <c r="K39" s="42" t="n">
        <v>-14.4</v>
      </c>
      <c r="L39" s="42" t="n">
        <v>47.8</v>
      </c>
      <c r="M39" s="42" t="n">
        <v>53.2</v>
      </c>
      <c r="N39" s="47" t="n">
        <v>-5.5</v>
      </c>
      <c r="O39" s="42" t="n">
        <v>14</v>
      </c>
      <c r="P39" s="42" t="n">
        <v>66</v>
      </c>
      <c r="Q39" s="47" t="inlineStr">
        <is>
          <t>Win</t>
        </is>
      </c>
      <c r="R39" s="42" t="n">
        <v>0.4</v>
      </c>
      <c r="S39" s="53" t="inlineStr">
        <is>
          <t>Loss</t>
        </is>
      </c>
      <c r="T39" s="53" t="inlineStr">
        <is>
          <t>Loss</t>
        </is>
      </c>
      <c r="U39" s="53" t="inlineStr">
        <is>
          <t>Loss</t>
        </is>
      </c>
      <c r="V39" s="53" t="inlineStr">
        <is>
          <t>Loss</t>
        </is>
      </c>
    </row>
    <row r="40">
      <c r="A40" s="42" t="n">
        <v>6</v>
      </c>
      <c r="B40" s="42" t="inlineStr">
        <is>
          <t>2026-10-10</t>
        </is>
      </c>
      <c r="C40" s="42" t="inlineStr">
        <is>
          <t>Pac-12</t>
        </is>
      </c>
      <c r="D40" s="42" t="inlineStr">
        <is>
          <t>Pac-12</t>
        </is>
      </c>
      <c r="E40" s="42" t="inlineStr">
        <is>
          <t>Washington State</t>
        </is>
      </c>
      <c r="F40" s="42" t="inlineStr">
        <is>
          <t>Utah State</t>
        </is>
      </c>
      <c r="G40" s="42" t="n">
        <v>-1.5</v>
      </c>
      <c r="H40" s="42" t="n">
        <v>-5.5</v>
      </c>
      <c r="I40" s="56" t="n">
        <v>-4</v>
      </c>
      <c r="J40" s="42" t="n">
        <v>-0.2</v>
      </c>
      <c r="K40" s="42" t="n">
        <v>-3.6</v>
      </c>
      <c r="L40" s="42" t="n">
        <v>40.4</v>
      </c>
      <c r="M40" s="42" t="n">
        <v>43.5</v>
      </c>
      <c r="N40" s="47" t="n">
        <v>-3.1</v>
      </c>
      <c r="O40" s="42" t="n">
        <v>16</v>
      </c>
      <c r="P40" s="42" t="n">
        <v>17</v>
      </c>
      <c r="Q40" s="47" t="inlineStr">
        <is>
          <t>Win</t>
        </is>
      </c>
      <c r="R40" s="42" t="n">
        <v>-1.3</v>
      </c>
      <c r="S40" s="52" t="inlineStr">
        <is>
          <t>Win</t>
        </is>
      </c>
      <c r="T40" s="52" t="inlineStr">
        <is>
          <t>Win</t>
        </is>
      </c>
      <c r="U40" s="52" t="inlineStr">
        <is>
          <t>Win</t>
        </is>
      </c>
      <c r="V40" s="52" t="inlineStr">
        <is>
          <t>Win</t>
        </is>
      </c>
    </row>
    <row r="41">
      <c r="A41" s="42" t="n">
        <v>6</v>
      </c>
      <c r="B41" s="42" t="inlineStr">
        <is>
          <t>2026-10-11</t>
        </is>
      </c>
      <c r="C41" s="42" t="inlineStr">
        <is>
          <t>Pac-12</t>
        </is>
      </c>
      <c r="D41" s="42" t="inlineStr">
        <is>
          <t>Pac-12</t>
        </is>
      </c>
      <c r="E41" s="42" t="inlineStr">
        <is>
          <t>Boise State</t>
        </is>
      </c>
      <c r="F41" s="42" t="inlineStr">
        <is>
          <t>Fresno State</t>
        </is>
      </c>
      <c r="G41" s="42" t="n">
        <v>6.8</v>
      </c>
      <c r="H41" s="42" t="n">
        <v>6.5</v>
      </c>
      <c r="I41" s="42" t="n">
        <v>-0.3</v>
      </c>
      <c r="J41" s="42" t="n">
        <v>3.1</v>
      </c>
      <c r="K41" s="42" t="n">
        <v>3</v>
      </c>
      <c r="L41" s="42" t="n">
        <v>48.3</v>
      </c>
      <c r="M41" s="42" t="n">
        <v>48.2</v>
      </c>
      <c r="N41" s="42" t="n">
        <v>0.1</v>
      </c>
      <c r="O41" s="42" t="n">
        <v>38</v>
      </c>
      <c r="P41" s="42" t="n">
        <v>31</v>
      </c>
      <c r="Q41" s="47" t="inlineStr">
        <is>
          <t>Win</t>
        </is>
      </c>
      <c r="R41" s="42" t="n">
        <v>3.6</v>
      </c>
      <c r="S41" s="52" t="inlineStr">
        <is>
          <t>Win</t>
        </is>
      </c>
      <c r="T41" s="53" t="inlineStr">
        <is>
          <t>Loss</t>
        </is>
      </c>
      <c r="U41" s="53" t="inlineStr">
        <is>
          <t>Loss</t>
        </is>
      </c>
      <c r="V41" s="53" t="inlineStr">
        <is>
          <t>Loss</t>
        </is>
      </c>
    </row>
    <row r="43">
      <c r="A43" s="41" t="inlineStr">
        <is>
          <t>Week 5</t>
        </is>
      </c>
    </row>
    <row r="44">
      <c r="A44" s="46" t="inlineStr">
        <is>
          <t>Week</t>
        </is>
      </c>
      <c r="B44" s="46" t="inlineStr">
        <is>
          <t>Date</t>
        </is>
      </c>
      <c r="C44" s="46" t="inlineStr">
        <is>
          <t>Home Conf</t>
        </is>
      </c>
      <c r="D44" s="46" t="inlineStr">
        <is>
          <t>Away Conf</t>
        </is>
      </c>
      <c r="E44" s="46" t="inlineStr">
        <is>
          <t>Away Team</t>
        </is>
      </c>
      <c r="F44" s="46" t="inlineStr">
        <is>
          <t>Home Team</t>
        </is>
      </c>
      <c r="G44" s="46" t="inlineStr">
        <is>
          <t>Model Line (Home)</t>
        </is>
      </c>
      <c r="H44" s="46" t="inlineStr">
        <is>
          <t>Market Line (Home)</t>
        </is>
      </c>
      <c r="I44" s="46" t="inlineStr">
        <is>
          <t>Spread Edge (pts)</t>
        </is>
      </c>
      <c r="J44" s="46" t="inlineStr">
        <is>
          <t>Ridge Line (Home)</t>
        </is>
      </c>
      <c r="K44" s="46" t="inlineStr">
        <is>
          <t>Massey Line (Home)</t>
        </is>
      </c>
      <c r="L44" s="46" t="inlineStr">
        <is>
          <t>Model Total</t>
        </is>
      </c>
      <c r="M44" s="46" t="inlineStr">
        <is>
          <t>Market Total</t>
        </is>
      </c>
      <c r="N44" s="46" t="inlineStr">
        <is>
          <t>Total Edge (pts)</t>
        </is>
      </c>
      <c r="O44" s="46" t="inlineStr">
        <is>
          <t>Away Pts</t>
        </is>
      </c>
      <c r="P44" s="46" t="inlineStr">
        <is>
          <t>Home Pts</t>
        </is>
      </c>
      <c r="Q44" s="46" t="inlineStr">
        <is>
          <t>Model Result (SU)</t>
        </is>
      </c>
      <c r="R44" s="46" t="inlineStr">
        <is>
          <t>XGBoost Line (Home)</t>
        </is>
      </c>
      <c r="S44" s="46" t="inlineStr">
        <is>
          <t>Gamma ATS</t>
        </is>
      </c>
      <c r="T44" s="46" t="inlineStr">
        <is>
          <t>Ridge ATS</t>
        </is>
      </c>
      <c r="U44" s="46" t="inlineStr">
        <is>
          <t>XGBoost ATS</t>
        </is>
      </c>
      <c r="V44" s="46" t="inlineStr">
        <is>
          <t>Massey ATS</t>
        </is>
      </c>
    </row>
    <row r="45">
      <c r="A45" s="42" t="n">
        <v>5</v>
      </c>
      <c r="B45" s="42" t="inlineStr">
        <is>
          <t>2026-10-03</t>
        </is>
      </c>
      <c r="C45" s="42" t="inlineStr">
        <is>
          <t>Pac-12</t>
        </is>
      </c>
      <c r="D45" s="42" t="inlineStr">
        <is>
          <t>Pac-12</t>
        </is>
      </c>
      <c r="E45" s="42" t="inlineStr">
        <is>
          <t>Utah State</t>
        </is>
      </c>
      <c r="F45" s="42" t="inlineStr">
        <is>
          <t>Boise State</t>
        </is>
      </c>
      <c r="G45" s="42" t="n">
        <v>-13.2</v>
      </c>
      <c r="H45" s="42" t="n">
        <v>-19.5</v>
      </c>
      <c r="I45" s="56" t="n">
        <v>-6.3</v>
      </c>
      <c r="J45" s="42" t="n">
        <v>-18.4</v>
      </c>
      <c r="K45" s="42" t="n">
        <v>-16</v>
      </c>
      <c r="L45" s="42" t="n">
        <v>49.5</v>
      </c>
      <c r="M45" s="42" t="n">
        <v>51</v>
      </c>
      <c r="N45" s="42" t="n">
        <v>-1.5</v>
      </c>
      <c r="O45" s="42" t="n">
        <v>18</v>
      </c>
      <c r="P45" s="42" t="n">
        <v>37</v>
      </c>
      <c r="Q45" s="47" t="inlineStr">
        <is>
          <t>Win</t>
        </is>
      </c>
      <c r="R45" s="42" t="n">
        <v>-15.8</v>
      </c>
      <c r="S45" s="52" t="inlineStr">
        <is>
          <t>Win</t>
        </is>
      </c>
      <c r="T45" s="52" t="inlineStr">
        <is>
          <t>Win</t>
        </is>
      </c>
      <c r="U45" s="52" t="inlineStr">
        <is>
          <t>Win</t>
        </is>
      </c>
      <c r="V45" s="52" t="inlineStr">
        <is>
          <t>Win</t>
        </is>
      </c>
    </row>
    <row r="46">
      <c r="A46" s="42" t="n">
        <v>5</v>
      </c>
      <c r="B46" s="42" t="inlineStr">
        <is>
          <t>2026-10-03</t>
        </is>
      </c>
      <c r="C46" s="42" t="inlineStr">
        <is>
          <t>Pac-12</t>
        </is>
      </c>
      <c r="D46" s="42" t="inlineStr">
        <is>
          <t>Pac-12</t>
        </is>
      </c>
      <c r="E46" s="42" t="inlineStr">
        <is>
          <t>Oregon State</t>
        </is>
      </c>
      <c r="F46" s="42" t="inlineStr">
        <is>
          <t>Colorado State</t>
        </is>
      </c>
      <c r="G46" s="42" t="n">
        <v>6.8</v>
      </c>
      <c r="H46" s="42" t="n">
        <v>7</v>
      </c>
      <c r="I46" s="42" t="n">
        <v>0.2</v>
      </c>
      <c r="J46" s="42" t="n">
        <v>-1.3</v>
      </c>
      <c r="K46" s="42" t="n">
        <v>0.8</v>
      </c>
      <c r="L46" s="42" t="n">
        <v>56.2</v>
      </c>
      <c r="M46" s="42" t="n">
        <v>61.5</v>
      </c>
      <c r="N46" s="47" t="n">
        <v>-5.3</v>
      </c>
      <c r="O46" s="42" t="n">
        <v>56</v>
      </c>
      <c r="P46" s="42" t="n">
        <v>26</v>
      </c>
      <c r="Q46" s="47" t="inlineStr">
        <is>
          <t>Win</t>
        </is>
      </c>
      <c r="R46" s="42" t="n">
        <v>-2.1</v>
      </c>
      <c r="S46" s="52" t="inlineStr">
        <is>
          <t>Win</t>
        </is>
      </c>
      <c r="T46" s="53" t="inlineStr">
        <is>
          <t>Loss</t>
        </is>
      </c>
      <c r="U46" s="53" t="inlineStr">
        <is>
          <t>Loss</t>
        </is>
      </c>
      <c r="V46" s="53" t="inlineStr">
        <is>
          <t>Loss</t>
        </is>
      </c>
    </row>
    <row r="47">
      <c r="A47" s="42" t="n">
        <v>5</v>
      </c>
      <c r="B47" s="42" t="inlineStr">
        <is>
          <t>2026-10-04</t>
        </is>
      </c>
      <c r="C47" s="42" t="inlineStr">
        <is>
          <t>Pac-12</t>
        </is>
      </c>
      <c r="D47" s="42" t="inlineStr">
        <is>
          <t>Pac-12</t>
        </is>
      </c>
      <c r="E47" s="42" t="inlineStr">
        <is>
          <t>Texas State</t>
        </is>
      </c>
      <c r="F47" s="42" t="inlineStr">
        <is>
          <t>San Diego State</t>
        </is>
      </c>
      <c r="G47" s="42" t="n">
        <v>2.1</v>
      </c>
      <c r="H47" s="42" t="n">
        <v>9.800000000000001</v>
      </c>
      <c r="I47" s="56" t="n">
        <v>7.7</v>
      </c>
      <c r="J47" s="42" t="n">
        <v>2.8</v>
      </c>
      <c r="K47" s="42" t="n">
        <v>1.1</v>
      </c>
      <c r="L47" s="42" t="n">
        <v>53.5</v>
      </c>
      <c r="M47" s="42" t="n">
        <v>57.5</v>
      </c>
      <c r="N47" s="47" t="n">
        <v>-4</v>
      </c>
      <c r="O47" s="42" t="n">
        <v>29</v>
      </c>
      <c r="P47" s="42" t="n">
        <v>31</v>
      </c>
      <c r="Q47" s="48" t="inlineStr">
        <is>
          <t>Loss</t>
        </is>
      </c>
      <c r="R47" s="42" t="n">
        <v>0.6</v>
      </c>
      <c r="S47" s="52" t="inlineStr">
        <is>
          <t>Win</t>
        </is>
      </c>
      <c r="T47" s="52" t="inlineStr">
        <is>
          <t>Win</t>
        </is>
      </c>
      <c r="U47" s="52" t="inlineStr">
        <is>
          <t>Win</t>
        </is>
      </c>
      <c r="V47" s="52" t="inlineStr">
        <is>
          <t>Win</t>
        </is>
      </c>
    </row>
    <row r="48">
      <c r="A48" s="42" t="n">
        <v>5</v>
      </c>
      <c r="B48" s="42" t="inlineStr">
        <is>
          <t>2026-10-04</t>
        </is>
      </c>
      <c r="C48" s="42" t="inlineStr">
        <is>
          <t>Pac-12</t>
        </is>
      </c>
      <c r="D48" s="42" t="inlineStr">
        <is>
          <t>Pac-12</t>
        </is>
      </c>
      <c r="E48" s="42" t="inlineStr">
        <is>
          <t>Fresno State</t>
        </is>
      </c>
      <c r="F48" s="42" t="inlineStr">
        <is>
          <t>Washington State</t>
        </is>
      </c>
      <c r="G48" s="42" t="n">
        <v>-7.2</v>
      </c>
      <c r="H48" s="42" t="n">
        <v>-2.2</v>
      </c>
      <c r="I48" s="56" t="n">
        <v>5</v>
      </c>
      <c r="J48" s="42" t="n">
        <v>2.5</v>
      </c>
      <c r="K48" s="42" t="n">
        <v>3</v>
      </c>
      <c r="L48" s="42" t="n">
        <v>41.4</v>
      </c>
      <c r="M48" s="42" t="n">
        <v>45</v>
      </c>
      <c r="N48" s="47" t="n">
        <v>-3.6</v>
      </c>
      <c r="O48" s="42" t="n">
        <v>26</v>
      </c>
      <c r="P48" s="42" t="n">
        <v>6</v>
      </c>
      <c r="Q48" s="48" t="inlineStr">
        <is>
          <t>Loss</t>
        </is>
      </c>
      <c r="R48" s="42" t="n">
        <v>-0.3</v>
      </c>
      <c r="S48" s="53" t="inlineStr">
        <is>
          <t>Loss</t>
        </is>
      </c>
      <c r="T48" s="52" t="inlineStr">
        <is>
          <t>Win</t>
        </is>
      </c>
      <c r="U48" s="52" t="inlineStr">
        <is>
          <t>Win</t>
        </is>
      </c>
      <c r="V48" s="52" t="inlineStr">
        <is>
          <t>Win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72"/>
  <sheetViews>
    <sheetView showGridLines="0" workbookViewId="0">
      <selection activeCell="K31" sqref="K3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SEC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38-41-0</t>
        </is>
      </c>
      <c r="C3" s="45" t="n">
        <v>0.481</v>
      </c>
    </row>
    <row r="4">
      <c r="A4" s="42" t="inlineStr">
        <is>
          <t>Weekly ATS (Wk 8)</t>
        </is>
      </c>
      <c r="B4" s="42" t="inlineStr">
        <is>
          <t>2-4-0</t>
        </is>
      </c>
      <c r="C4" s="45" t="n">
        <v>0.333</v>
      </c>
    </row>
    <row r="5">
      <c r="A5" s="42" t="inlineStr">
        <is>
          <t>Model pick W-L, straight-up (Wk 8)</t>
        </is>
      </c>
      <c r="B5" s="42" t="inlineStr">
        <is>
          <t>5-1</t>
        </is>
      </c>
      <c r="C5" s="45" t="n">
        <v>0.833</v>
      </c>
    </row>
    <row r="6" ht="15.65" customHeight="1"/>
    <row r="7" ht="15.65" customHeight="1">
      <c r="A7" s="41" t="inlineStr">
        <is>
          <t>SEC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Kentucky</t>
        </is>
      </c>
      <c r="B9" s="42" t="n">
        <v>5</v>
      </c>
      <c r="C9" s="42" t="n">
        <v>1</v>
      </c>
      <c r="D9" s="42" t="n">
        <v>0.833</v>
      </c>
      <c r="E9" s="42" t="n">
        <v>7</v>
      </c>
      <c r="F9" s="42" t="n">
        <v>1</v>
      </c>
    </row>
    <row r="10">
      <c r="A10" s="42" t="inlineStr">
        <is>
          <t>Georgia</t>
        </is>
      </c>
      <c r="B10" s="42" t="n">
        <v>4</v>
      </c>
      <c r="C10" s="42" t="n">
        <v>1</v>
      </c>
      <c r="D10" s="42" t="n">
        <v>0.8</v>
      </c>
      <c r="E10" s="42" t="n">
        <v>6</v>
      </c>
      <c r="F10" s="42" t="n">
        <v>1</v>
      </c>
    </row>
    <row r="11">
      <c r="A11" s="42" t="inlineStr">
        <is>
          <t>Alabama</t>
        </is>
      </c>
      <c r="B11" s="42" t="n">
        <v>4</v>
      </c>
      <c r="C11" s="42" t="n">
        <v>2</v>
      </c>
      <c r="D11" s="42" t="n">
        <v>0.667</v>
      </c>
      <c r="E11" s="42" t="n">
        <v>6</v>
      </c>
      <c r="F11" s="42" t="n">
        <v>2</v>
      </c>
    </row>
    <row r="12">
      <c r="A12" s="42" t="inlineStr">
        <is>
          <t>LSU</t>
        </is>
      </c>
      <c r="B12" s="42" t="n">
        <v>3</v>
      </c>
      <c r="C12" s="42" t="n">
        <v>2</v>
      </c>
      <c r="D12" s="42" t="n">
        <v>0.6</v>
      </c>
      <c r="E12" s="42" t="n">
        <v>6</v>
      </c>
      <c r="F12" s="42" t="n">
        <v>2</v>
      </c>
    </row>
    <row r="13">
      <c r="A13" s="42" t="inlineStr">
        <is>
          <t>Tennessee</t>
        </is>
      </c>
      <c r="B13" s="42" t="n">
        <v>3</v>
      </c>
      <c r="C13" s="42" t="n">
        <v>2</v>
      </c>
      <c r="D13" s="42" t="n">
        <v>0.6</v>
      </c>
      <c r="E13" s="42" t="n">
        <v>6</v>
      </c>
      <c r="F13" s="42" t="n">
        <v>2</v>
      </c>
    </row>
    <row r="14">
      <c r="A14" s="42" t="inlineStr">
        <is>
          <t>Florida</t>
        </is>
      </c>
      <c r="B14" s="42" t="n">
        <v>3</v>
      </c>
      <c r="C14" s="42" t="n">
        <v>2</v>
      </c>
      <c r="D14" s="42" t="n">
        <v>0.6</v>
      </c>
      <c r="E14" s="42" t="n">
        <v>5</v>
      </c>
      <c r="F14" s="42" t="n">
        <v>2</v>
      </c>
    </row>
    <row r="15">
      <c r="A15" s="42" t="inlineStr">
        <is>
          <t>Ole Miss</t>
        </is>
      </c>
      <c r="B15" s="42" t="n">
        <v>3</v>
      </c>
      <c r="C15" s="42" t="n">
        <v>2</v>
      </c>
      <c r="D15" s="42" t="n">
        <v>0.6</v>
      </c>
      <c r="E15" s="42" t="n">
        <v>5</v>
      </c>
      <c r="F15" s="42" t="n">
        <v>2</v>
      </c>
    </row>
    <row r="16">
      <c r="A16" s="42" t="inlineStr">
        <is>
          <t>Missouri</t>
        </is>
      </c>
      <c r="B16" s="42" t="n">
        <v>2</v>
      </c>
      <c r="C16" s="42" t="n">
        <v>2</v>
      </c>
      <c r="D16" s="42" t="n">
        <v>0.5</v>
      </c>
      <c r="E16" s="42" t="n">
        <v>5</v>
      </c>
      <c r="F16" s="42" t="n">
        <v>2</v>
      </c>
    </row>
    <row r="17">
      <c r="A17" s="42" t="inlineStr">
        <is>
          <t>Texas</t>
        </is>
      </c>
      <c r="B17" s="42" t="n">
        <v>2</v>
      </c>
      <c r="C17" s="42" t="n">
        <v>2</v>
      </c>
      <c r="D17" s="42" t="n">
        <v>0.5</v>
      </c>
      <c r="E17" s="42" t="n">
        <v>5</v>
      </c>
      <c r="F17" s="42" t="n">
        <v>2</v>
      </c>
    </row>
    <row r="18">
      <c r="A18" s="42" t="inlineStr">
        <is>
          <t>Oklahoma</t>
        </is>
      </c>
      <c r="B18" s="42" t="n">
        <v>2</v>
      </c>
      <c r="C18" s="42" t="n">
        <v>2</v>
      </c>
      <c r="D18" s="42" t="n">
        <v>0.5</v>
      </c>
      <c r="E18" s="42" t="n">
        <v>4</v>
      </c>
      <c r="F18" s="42" t="n">
        <v>3</v>
      </c>
    </row>
    <row r="19">
      <c r="A19" s="42" t="inlineStr">
        <is>
          <t>Auburn</t>
        </is>
      </c>
      <c r="B19" s="42" t="n">
        <v>2</v>
      </c>
      <c r="C19" s="42" t="n">
        <v>3</v>
      </c>
      <c r="D19" s="42" t="n">
        <v>0.4</v>
      </c>
      <c r="E19" s="42" t="n">
        <v>4</v>
      </c>
      <c r="F19" s="42" t="n">
        <v>3</v>
      </c>
    </row>
    <row r="20" ht="26.5" customHeight="1">
      <c r="A20" s="42" t="inlineStr">
        <is>
          <t>Mississippi State</t>
        </is>
      </c>
      <c r="B20" s="42" t="n">
        <v>2</v>
      </c>
      <c r="C20" s="42" t="n">
        <v>3</v>
      </c>
      <c r="D20" s="42" t="n">
        <v>0.4</v>
      </c>
      <c r="E20" s="42" t="n">
        <v>4</v>
      </c>
      <c r="F20" s="42" t="n">
        <v>3</v>
      </c>
    </row>
    <row r="21">
      <c r="A21" s="42" t="inlineStr">
        <is>
          <t>South Carolina</t>
        </is>
      </c>
      <c r="B21" s="42" t="n">
        <v>2</v>
      </c>
      <c r="C21" s="42" t="n">
        <v>3</v>
      </c>
      <c r="D21" s="42" t="n">
        <v>0.4</v>
      </c>
      <c r="E21" s="42" t="n">
        <v>4</v>
      </c>
      <c r="F21" s="42" t="n">
        <v>3</v>
      </c>
    </row>
    <row r="22">
      <c r="A22" s="42" t="inlineStr">
        <is>
          <t>Arkansas</t>
        </is>
      </c>
      <c r="B22" s="42" t="n">
        <v>1</v>
      </c>
      <c r="C22" s="42" t="n">
        <v>3</v>
      </c>
      <c r="D22" s="42" t="n">
        <v>0.25</v>
      </c>
      <c r="E22" s="42" t="n">
        <v>3</v>
      </c>
      <c r="F22" s="42" t="n">
        <v>4</v>
      </c>
    </row>
    <row r="23">
      <c r="A23" s="42" t="inlineStr">
        <is>
          <t>Texas A&amp;M</t>
        </is>
      </c>
      <c r="B23" s="42" t="n">
        <v>1</v>
      </c>
      <c r="C23" s="42" t="n">
        <v>4</v>
      </c>
      <c r="D23" s="42" t="n">
        <v>0.2</v>
      </c>
      <c r="E23" s="42" t="n">
        <v>4</v>
      </c>
      <c r="F23" s="42" t="n">
        <v>4</v>
      </c>
    </row>
    <row r="24">
      <c r="A24" s="42" t="inlineStr">
        <is>
          <t>Vanderbilt</t>
        </is>
      </c>
      <c r="B24" s="42" t="n">
        <v>0</v>
      </c>
      <c r="C24" s="42" t="n">
        <v>5</v>
      </c>
      <c r="D24" s="42" t="n">
        <v>0</v>
      </c>
      <c r="E24" s="42" t="n">
        <v>3</v>
      </c>
      <c r="F24" s="42" t="n">
        <v>5</v>
      </c>
    </row>
    <row r="25" ht="26.5" customHeight="1"/>
    <row r="26" ht="26.25" customHeight="1">
      <c r="A26" s="41" t="inlineStr">
        <is>
          <t>Week 9</t>
        </is>
      </c>
    </row>
    <row r="27" ht="26.5" customHeight="1">
      <c r="A27" s="46" t="inlineStr">
        <is>
          <t>Week</t>
        </is>
      </c>
      <c r="B27" s="46" t="inlineStr">
        <is>
          <t>Date</t>
        </is>
      </c>
      <c r="C27" s="46" t="inlineStr">
        <is>
          <t>Home Conf</t>
        </is>
      </c>
      <c r="D27" s="46" t="inlineStr">
        <is>
          <t>Away Conf</t>
        </is>
      </c>
      <c r="E27" s="46" t="inlineStr">
        <is>
          <t>Away Team</t>
        </is>
      </c>
      <c r="F27" s="46" t="inlineStr">
        <is>
          <t>Home Team</t>
        </is>
      </c>
      <c r="G27" s="46" t="inlineStr">
        <is>
          <t>Model Line (Home)</t>
        </is>
      </c>
      <c r="H27" s="46" t="inlineStr">
        <is>
          <t>Market Line (Home)</t>
        </is>
      </c>
      <c r="I27" s="46" t="inlineStr">
        <is>
          <t>Spread Edge (pts)</t>
        </is>
      </c>
      <c r="J27" s="46" t="inlineStr">
        <is>
          <t>Ridge Line (Home)</t>
        </is>
      </c>
      <c r="K27" s="46" t="inlineStr">
        <is>
          <t>Massey Line (Home)</t>
        </is>
      </c>
      <c r="L27" s="46" t="inlineStr">
        <is>
          <t>Model Total</t>
        </is>
      </c>
      <c r="M27" s="46" t="inlineStr">
        <is>
          <t>Market Total</t>
        </is>
      </c>
      <c r="N27" s="46" t="inlineStr">
        <is>
          <t>Total Edge (pts)</t>
        </is>
      </c>
      <c r="O27" s="46" t="inlineStr">
        <is>
          <t>Away Pts</t>
        </is>
      </c>
      <c r="P27" s="46" t="inlineStr">
        <is>
          <t>Home Pts</t>
        </is>
      </c>
      <c r="Q27" s="46" t="inlineStr">
        <is>
          <t>Model Result (SU)</t>
        </is>
      </c>
      <c r="R27" s="46" t="inlineStr">
        <is>
          <t>XGBoost Line (Home)</t>
        </is>
      </c>
      <c r="S27" s="46" t="inlineStr">
        <is>
          <t>Gamma ATS</t>
        </is>
      </c>
      <c r="T27" s="46" t="inlineStr">
        <is>
          <t>Ridge ATS</t>
        </is>
      </c>
      <c r="U27" s="46" t="inlineStr">
        <is>
          <t>XGBoost ATS</t>
        </is>
      </c>
      <c r="V27" s="46" t="inlineStr">
        <is>
          <t>Massey ATS</t>
        </is>
      </c>
    </row>
    <row r="28">
      <c r="A28" s="42" t="n">
        <v>9</v>
      </c>
      <c r="B28" s="42" t="inlineStr">
        <is>
          <t>2026-10-31</t>
        </is>
      </c>
      <c r="C28" s="42" t="inlineStr">
        <is>
          <t>SEC</t>
        </is>
      </c>
      <c r="D28" s="42" t="inlineStr">
        <is>
          <t>SEC</t>
        </is>
      </c>
      <c r="E28" s="42" t="inlineStr">
        <is>
          <t>Missouri</t>
        </is>
      </c>
      <c r="F28" s="42" t="inlineStr">
        <is>
          <t>Arkansas</t>
        </is>
      </c>
      <c r="G28" s="42" t="n">
        <v>6</v>
      </c>
      <c r="H28" s="42" t="n">
        <v>10</v>
      </c>
      <c r="I28" s="56" t="n">
        <v>4</v>
      </c>
      <c r="J28" s="42" t="n">
        <v>9.6</v>
      </c>
      <c r="K28" s="42" t="n">
        <v>8.300000000000001</v>
      </c>
      <c r="L28" s="42" t="n">
        <v>50.5</v>
      </c>
      <c r="M28" s="42" t="n">
        <v>48.5</v>
      </c>
      <c r="N28" s="47" t="n">
        <v>2</v>
      </c>
      <c r="O28" s="42" t="n"/>
      <c r="P28" s="42" t="n"/>
      <c r="Q28" s="42" t="n"/>
      <c r="R28" s="42" t="n">
        <v>9.6</v>
      </c>
      <c r="S28" s="51" t="n"/>
      <c r="T28" s="51" t="n"/>
      <c r="U28" s="51" t="n"/>
      <c r="V28" s="51" t="n"/>
    </row>
    <row r="29">
      <c r="A29" s="42" t="n">
        <v>9</v>
      </c>
      <c r="B29" s="42" t="inlineStr">
        <is>
          <t>2026-10-31</t>
        </is>
      </c>
      <c r="C29" s="42" t="inlineStr">
        <is>
          <t>SEC</t>
        </is>
      </c>
      <c r="D29" s="42" t="inlineStr">
        <is>
          <t>SEC</t>
        </is>
      </c>
      <c r="E29" s="42" t="inlineStr">
        <is>
          <t>Florida</t>
        </is>
      </c>
      <c r="F29" s="42" t="inlineStr">
        <is>
          <t>Georgia</t>
        </is>
      </c>
      <c r="G29" s="42" t="n">
        <v>-11.7</v>
      </c>
      <c r="H29" s="42" t="n">
        <v>-10.5</v>
      </c>
      <c r="I29" s="42" t="n">
        <v>1.2</v>
      </c>
      <c r="J29" s="42" t="n">
        <v>-13.4</v>
      </c>
      <c r="K29" s="42" t="n">
        <v>-8.1</v>
      </c>
      <c r="L29" s="42" t="n">
        <v>51.2</v>
      </c>
      <c r="M29" s="42" t="n">
        <v>56.5</v>
      </c>
      <c r="N29" s="47" t="n">
        <v>-5.3</v>
      </c>
      <c r="O29" s="42" t="n"/>
      <c r="P29" s="42" t="n"/>
      <c r="Q29" s="42" t="n"/>
      <c r="R29" s="42" t="n">
        <v>-16.9</v>
      </c>
      <c r="S29" s="51" t="n"/>
      <c r="T29" s="51" t="n"/>
      <c r="U29" s="51" t="n"/>
      <c r="V29" s="51" t="n"/>
    </row>
    <row r="30">
      <c r="A30" s="42" t="n">
        <v>9</v>
      </c>
      <c r="B30" s="42" t="inlineStr">
        <is>
          <t>2026-10-31</t>
        </is>
      </c>
      <c r="C30" s="42" t="inlineStr">
        <is>
          <t>SEC</t>
        </is>
      </c>
      <c r="D30" s="42" t="inlineStr">
        <is>
          <t>SEC</t>
        </is>
      </c>
      <c r="E30" s="42" t="inlineStr">
        <is>
          <t>South Carolina</t>
        </is>
      </c>
      <c r="F30" s="42" t="inlineStr">
        <is>
          <t>Oklahoma</t>
        </is>
      </c>
      <c r="G30" s="42" t="n">
        <v>-0.6</v>
      </c>
      <c r="H30" s="42" t="n">
        <v>-3.5</v>
      </c>
      <c r="I30" s="47" t="n">
        <v>-2.9</v>
      </c>
      <c r="J30" s="42" t="n">
        <v>-6.2</v>
      </c>
      <c r="K30" s="42" t="n">
        <v>0.1</v>
      </c>
      <c r="L30" s="42" t="n">
        <v>42.9</v>
      </c>
      <c r="M30" s="42" t="n">
        <v>44.5</v>
      </c>
      <c r="N30" s="42" t="n">
        <v>-1.6</v>
      </c>
      <c r="O30" s="42" t="n"/>
      <c r="P30" s="42" t="n"/>
      <c r="Q30" s="42" t="n"/>
      <c r="R30" s="42" t="n">
        <v>-6.6</v>
      </c>
      <c r="S30" s="51" t="n"/>
      <c r="T30" s="51" t="n"/>
      <c r="U30" s="51" t="n"/>
      <c r="V30" s="51" t="n"/>
    </row>
    <row r="31">
      <c r="A31" s="42" t="n">
        <v>9</v>
      </c>
      <c r="B31" s="42" t="inlineStr">
        <is>
          <t>2026-10-31</t>
        </is>
      </c>
      <c r="C31" s="42" t="inlineStr">
        <is>
          <t>SEC</t>
        </is>
      </c>
      <c r="D31" s="42" t="inlineStr">
        <is>
          <t>SEC</t>
        </is>
      </c>
      <c r="E31" s="42" t="inlineStr">
        <is>
          <t>Auburn</t>
        </is>
      </c>
      <c r="F31" s="42" t="inlineStr">
        <is>
          <t>Ole Miss</t>
        </is>
      </c>
      <c r="G31" s="42" t="n">
        <v>-14.7</v>
      </c>
      <c r="H31" s="42" t="n">
        <v>-13.5</v>
      </c>
      <c r="I31" s="42" t="n">
        <v>1.2</v>
      </c>
      <c r="J31" s="42" t="n">
        <v>-19.5</v>
      </c>
      <c r="K31" s="42" t="n">
        <v>-9.1</v>
      </c>
      <c r="L31" s="42" t="n">
        <v>50.8</v>
      </c>
      <c r="M31" s="42" t="n">
        <v>57.5</v>
      </c>
      <c r="N31" s="47" t="n">
        <v>-6.7</v>
      </c>
      <c r="O31" s="42" t="n"/>
      <c r="P31" s="42" t="n"/>
      <c r="Q31" s="42" t="n"/>
      <c r="R31" s="42" t="n">
        <v>-16.8</v>
      </c>
      <c r="S31" s="51" t="n"/>
      <c r="T31" s="51" t="n"/>
      <c r="U31" s="51" t="n"/>
      <c r="V31" s="51" t="n"/>
    </row>
    <row r="32">
      <c r="A32" s="42" t="n">
        <v>9</v>
      </c>
      <c r="B32" s="42" t="inlineStr">
        <is>
          <t>2026-10-31</t>
        </is>
      </c>
      <c r="C32" s="42" t="inlineStr">
        <is>
          <t>SEC</t>
        </is>
      </c>
      <c r="D32" s="42" t="inlineStr">
        <is>
          <t>SEC</t>
        </is>
      </c>
      <c r="E32" s="42" t="inlineStr">
        <is>
          <t>Mississippi State</t>
        </is>
      </c>
      <c r="F32" s="42" t="inlineStr">
        <is>
          <t>Texas</t>
        </is>
      </c>
      <c r="G32" s="42" t="n">
        <v>-16.9</v>
      </c>
      <c r="H32" s="42" t="n">
        <v>-21</v>
      </c>
      <c r="I32" s="56" t="n">
        <v>-4.1</v>
      </c>
      <c r="J32" s="42" t="n">
        <v>-24</v>
      </c>
      <c r="K32" s="42" t="n">
        <v>-10.9</v>
      </c>
      <c r="L32" s="42" t="n">
        <v>49.7</v>
      </c>
      <c r="M32" s="42" t="n">
        <v>50.5</v>
      </c>
      <c r="N32" s="42" t="n">
        <v>-0.8</v>
      </c>
      <c r="O32" s="42" t="n"/>
      <c r="P32" s="42" t="n"/>
      <c r="Q32" s="42" t="n"/>
      <c r="R32" s="42" t="n">
        <v>-19.1</v>
      </c>
      <c r="S32" s="51" t="n"/>
      <c r="T32" s="51" t="n"/>
      <c r="U32" s="51" t="n"/>
      <c r="V32" s="51" t="n"/>
    </row>
    <row r="34">
      <c r="A34" s="41" t="inlineStr">
        <is>
          <t>Week 8</t>
        </is>
      </c>
    </row>
    <row r="35" ht="15.75" customHeight="1">
      <c r="A35" s="46" t="inlineStr">
        <is>
          <t>Week</t>
        </is>
      </c>
      <c r="B35" s="46" t="inlineStr">
        <is>
          <t>Date</t>
        </is>
      </c>
      <c r="C35" s="46" t="inlineStr">
        <is>
          <t>Home Conf</t>
        </is>
      </c>
      <c r="D35" s="46" t="inlineStr">
        <is>
          <t>Away Conf</t>
        </is>
      </c>
      <c r="E35" s="46" t="inlineStr">
        <is>
          <t>Away Team</t>
        </is>
      </c>
      <c r="F35" s="46" t="inlineStr">
        <is>
          <t>Home Team</t>
        </is>
      </c>
      <c r="G35" s="46" t="inlineStr">
        <is>
          <t>Model Line (Home)</t>
        </is>
      </c>
      <c r="H35" s="46" t="inlineStr">
        <is>
          <t>Market Line (Home)</t>
        </is>
      </c>
      <c r="I35" s="46" t="inlineStr">
        <is>
          <t>Spread Edge (pts)</t>
        </is>
      </c>
      <c r="J35" s="46" t="inlineStr">
        <is>
          <t>Ridge Line (Home)</t>
        </is>
      </c>
      <c r="K35" s="46" t="inlineStr">
        <is>
          <t>Massey Line (Home)</t>
        </is>
      </c>
      <c r="L35" s="46" t="inlineStr">
        <is>
          <t>Model Total</t>
        </is>
      </c>
      <c r="M35" s="46" t="inlineStr">
        <is>
          <t>Market Total</t>
        </is>
      </c>
      <c r="N35" s="46" t="inlineStr">
        <is>
          <t>Total Edge (pts)</t>
        </is>
      </c>
      <c r="O35" s="46" t="inlineStr">
        <is>
          <t>Away Pts</t>
        </is>
      </c>
      <c r="P35" s="46" t="inlineStr">
        <is>
          <t>Home Pts</t>
        </is>
      </c>
      <c r="Q35" s="46" t="inlineStr">
        <is>
          <t>Model Result (SU)</t>
        </is>
      </c>
      <c r="R35" s="46" t="inlineStr">
        <is>
          <t>XGBoost Line (Home)</t>
        </is>
      </c>
      <c r="S35" s="46" t="inlineStr">
        <is>
          <t>Gamma ATS</t>
        </is>
      </c>
      <c r="T35" s="46" t="inlineStr">
        <is>
          <t>Ridge ATS</t>
        </is>
      </c>
      <c r="U35" s="46" t="inlineStr">
        <is>
          <t>XGBoost ATS</t>
        </is>
      </c>
      <c r="V35" s="46" t="inlineStr">
        <is>
          <t>Massey ATS</t>
        </is>
      </c>
    </row>
    <row r="36" ht="26.25" customHeight="1">
      <c r="A36" s="42" t="n">
        <v>8</v>
      </c>
      <c r="B36" s="42" t="inlineStr">
        <is>
          <t>2026-10-24</t>
        </is>
      </c>
      <c r="C36" s="42" t="inlineStr">
        <is>
          <t>SEC</t>
        </is>
      </c>
      <c r="D36" s="42" t="inlineStr">
        <is>
          <t>SEC</t>
        </is>
      </c>
      <c r="E36" s="42" t="inlineStr">
        <is>
          <t>Texas A&amp;M</t>
        </is>
      </c>
      <c r="F36" s="42" t="inlineStr">
        <is>
          <t>Alabama</t>
        </is>
      </c>
      <c r="G36" s="42" t="n">
        <v>-8.800000000000001</v>
      </c>
      <c r="H36" s="42" t="n">
        <v>-13.5</v>
      </c>
      <c r="I36" s="56" t="n">
        <v>-4.7</v>
      </c>
      <c r="J36" s="42" t="n">
        <v>-8.1</v>
      </c>
      <c r="K36" s="42" t="n">
        <v>-12.9</v>
      </c>
      <c r="L36" s="42" t="n">
        <v>46.3</v>
      </c>
      <c r="M36" s="42" t="n">
        <v>50.5</v>
      </c>
      <c r="N36" s="47" t="n">
        <v>-4.2</v>
      </c>
      <c r="O36" s="42" t="n">
        <v>20</v>
      </c>
      <c r="P36" s="42" t="n">
        <v>31</v>
      </c>
      <c r="Q36" s="47" t="inlineStr">
        <is>
          <t>Win</t>
        </is>
      </c>
      <c r="R36" s="42" t="n">
        <v>-9</v>
      </c>
      <c r="S36" s="52" t="inlineStr">
        <is>
          <t>Win</t>
        </is>
      </c>
      <c r="T36" s="52" t="inlineStr">
        <is>
          <t>Win</t>
        </is>
      </c>
      <c r="U36" s="52" t="inlineStr">
        <is>
          <t>Win</t>
        </is>
      </c>
      <c r="V36" s="53" t="inlineStr">
        <is>
          <t>Loss</t>
        </is>
      </c>
    </row>
    <row r="37" ht="26.5" customHeight="1">
      <c r="A37" s="42" t="n">
        <v>8</v>
      </c>
      <c r="B37" s="42" t="inlineStr">
        <is>
          <t>2026-10-24</t>
        </is>
      </c>
      <c r="C37" s="42" t="inlineStr">
        <is>
          <t>SEC</t>
        </is>
      </c>
      <c r="D37" s="42" t="inlineStr">
        <is>
          <t>SEC</t>
        </is>
      </c>
      <c r="E37" s="42" t="inlineStr">
        <is>
          <t>LSU</t>
        </is>
      </c>
      <c r="F37" s="42" t="inlineStr">
        <is>
          <t>Auburn</t>
        </is>
      </c>
      <c r="G37" s="42" t="n">
        <v>2.5</v>
      </c>
      <c r="H37" s="42" t="n">
        <v>7</v>
      </c>
      <c r="I37" s="56" t="n">
        <v>4.5</v>
      </c>
      <c r="J37" s="42" t="n">
        <v>8.5</v>
      </c>
      <c r="K37" s="42" t="n">
        <v>11</v>
      </c>
      <c r="L37" s="42" t="n">
        <v>43.9</v>
      </c>
      <c r="M37" s="42" t="n">
        <v>51.2</v>
      </c>
      <c r="N37" s="47" t="n">
        <v>-7.3</v>
      </c>
      <c r="O37" s="42" t="n">
        <v>38</v>
      </c>
      <c r="P37" s="42" t="n">
        <v>17</v>
      </c>
      <c r="Q37" s="47" t="inlineStr">
        <is>
          <t>Win</t>
        </is>
      </c>
      <c r="R37" s="42" t="n">
        <v>9.699999999999999</v>
      </c>
      <c r="S37" s="53" t="inlineStr">
        <is>
          <t>Loss</t>
        </is>
      </c>
      <c r="T37" s="52" t="inlineStr">
        <is>
          <t>Win</t>
        </is>
      </c>
      <c r="U37" s="52" t="inlineStr">
        <is>
          <t>Win</t>
        </is>
      </c>
      <c r="V37" s="52" t="inlineStr">
        <is>
          <t>Win</t>
        </is>
      </c>
    </row>
    <row r="38" ht="26.25" customHeight="1">
      <c r="A38" s="42" t="n">
        <v>8</v>
      </c>
      <c r="B38" s="42" t="inlineStr">
        <is>
          <t>2026-10-24</t>
        </is>
      </c>
      <c r="C38" s="42" t="inlineStr">
        <is>
          <t>SEC</t>
        </is>
      </c>
      <c r="D38" s="42" t="inlineStr">
        <is>
          <t>SEC</t>
        </is>
      </c>
      <c r="E38" s="42" t="inlineStr">
        <is>
          <t>Vanderbilt</t>
        </is>
      </c>
      <c r="F38" s="42" t="inlineStr">
        <is>
          <t>Kentucky</t>
        </is>
      </c>
      <c r="G38" s="42" t="n">
        <v>-1.8</v>
      </c>
      <c r="H38" s="42" t="n">
        <v>-10.8</v>
      </c>
      <c r="I38" s="56" t="n">
        <v>-9</v>
      </c>
      <c r="J38" s="42" t="n">
        <v>-6.7</v>
      </c>
      <c r="K38" s="42" t="n">
        <v>-16.8</v>
      </c>
      <c r="L38" s="42" t="n">
        <v>49.6</v>
      </c>
      <c r="M38" s="42" t="n">
        <v>52.2</v>
      </c>
      <c r="N38" s="47" t="n">
        <v>-2.7</v>
      </c>
      <c r="O38" s="42" t="n">
        <v>17</v>
      </c>
      <c r="P38" s="42" t="n">
        <v>34</v>
      </c>
      <c r="Q38" s="47" t="inlineStr">
        <is>
          <t>Win</t>
        </is>
      </c>
      <c r="R38" s="42" t="n">
        <v>-1.7</v>
      </c>
      <c r="S38" s="53" t="inlineStr">
        <is>
          <t>Loss</t>
        </is>
      </c>
      <c r="T38" s="53" t="inlineStr">
        <is>
          <t>Loss</t>
        </is>
      </c>
      <c r="U38" s="53" t="inlineStr">
        <is>
          <t>Loss</t>
        </is>
      </c>
      <c r="V38" s="52" t="inlineStr">
        <is>
          <t>Win</t>
        </is>
      </c>
    </row>
    <row r="39">
      <c r="A39" s="42" t="n">
        <v>8</v>
      </c>
      <c r="B39" s="42" t="inlineStr">
        <is>
          <t>2026-10-24</t>
        </is>
      </c>
      <c r="C39" s="42" t="inlineStr">
        <is>
          <t>SEC</t>
        </is>
      </c>
      <c r="D39" s="42" t="inlineStr">
        <is>
          <t>SEC</t>
        </is>
      </c>
      <c r="E39" s="42" t="inlineStr">
        <is>
          <t>Oklahoma</t>
        </is>
      </c>
      <c r="F39" s="42" t="inlineStr">
        <is>
          <t>Mississippi State</t>
        </is>
      </c>
      <c r="G39" s="42" t="n">
        <v>10.3</v>
      </c>
      <c r="H39" s="42" t="n">
        <v>3.2</v>
      </c>
      <c r="I39" s="56" t="n">
        <v>-7.1</v>
      </c>
      <c r="J39" s="42" t="n">
        <v>5.3</v>
      </c>
      <c r="K39" s="42" t="n">
        <v>-4.3</v>
      </c>
      <c r="L39" s="42" t="n">
        <v>45.2</v>
      </c>
      <c r="M39" s="42" t="n">
        <v>46.5</v>
      </c>
      <c r="N39" s="42" t="n">
        <v>-1.3</v>
      </c>
      <c r="O39" s="42" t="n">
        <v>23</v>
      </c>
      <c r="P39" s="42" t="n">
        <v>15</v>
      </c>
      <c r="Q39" s="47" t="inlineStr">
        <is>
          <t>Win</t>
        </is>
      </c>
      <c r="R39" s="42" t="n">
        <v>5.7</v>
      </c>
      <c r="S39" s="52" t="inlineStr">
        <is>
          <t>Win</t>
        </is>
      </c>
      <c r="T39" s="52" t="inlineStr">
        <is>
          <t>Win</t>
        </is>
      </c>
      <c r="U39" s="52" t="inlineStr">
        <is>
          <t>Win</t>
        </is>
      </c>
      <c r="V39" s="53" t="inlineStr">
        <is>
          <t>Loss</t>
        </is>
      </c>
    </row>
    <row r="40">
      <c r="A40" s="42" t="n">
        <v>8</v>
      </c>
      <c r="B40" s="42" t="inlineStr">
        <is>
          <t>2026-10-24</t>
        </is>
      </c>
      <c r="C40" s="42" t="inlineStr">
        <is>
          <t>SEC</t>
        </is>
      </c>
      <c r="D40" s="42" t="inlineStr">
        <is>
          <t>SEC</t>
        </is>
      </c>
      <c r="E40" s="42" t="inlineStr">
        <is>
          <t>Tennessee</t>
        </is>
      </c>
      <c r="F40" s="42" t="inlineStr">
        <is>
          <t>South Carolina</t>
        </is>
      </c>
      <c r="G40" s="42" t="n">
        <v>7.7</v>
      </c>
      <c r="H40" s="42" t="n">
        <v>-2.5</v>
      </c>
      <c r="I40" s="56" t="n">
        <v>-10.2</v>
      </c>
      <c r="J40" s="42" t="n">
        <v>8</v>
      </c>
      <c r="K40" s="42" t="n">
        <v>2.8</v>
      </c>
      <c r="L40" s="42" t="n">
        <v>50.8</v>
      </c>
      <c r="M40" s="42" t="n">
        <v>50.5</v>
      </c>
      <c r="N40" s="42" t="n">
        <v>0.3</v>
      </c>
      <c r="O40" s="42" t="n">
        <v>24</v>
      </c>
      <c r="P40" s="42" t="n">
        <v>27</v>
      </c>
      <c r="Q40" s="48" t="inlineStr">
        <is>
          <t>Loss</t>
        </is>
      </c>
      <c r="R40" s="42" t="n">
        <v>2</v>
      </c>
      <c r="S40" s="53" t="inlineStr">
        <is>
          <t>Loss</t>
        </is>
      </c>
      <c r="T40" s="53" t="inlineStr">
        <is>
          <t>Loss</t>
        </is>
      </c>
      <c r="U40" s="53" t="inlineStr">
        <is>
          <t>Loss</t>
        </is>
      </c>
      <c r="V40" s="53" t="inlineStr">
        <is>
          <t>Loss</t>
        </is>
      </c>
    </row>
    <row r="41">
      <c r="A41" s="42" t="n">
        <v>8</v>
      </c>
      <c r="B41" s="42" t="inlineStr">
        <is>
          <t>2026-10-24</t>
        </is>
      </c>
      <c r="C41" s="42" t="inlineStr">
        <is>
          <t>SEC</t>
        </is>
      </c>
      <c r="D41" s="42" t="inlineStr">
        <is>
          <t>SEC</t>
        </is>
      </c>
      <c r="E41" s="42" t="inlineStr">
        <is>
          <t>Ole Miss</t>
        </is>
      </c>
      <c r="F41" s="42" t="inlineStr">
        <is>
          <t>Texas</t>
        </is>
      </c>
      <c r="G41" s="42" t="n">
        <v>-0.4</v>
      </c>
      <c r="H41" s="42" t="n">
        <v>-3</v>
      </c>
      <c r="I41" s="47" t="n">
        <v>-2.6</v>
      </c>
      <c r="J41" s="42" t="n">
        <v>-4.3</v>
      </c>
      <c r="K41" s="42" t="n">
        <v>-3.9</v>
      </c>
      <c r="L41" s="42" t="n">
        <v>50.1</v>
      </c>
      <c r="M41" s="42" t="n">
        <v>53.8</v>
      </c>
      <c r="N41" s="47" t="n">
        <v>-3.7</v>
      </c>
      <c r="O41" s="42" t="n">
        <v>27</v>
      </c>
      <c r="P41" s="42" t="n">
        <v>34</v>
      </c>
      <c r="Q41" s="47" t="inlineStr">
        <is>
          <t>Win</t>
        </is>
      </c>
      <c r="R41" s="42" t="n">
        <v>-4.6</v>
      </c>
      <c r="S41" s="53" t="inlineStr">
        <is>
          <t>Loss</t>
        </is>
      </c>
      <c r="T41" s="52" t="inlineStr">
        <is>
          <t>Win</t>
        </is>
      </c>
      <c r="U41" s="52" t="inlineStr">
        <is>
          <t>Win</t>
        </is>
      </c>
      <c r="V41" s="52" t="inlineStr">
        <is>
          <t>Win</t>
        </is>
      </c>
    </row>
    <row r="43">
      <c r="A43" s="41" t="inlineStr">
        <is>
          <t>Week 7</t>
        </is>
      </c>
    </row>
    <row r="44">
      <c r="A44" s="46" t="inlineStr">
        <is>
          <t>Week</t>
        </is>
      </c>
      <c r="B44" s="46" t="inlineStr">
        <is>
          <t>Date</t>
        </is>
      </c>
      <c r="C44" s="46" t="inlineStr">
        <is>
          <t>Home Conf</t>
        </is>
      </c>
      <c r="D44" s="46" t="inlineStr">
        <is>
          <t>Away Conf</t>
        </is>
      </c>
      <c r="E44" s="46" t="inlineStr">
        <is>
          <t>Away Team</t>
        </is>
      </c>
      <c r="F44" s="46" t="inlineStr">
        <is>
          <t>Home Team</t>
        </is>
      </c>
      <c r="G44" s="46" t="inlineStr">
        <is>
          <t>Model Line (Home)</t>
        </is>
      </c>
      <c r="H44" s="46" t="inlineStr">
        <is>
          <t>Market Line (Home)</t>
        </is>
      </c>
      <c r="I44" s="46" t="inlineStr">
        <is>
          <t>Spread Edge (pts)</t>
        </is>
      </c>
      <c r="J44" s="46" t="inlineStr">
        <is>
          <t>Ridge Line (Home)</t>
        </is>
      </c>
      <c r="K44" s="46" t="inlineStr">
        <is>
          <t>Massey Line (Home)</t>
        </is>
      </c>
      <c r="L44" s="46" t="inlineStr">
        <is>
          <t>Model Total</t>
        </is>
      </c>
      <c r="M44" s="46" t="inlineStr">
        <is>
          <t>Market Total</t>
        </is>
      </c>
      <c r="N44" s="46" t="inlineStr">
        <is>
          <t>Total Edge (pts)</t>
        </is>
      </c>
      <c r="O44" s="46" t="inlineStr">
        <is>
          <t>Away Pts</t>
        </is>
      </c>
      <c r="P44" s="46" t="inlineStr">
        <is>
          <t>Home Pts</t>
        </is>
      </c>
      <c r="Q44" s="46" t="inlineStr">
        <is>
          <t>Model Result (SU)</t>
        </is>
      </c>
      <c r="R44" s="46" t="inlineStr">
        <is>
          <t>XGBoost Line (Home)</t>
        </is>
      </c>
      <c r="S44" s="46" t="inlineStr">
        <is>
          <t>Gamma ATS</t>
        </is>
      </c>
      <c r="T44" s="46" t="inlineStr">
        <is>
          <t>Ridge ATS</t>
        </is>
      </c>
      <c r="U44" s="46" t="inlineStr">
        <is>
          <t>XGBoost ATS</t>
        </is>
      </c>
      <c r="V44" s="46" t="inlineStr">
        <is>
          <t>Massey ATS</t>
        </is>
      </c>
    </row>
    <row r="45">
      <c r="A45" s="42" t="n">
        <v>7</v>
      </c>
      <c r="B45" s="42" t="inlineStr">
        <is>
          <t>2026-10-17</t>
        </is>
      </c>
      <c r="C45" s="42" t="inlineStr">
        <is>
          <t>SEC</t>
        </is>
      </c>
      <c r="D45" s="42" t="inlineStr">
        <is>
          <t>SEC</t>
        </is>
      </c>
      <c r="E45" s="42" t="inlineStr">
        <is>
          <t>Auburn</t>
        </is>
      </c>
      <c r="F45" s="42" t="inlineStr">
        <is>
          <t>Georgia</t>
        </is>
      </c>
      <c r="G45" s="42" t="n">
        <v>-19</v>
      </c>
      <c r="H45" s="42" t="n">
        <v>-21</v>
      </c>
      <c r="I45" s="47" t="n">
        <v>-2</v>
      </c>
      <c r="J45" s="42" t="n">
        <v>-29.9</v>
      </c>
      <c r="K45" s="42" t="n">
        <v>-19.9</v>
      </c>
      <c r="L45" s="42" t="n">
        <v>48.5</v>
      </c>
      <c r="M45" s="42" t="n">
        <v>49.5</v>
      </c>
      <c r="N45" s="42" t="n">
        <v>-1</v>
      </c>
      <c r="O45" s="42" t="n">
        <v>27</v>
      </c>
      <c r="P45" s="42" t="n">
        <v>24</v>
      </c>
      <c r="Q45" s="48" t="inlineStr">
        <is>
          <t>Loss</t>
        </is>
      </c>
      <c r="R45" s="42" t="n">
        <v>-25.7</v>
      </c>
      <c r="S45" s="52" t="inlineStr">
        <is>
          <t>Win</t>
        </is>
      </c>
      <c r="T45" s="53" t="inlineStr">
        <is>
          <t>Loss</t>
        </is>
      </c>
      <c r="U45" s="53" t="inlineStr">
        <is>
          <t>Loss</t>
        </is>
      </c>
      <c r="V45" s="52" t="inlineStr">
        <is>
          <t>Win</t>
        </is>
      </c>
    </row>
    <row r="46" ht="15.75" customHeight="1">
      <c r="A46" s="42" t="n">
        <v>7</v>
      </c>
      <c r="B46" s="42" t="inlineStr">
        <is>
          <t>2026-10-17</t>
        </is>
      </c>
      <c r="C46" s="42" t="inlineStr">
        <is>
          <t>SEC</t>
        </is>
      </c>
      <c r="D46" s="42" t="inlineStr">
        <is>
          <t>SEC</t>
        </is>
      </c>
      <c r="E46" s="42" t="inlineStr">
        <is>
          <t>Mississippi State</t>
        </is>
      </c>
      <c r="F46" s="42" t="inlineStr">
        <is>
          <t>LSU</t>
        </is>
      </c>
      <c r="G46" s="42" t="n">
        <v>-17.1</v>
      </c>
      <c r="H46" s="42" t="n">
        <v>-14.5</v>
      </c>
      <c r="I46" s="47" t="n">
        <v>2.6</v>
      </c>
      <c r="J46" s="42" t="n">
        <v>-12</v>
      </c>
      <c r="K46" s="42" t="n">
        <v>-9.699999999999999</v>
      </c>
      <c r="L46" s="42" t="n">
        <v>51.9</v>
      </c>
      <c r="M46" s="42" t="n">
        <v>57.8</v>
      </c>
      <c r="N46" s="47" t="n">
        <v>-5.8</v>
      </c>
      <c r="O46" s="42" t="n">
        <v>0</v>
      </c>
      <c r="P46" s="42" t="n">
        <v>31</v>
      </c>
      <c r="Q46" s="47" t="inlineStr">
        <is>
          <t>Win</t>
        </is>
      </c>
      <c r="R46" s="42" t="n">
        <v>-11.1</v>
      </c>
      <c r="S46" s="52" t="inlineStr">
        <is>
          <t>Win</t>
        </is>
      </c>
      <c r="T46" s="53" t="inlineStr">
        <is>
          <t>Loss</t>
        </is>
      </c>
      <c r="U46" s="53" t="inlineStr">
        <is>
          <t>Loss</t>
        </is>
      </c>
      <c r="V46" s="53" t="inlineStr">
        <is>
          <t>Loss</t>
        </is>
      </c>
    </row>
    <row r="47" ht="15.75" customHeight="1">
      <c r="A47" s="42" t="n">
        <v>7</v>
      </c>
      <c r="B47" s="42" t="inlineStr">
        <is>
          <t>2026-10-17</t>
        </is>
      </c>
      <c r="C47" s="42" t="inlineStr">
        <is>
          <t>SEC</t>
        </is>
      </c>
      <c r="D47" s="42" t="inlineStr">
        <is>
          <t>SEC</t>
        </is>
      </c>
      <c r="E47" s="42" t="inlineStr">
        <is>
          <t>Kentucky</t>
        </is>
      </c>
      <c r="F47" s="42" t="inlineStr">
        <is>
          <t>Oklahoma</t>
        </is>
      </c>
      <c r="G47" s="42" t="n">
        <v>-10.3</v>
      </c>
      <c r="H47" s="42" t="n">
        <v>-6.5</v>
      </c>
      <c r="I47" s="47" t="n">
        <v>3.8</v>
      </c>
      <c r="J47" s="42" t="n">
        <v>-10.5</v>
      </c>
      <c r="K47" s="42" t="n">
        <v>-1.2</v>
      </c>
      <c r="L47" s="42" t="n">
        <v>41.2</v>
      </c>
      <c r="M47" s="42" t="n">
        <v>43.5</v>
      </c>
      <c r="N47" s="47" t="n">
        <v>-2.3</v>
      </c>
      <c r="O47" s="42" t="n">
        <v>21</v>
      </c>
      <c r="P47" s="42" t="n">
        <v>13</v>
      </c>
      <c r="Q47" s="48" t="inlineStr">
        <is>
          <t>Loss</t>
        </is>
      </c>
      <c r="R47" s="42" t="n">
        <v>-13.3</v>
      </c>
      <c r="S47" s="53" t="inlineStr">
        <is>
          <t>Loss</t>
        </is>
      </c>
      <c r="T47" s="53" t="inlineStr">
        <is>
          <t>Loss</t>
        </is>
      </c>
      <c r="U47" s="53" t="inlineStr">
        <is>
          <t>Loss</t>
        </is>
      </c>
      <c r="V47" s="52" t="inlineStr">
        <is>
          <t>Win</t>
        </is>
      </c>
    </row>
    <row r="48" ht="26.25" customHeight="1">
      <c r="A48" s="42" t="n">
        <v>7</v>
      </c>
      <c r="B48" s="42" t="inlineStr">
        <is>
          <t>2026-10-17</t>
        </is>
      </c>
      <c r="C48" s="42" t="inlineStr">
        <is>
          <t>SEC</t>
        </is>
      </c>
      <c r="D48" s="42" t="inlineStr">
        <is>
          <t>SEC</t>
        </is>
      </c>
      <c r="E48" s="42" t="inlineStr">
        <is>
          <t>Missouri</t>
        </is>
      </c>
      <c r="F48" s="42" t="inlineStr">
        <is>
          <t>Ole Miss</t>
        </is>
      </c>
      <c r="G48" s="42" t="n">
        <v>-6.9</v>
      </c>
      <c r="H48" s="42" t="n">
        <v>-5.2</v>
      </c>
      <c r="I48" s="42" t="n">
        <v>1.7</v>
      </c>
      <c r="J48" s="42" t="n">
        <v>-7.7</v>
      </c>
      <c r="K48" s="42" t="n">
        <v>3.7</v>
      </c>
      <c r="L48" s="42" t="n">
        <v>52.4</v>
      </c>
      <c r="M48" s="42" t="n">
        <v>58.8</v>
      </c>
      <c r="N48" s="47" t="n">
        <v>-6.3</v>
      </c>
      <c r="O48" s="42" t="n">
        <v>3</v>
      </c>
      <c r="P48" s="42" t="n">
        <v>31</v>
      </c>
      <c r="Q48" s="47" t="inlineStr">
        <is>
          <t>Win</t>
        </is>
      </c>
      <c r="R48" s="42" t="n">
        <v>-10.3</v>
      </c>
      <c r="S48" s="52" t="inlineStr">
        <is>
          <t>Win</t>
        </is>
      </c>
      <c r="T48" s="52" t="inlineStr">
        <is>
          <t>Win</t>
        </is>
      </c>
      <c r="U48" s="52" t="inlineStr">
        <is>
          <t>Win</t>
        </is>
      </c>
      <c r="V48" s="53" t="inlineStr">
        <is>
          <t>Loss</t>
        </is>
      </c>
    </row>
    <row r="49">
      <c r="A49" s="42" t="n">
        <v>7</v>
      </c>
      <c r="B49" s="42" t="inlineStr">
        <is>
          <t>2026-10-17</t>
        </is>
      </c>
      <c r="C49" s="42" t="inlineStr">
        <is>
          <t>SEC</t>
        </is>
      </c>
      <c r="D49" s="42" t="inlineStr">
        <is>
          <t>SEC</t>
        </is>
      </c>
      <c r="E49" s="42" t="inlineStr">
        <is>
          <t>Alabama</t>
        </is>
      </c>
      <c r="F49" s="42" t="inlineStr">
        <is>
          <t>Tennessee</t>
        </is>
      </c>
      <c r="G49" s="42" t="n">
        <v>3.4</v>
      </c>
      <c r="H49" s="42" t="n">
        <v>7.5</v>
      </c>
      <c r="I49" s="56" t="n">
        <v>4.1</v>
      </c>
      <c r="J49" s="42" t="n">
        <v>2.9</v>
      </c>
      <c r="K49" s="42" t="n">
        <v>7.9</v>
      </c>
      <c r="L49" s="42" t="n">
        <v>51.1</v>
      </c>
      <c r="M49" s="42" t="n">
        <v>50.8</v>
      </c>
      <c r="N49" s="42" t="n">
        <v>0.4</v>
      </c>
      <c r="O49" s="42" t="n">
        <v>10</v>
      </c>
      <c r="P49" s="42" t="n">
        <v>26</v>
      </c>
      <c r="Q49" s="48" t="inlineStr">
        <is>
          <t>Loss</t>
        </is>
      </c>
      <c r="R49" s="42" t="n">
        <v>3.2</v>
      </c>
      <c r="S49" s="52" t="inlineStr">
        <is>
          <t>Win</t>
        </is>
      </c>
      <c r="T49" s="52" t="inlineStr">
        <is>
          <t>Win</t>
        </is>
      </c>
      <c r="U49" s="52" t="inlineStr">
        <is>
          <t>Win</t>
        </is>
      </c>
      <c r="V49" s="53" t="inlineStr">
        <is>
          <t>Loss</t>
        </is>
      </c>
    </row>
    <row r="50">
      <c r="A50" s="42" t="n">
        <v>7</v>
      </c>
      <c r="B50" s="42" t="inlineStr">
        <is>
          <t>2026-10-17</t>
        </is>
      </c>
      <c r="C50" s="42" t="inlineStr">
        <is>
          <t>SEC</t>
        </is>
      </c>
      <c r="D50" s="42" t="inlineStr">
        <is>
          <t>SEC</t>
        </is>
      </c>
      <c r="E50" s="42" t="inlineStr">
        <is>
          <t>Florida</t>
        </is>
      </c>
      <c r="F50" s="42" t="inlineStr">
        <is>
          <t>Texas</t>
        </is>
      </c>
      <c r="G50" s="42" t="n">
        <v>-21.4</v>
      </c>
      <c r="H50" s="42" t="n">
        <v>-11.2</v>
      </c>
      <c r="I50" s="56" t="n">
        <v>10.2</v>
      </c>
      <c r="J50" s="42" t="n">
        <v>-17.3</v>
      </c>
      <c r="K50" s="42" t="n">
        <v>-6.7</v>
      </c>
      <c r="L50" s="42" t="n">
        <v>47.8</v>
      </c>
      <c r="M50" s="42" t="n">
        <v>51.5</v>
      </c>
      <c r="N50" s="47" t="n">
        <v>-3.7</v>
      </c>
      <c r="O50" s="42" t="n">
        <v>27</v>
      </c>
      <c r="P50" s="42" t="n">
        <v>24</v>
      </c>
      <c r="Q50" s="48" t="inlineStr">
        <is>
          <t>Loss</t>
        </is>
      </c>
      <c r="R50" s="42" t="n">
        <v>-17.2</v>
      </c>
      <c r="S50" s="53" t="inlineStr">
        <is>
          <t>Loss</t>
        </is>
      </c>
      <c r="T50" s="53" t="inlineStr">
        <is>
          <t>Loss</t>
        </is>
      </c>
      <c r="U50" s="53" t="inlineStr">
        <is>
          <t>Loss</t>
        </is>
      </c>
      <c r="V50" s="52" t="inlineStr">
        <is>
          <t>Win</t>
        </is>
      </c>
    </row>
    <row r="51">
      <c r="A51" s="42" t="n">
        <v>7</v>
      </c>
      <c r="B51" s="42" t="inlineStr">
        <is>
          <t>2026-10-17</t>
        </is>
      </c>
      <c r="C51" s="42" t="inlineStr">
        <is>
          <t>SEC</t>
        </is>
      </c>
      <c r="D51" s="42" t="inlineStr">
        <is>
          <t>Southern</t>
        </is>
      </c>
      <c r="E51" s="42" t="inlineStr">
        <is>
          <t>The Citadel</t>
        </is>
      </c>
      <c r="F51" s="42" t="inlineStr">
        <is>
          <t>Texas A&amp;M</t>
        </is>
      </c>
      <c r="G51" s="42" t="n">
        <v>-54.8</v>
      </c>
      <c r="H51" s="42" t="n"/>
      <c r="I51" s="42" t="n"/>
      <c r="J51" s="42" t="n">
        <v>-24.2</v>
      </c>
      <c r="K51" s="42" t="n">
        <v>-17.8</v>
      </c>
      <c r="L51" s="42" t="n">
        <v>56.7</v>
      </c>
      <c r="M51" s="42" t="n"/>
      <c r="N51" s="42" t="n"/>
      <c r="O51" s="42" t="n">
        <v>0</v>
      </c>
      <c r="P51" s="42" t="n">
        <v>41</v>
      </c>
      <c r="Q51" s="47" t="inlineStr">
        <is>
          <t>Win</t>
        </is>
      </c>
      <c r="R51" s="42" t="n">
        <v>-30.9</v>
      </c>
      <c r="S51" s="51" t="n"/>
      <c r="T51" s="51" t="n"/>
      <c r="U51" s="51" t="n"/>
      <c r="V51" s="51" t="n"/>
    </row>
    <row r="52">
      <c r="A52" s="42" t="n">
        <v>7</v>
      </c>
      <c r="B52" s="42" t="inlineStr">
        <is>
          <t>2026-10-17</t>
        </is>
      </c>
      <c r="C52" s="42" t="inlineStr">
        <is>
          <t>SEC</t>
        </is>
      </c>
      <c r="D52" s="42" t="inlineStr">
        <is>
          <t>SEC</t>
        </is>
      </c>
      <c r="E52" s="42" t="inlineStr">
        <is>
          <t>Arkansas</t>
        </is>
      </c>
      <c r="F52" s="42" t="inlineStr">
        <is>
          <t>Vanderbilt</t>
        </is>
      </c>
      <c r="G52" s="42" t="n">
        <v>-15.3</v>
      </c>
      <c r="H52" s="42" t="n">
        <v>-6.2</v>
      </c>
      <c r="I52" s="56" t="n">
        <v>9.1</v>
      </c>
      <c r="J52" s="42" t="n">
        <v>-11.2</v>
      </c>
      <c r="K52" s="42" t="n">
        <v>-1</v>
      </c>
      <c r="L52" s="42" t="n">
        <v>50.5</v>
      </c>
      <c r="M52" s="42" t="n">
        <v>49.8</v>
      </c>
      <c r="N52" s="42" t="n">
        <v>0.8</v>
      </c>
      <c r="O52" s="42" t="n">
        <v>31</v>
      </c>
      <c r="P52" s="42" t="n">
        <v>21</v>
      </c>
      <c r="Q52" s="48" t="inlineStr">
        <is>
          <t>Loss</t>
        </is>
      </c>
      <c r="R52" s="42" t="n">
        <v>-9.300000000000001</v>
      </c>
      <c r="S52" s="53" t="inlineStr">
        <is>
          <t>Loss</t>
        </is>
      </c>
      <c r="T52" s="53" t="inlineStr">
        <is>
          <t>Loss</t>
        </is>
      </c>
      <c r="U52" s="53" t="inlineStr">
        <is>
          <t>Loss</t>
        </is>
      </c>
      <c r="V52" s="52" t="inlineStr">
        <is>
          <t>Win</t>
        </is>
      </c>
    </row>
    <row r="54">
      <c r="A54" s="41" t="inlineStr">
        <is>
          <t>Week 6</t>
        </is>
      </c>
    </row>
    <row r="55">
      <c r="A55" s="46" t="inlineStr">
        <is>
          <t>Week</t>
        </is>
      </c>
      <c r="B55" s="46" t="inlineStr">
        <is>
          <t>Date</t>
        </is>
      </c>
      <c r="C55" s="46" t="inlineStr">
        <is>
          <t>Home Conf</t>
        </is>
      </c>
      <c r="D55" s="46" t="inlineStr">
        <is>
          <t>Away Conf</t>
        </is>
      </c>
      <c r="E55" s="46" t="inlineStr">
        <is>
          <t>Away Team</t>
        </is>
      </c>
      <c r="F55" s="46" t="inlineStr">
        <is>
          <t>Home Team</t>
        </is>
      </c>
      <c r="G55" s="46" t="inlineStr">
        <is>
          <t>Model Line (Home)</t>
        </is>
      </c>
      <c r="H55" s="46" t="inlineStr">
        <is>
          <t>Market Line (Home)</t>
        </is>
      </c>
      <c r="I55" s="46" t="inlineStr">
        <is>
          <t>Spread Edge (pts)</t>
        </is>
      </c>
      <c r="J55" s="46" t="inlineStr">
        <is>
          <t>Ridge Line (Home)</t>
        </is>
      </c>
      <c r="K55" s="46" t="inlineStr">
        <is>
          <t>Massey Line (Home)</t>
        </is>
      </c>
      <c r="L55" s="46" t="inlineStr">
        <is>
          <t>Model Total</t>
        </is>
      </c>
      <c r="M55" s="46" t="inlineStr">
        <is>
          <t>Market Total</t>
        </is>
      </c>
      <c r="N55" s="46" t="inlineStr">
        <is>
          <t>Total Edge (pts)</t>
        </is>
      </c>
      <c r="O55" s="46" t="inlineStr">
        <is>
          <t>Away Pts</t>
        </is>
      </c>
      <c r="P55" s="46" t="inlineStr">
        <is>
          <t>Home Pts</t>
        </is>
      </c>
      <c r="Q55" s="46" t="inlineStr">
        <is>
          <t>Model Result (SU)</t>
        </is>
      </c>
      <c r="R55" s="46" t="inlineStr">
        <is>
          <t>XGBoost Line (Home)</t>
        </is>
      </c>
      <c r="S55" s="46" t="inlineStr">
        <is>
          <t>Gamma ATS</t>
        </is>
      </c>
      <c r="T55" s="46" t="inlineStr">
        <is>
          <t>Ridge ATS</t>
        </is>
      </c>
      <c r="U55" s="46" t="inlineStr">
        <is>
          <t>XGBoost ATS</t>
        </is>
      </c>
      <c r="V55" s="46" t="inlineStr">
        <is>
          <t>Massey ATS</t>
        </is>
      </c>
    </row>
    <row r="56" ht="15.75" customHeight="1">
      <c r="A56" s="42" t="n">
        <v>6</v>
      </c>
      <c r="B56" s="42" t="inlineStr">
        <is>
          <t>2026-10-10</t>
        </is>
      </c>
      <c r="C56" s="42" t="inlineStr">
        <is>
          <t>SEC</t>
        </is>
      </c>
      <c r="D56" s="42" t="inlineStr">
        <is>
          <t>SEC</t>
        </is>
      </c>
      <c r="E56" s="42" t="inlineStr">
        <is>
          <t>Georgia</t>
        </is>
      </c>
      <c r="F56" s="42" t="inlineStr">
        <is>
          <t>Alabama</t>
        </is>
      </c>
      <c r="G56" s="42" t="n">
        <v>-0.2</v>
      </c>
      <c r="H56" s="42" t="n">
        <v>-2</v>
      </c>
      <c r="I56" s="42" t="n">
        <v>-1.8</v>
      </c>
      <c r="J56" s="42" t="n">
        <v>2.6</v>
      </c>
      <c r="K56" s="42" t="n">
        <v>-5.1</v>
      </c>
      <c r="L56" s="42" t="n">
        <v>52.3</v>
      </c>
      <c r="M56" s="42" t="n">
        <v>51.2</v>
      </c>
      <c r="N56" s="42" t="n">
        <v>1</v>
      </c>
      <c r="O56" s="42" t="n">
        <v>20</v>
      </c>
      <c r="P56" s="42" t="n">
        <v>17</v>
      </c>
      <c r="Q56" s="48" t="inlineStr">
        <is>
          <t>Loss</t>
        </is>
      </c>
      <c r="R56" s="42" t="n">
        <v>1.6</v>
      </c>
      <c r="S56" s="52" t="inlineStr">
        <is>
          <t>Win</t>
        </is>
      </c>
      <c r="T56" s="52" t="inlineStr">
        <is>
          <t>Win</t>
        </is>
      </c>
      <c r="U56" s="52" t="inlineStr">
        <is>
          <t>Win</t>
        </is>
      </c>
      <c r="V56" s="53" t="inlineStr">
        <is>
          <t>Loss</t>
        </is>
      </c>
    </row>
    <row r="57" ht="26.25" customHeight="1">
      <c r="A57" s="42" t="n">
        <v>6</v>
      </c>
      <c r="B57" s="42" t="inlineStr">
        <is>
          <t>2026-10-10</t>
        </is>
      </c>
      <c r="C57" s="42" t="inlineStr">
        <is>
          <t>SEC</t>
        </is>
      </c>
      <c r="D57" s="42" t="inlineStr">
        <is>
          <t>SEC</t>
        </is>
      </c>
      <c r="E57" s="42" t="inlineStr">
        <is>
          <t>Tennessee</t>
        </is>
      </c>
      <c r="F57" s="42" t="inlineStr">
        <is>
          <t>Arkansas</t>
        </is>
      </c>
      <c r="G57" s="42" t="n">
        <v>11.5</v>
      </c>
      <c r="H57" s="42" t="n">
        <v>13.5</v>
      </c>
      <c r="I57" s="47" t="n">
        <v>2</v>
      </c>
      <c r="J57" s="42" t="n">
        <v>14.4</v>
      </c>
      <c r="K57" s="42" t="n">
        <v>12.5</v>
      </c>
      <c r="L57" s="42" t="n">
        <v>52</v>
      </c>
      <c r="M57" s="42" t="n">
        <v>51.5</v>
      </c>
      <c r="N57" s="42" t="n">
        <v>0.5</v>
      </c>
      <c r="O57" s="42" t="n">
        <v>24</v>
      </c>
      <c r="P57" s="42" t="n">
        <v>17</v>
      </c>
      <c r="Q57" s="47" t="inlineStr">
        <is>
          <t>Win</t>
        </is>
      </c>
      <c r="R57" s="42" t="n">
        <v>17.2</v>
      </c>
      <c r="S57" s="52" t="inlineStr">
        <is>
          <t>Win</t>
        </is>
      </c>
      <c r="T57" s="53" t="inlineStr">
        <is>
          <t>Loss</t>
        </is>
      </c>
      <c r="U57" s="53" t="inlineStr">
        <is>
          <t>Loss</t>
        </is>
      </c>
      <c r="V57" s="52" t="inlineStr">
        <is>
          <t>Win</t>
        </is>
      </c>
    </row>
    <row r="58">
      <c r="A58" s="42" t="n">
        <v>6</v>
      </c>
      <c r="B58" s="42" t="inlineStr">
        <is>
          <t>2026-10-10</t>
        </is>
      </c>
      <c r="C58" s="42" t="inlineStr">
        <is>
          <t>SEC</t>
        </is>
      </c>
      <c r="D58" s="42" t="inlineStr">
        <is>
          <t>SEC</t>
        </is>
      </c>
      <c r="E58" s="42" t="inlineStr">
        <is>
          <t>South Carolina</t>
        </is>
      </c>
      <c r="F58" s="42" t="inlineStr">
        <is>
          <t>Florida</t>
        </is>
      </c>
      <c r="G58" s="42" t="n">
        <v>-10.5</v>
      </c>
      <c r="H58" s="42" t="n">
        <v>-11.2</v>
      </c>
      <c r="I58" s="42" t="n">
        <v>-0.7</v>
      </c>
      <c r="J58" s="42" t="n">
        <v>-9.199999999999999</v>
      </c>
      <c r="K58" s="42" t="n">
        <v>-9.1</v>
      </c>
      <c r="L58" s="42" t="n">
        <v>53.3</v>
      </c>
      <c r="M58" s="42" t="n">
        <v>59.5</v>
      </c>
      <c r="N58" s="47" t="n">
        <v>-6.2</v>
      </c>
      <c r="O58" s="42" t="n">
        <v>38</v>
      </c>
      <c r="P58" s="42" t="n">
        <v>19</v>
      </c>
      <c r="Q58" s="48" t="inlineStr">
        <is>
          <t>Loss</t>
        </is>
      </c>
      <c r="R58" s="42" t="n">
        <v>-9.4</v>
      </c>
      <c r="S58" s="53" t="inlineStr">
        <is>
          <t>Loss</t>
        </is>
      </c>
      <c r="T58" s="52" t="inlineStr">
        <is>
          <t>Win</t>
        </is>
      </c>
      <c r="U58" s="52" t="inlineStr">
        <is>
          <t>Win</t>
        </is>
      </c>
      <c r="V58" s="52" t="inlineStr">
        <is>
          <t>Win</t>
        </is>
      </c>
    </row>
    <row r="59">
      <c r="A59" s="42" t="n">
        <v>6</v>
      </c>
      <c r="B59" s="42" t="inlineStr">
        <is>
          <t>2026-10-10</t>
        </is>
      </c>
      <c r="C59" s="42" t="inlineStr">
        <is>
          <t>SEC</t>
        </is>
      </c>
      <c r="D59" s="42" t="inlineStr">
        <is>
          <t>SEC</t>
        </is>
      </c>
      <c r="E59" s="42" t="inlineStr">
        <is>
          <t>LSU</t>
        </is>
      </c>
      <c r="F59" s="42" t="inlineStr">
        <is>
          <t>Kentucky</t>
        </is>
      </c>
      <c r="G59" s="42" t="n">
        <v>7.3</v>
      </c>
      <c r="H59" s="42" t="n">
        <v>9</v>
      </c>
      <c r="I59" s="42" t="n">
        <v>1.7</v>
      </c>
      <c r="J59" s="42" t="n">
        <v>6.8</v>
      </c>
      <c r="K59" s="42" t="n">
        <v>8.300000000000001</v>
      </c>
      <c r="L59" s="42" t="n">
        <v>47.2</v>
      </c>
      <c r="M59" s="42" t="n">
        <v>51.8</v>
      </c>
      <c r="N59" s="47" t="n">
        <v>-4.6</v>
      </c>
      <c r="O59" s="42" t="n">
        <v>34</v>
      </c>
      <c r="P59" s="42" t="n">
        <v>35</v>
      </c>
      <c r="Q59" s="48" t="inlineStr">
        <is>
          <t>Loss</t>
        </is>
      </c>
      <c r="R59" s="42" t="n">
        <v>8.699999999999999</v>
      </c>
      <c r="S59" s="52" t="inlineStr">
        <is>
          <t>Win</t>
        </is>
      </c>
      <c r="T59" s="52" t="inlineStr">
        <is>
          <t>Win</t>
        </is>
      </c>
      <c r="U59" s="53" t="inlineStr">
        <is>
          <t>Loss</t>
        </is>
      </c>
      <c r="V59" s="53" t="inlineStr">
        <is>
          <t>Loss</t>
        </is>
      </c>
    </row>
    <row r="60">
      <c r="A60" s="42" t="n">
        <v>6</v>
      </c>
      <c r="B60" s="42" t="inlineStr">
        <is>
          <t>2026-10-10</t>
        </is>
      </c>
      <c r="C60" s="42" t="inlineStr">
        <is>
          <t>SEC</t>
        </is>
      </c>
      <c r="D60" s="42" t="inlineStr">
        <is>
          <t>SEC</t>
        </is>
      </c>
      <c r="E60" s="42" t="inlineStr">
        <is>
          <t>Texas A&amp;M</t>
        </is>
      </c>
      <c r="F60" s="42" t="inlineStr">
        <is>
          <t>Missouri</t>
        </is>
      </c>
      <c r="G60" s="42" t="n">
        <v>-0.9</v>
      </c>
      <c r="H60" s="42" t="n">
        <v>-3.5</v>
      </c>
      <c r="I60" s="47" t="n">
        <v>-2.6</v>
      </c>
      <c r="J60" s="42" t="n">
        <v>0.2</v>
      </c>
      <c r="K60" s="42" t="n">
        <v>-7.2</v>
      </c>
      <c r="L60" s="42" t="n">
        <v>46.4</v>
      </c>
      <c r="M60" s="42" t="n">
        <v>48.5</v>
      </c>
      <c r="N60" s="47" t="n">
        <v>-2.1</v>
      </c>
      <c r="O60" s="42" t="n">
        <v>6</v>
      </c>
      <c r="P60" s="42" t="n">
        <v>27</v>
      </c>
      <c r="Q60" s="47" t="inlineStr">
        <is>
          <t>Win</t>
        </is>
      </c>
      <c r="R60" s="42" t="n">
        <v>0.9</v>
      </c>
      <c r="S60" s="53" t="inlineStr">
        <is>
          <t>Loss</t>
        </is>
      </c>
      <c r="T60" s="53" t="inlineStr">
        <is>
          <t>Loss</t>
        </is>
      </c>
      <c r="U60" s="53" t="inlineStr">
        <is>
          <t>Loss</t>
        </is>
      </c>
      <c r="V60" s="52" t="inlineStr">
        <is>
          <t>Win</t>
        </is>
      </c>
    </row>
    <row r="61">
      <c r="A61" s="42" t="n">
        <v>6</v>
      </c>
      <c r="B61" s="42" t="inlineStr">
        <is>
          <t>2026-10-10</t>
        </is>
      </c>
      <c r="C61" s="42" t="inlineStr">
        <is>
          <t>SEC</t>
        </is>
      </c>
      <c r="D61" s="42" t="inlineStr">
        <is>
          <t>SEC</t>
        </is>
      </c>
      <c r="E61" s="42" t="inlineStr">
        <is>
          <t>Texas</t>
        </is>
      </c>
      <c r="F61" s="42" t="inlineStr">
        <is>
          <t>Oklahoma</t>
        </is>
      </c>
      <c r="G61" s="42" t="n">
        <v>8.6</v>
      </c>
      <c r="H61" s="42" t="n">
        <v>7.5</v>
      </c>
      <c r="I61" s="42" t="n">
        <v>-1.1</v>
      </c>
      <c r="J61" s="42" t="n">
        <v>16.9</v>
      </c>
      <c r="K61" s="42" t="n">
        <v>10.9</v>
      </c>
      <c r="L61" s="42" t="n">
        <v>35.5</v>
      </c>
      <c r="M61" s="42" t="n">
        <v>39.2</v>
      </c>
      <c r="N61" s="47" t="n">
        <v>-3.7</v>
      </c>
      <c r="O61" s="42" t="n">
        <v>24</v>
      </c>
      <c r="P61" s="42" t="n">
        <v>27</v>
      </c>
      <c r="Q61" s="48" t="inlineStr">
        <is>
          <t>Loss</t>
        </is>
      </c>
      <c r="R61" s="42" t="n">
        <v>13</v>
      </c>
      <c r="S61" s="53" t="inlineStr">
        <is>
          <t>Loss</t>
        </is>
      </c>
      <c r="T61" s="53" t="inlineStr">
        <is>
          <t>Loss</t>
        </is>
      </c>
      <c r="U61" s="53" t="inlineStr">
        <is>
          <t>Loss</t>
        </is>
      </c>
      <c r="V61" s="53" t="inlineStr">
        <is>
          <t>Loss</t>
        </is>
      </c>
    </row>
    <row r="62">
      <c r="A62" s="42" t="n">
        <v>6</v>
      </c>
      <c r="B62" s="42" t="inlineStr">
        <is>
          <t>2026-10-10</t>
        </is>
      </c>
      <c r="C62" s="42" t="inlineStr">
        <is>
          <t>SEC</t>
        </is>
      </c>
      <c r="D62" s="42" t="inlineStr">
        <is>
          <t>SEC</t>
        </is>
      </c>
      <c r="E62" s="42" t="inlineStr">
        <is>
          <t>Ole Miss</t>
        </is>
      </c>
      <c r="F62" s="42" t="inlineStr">
        <is>
          <t>Vanderbilt</t>
        </is>
      </c>
      <c r="G62" s="42" t="n">
        <v>8.300000000000001</v>
      </c>
      <c r="H62" s="42" t="n">
        <v>9.199999999999999</v>
      </c>
      <c r="I62" s="42" t="n">
        <v>0.9</v>
      </c>
      <c r="J62" s="42" t="n">
        <v>5.2</v>
      </c>
      <c r="K62" s="42" t="n">
        <v>0.5</v>
      </c>
      <c r="L62" s="42" t="n">
        <v>54.4</v>
      </c>
      <c r="M62" s="42" t="n">
        <v>54.8</v>
      </c>
      <c r="N62" s="42" t="n">
        <v>-0.3</v>
      </c>
      <c r="O62" s="42" t="n">
        <v>52</v>
      </c>
      <c r="P62" s="42" t="n">
        <v>17</v>
      </c>
      <c r="Q62" s="47" t="inlineStr">
        <is>
          <t>Win</t>
        </is>
      </c>
      <c r="R62" s="42" t="n">
        <v>10.6</v>
      </c>
      <c r="S62" s="52" t="inlineStr">
        <is>
          <t>Win</t>
        </is>
      </c>
      <c r="T62" s="53" t="inlineStr">
        <is>
          <t>Loss</t>
        </is>
      </c>
      <c r="U62" s="52" t="inlineStr">
        <is>
          <t>Win</t>
        </is>
      </c>
      <c r="V62" s="53" t="inlineStr">
        <is>
          <t>Loss</t>
        </is>
      </c>
    </row>
    <row r="64">
      <c r="A64" s="41" t="inlineStr">
        <is>
          <t>Week 5</t>
        </is>
      </c>
    </row>
    <row r="65">
      <c r="A65" s="46" t="inlineStr">
        <is>
          <t>Week</t>
        </is>
      </c>
      <c r="B65" s="46" t="inlineStr">
        <is>
          <t>Date</t>
        </is>
      </c>
      <c r="C65" s="46" t="inlineStr">
        <is>
          <t>Home Conf</t>
        </is>
      </c>
      <c r="D65" s="46" t="inlineStr">
        <is>
          <t>Away Conf</t>
        </is>
      </c>
      <c r="E65" s="46" t="inlineStr">
        <is>
          <t>Away Team</t>
        </is>
      </c>
      <c r="F65" s="46" t="inlineStr">
        <is>
          <t>Home Team</t>
        </is>
      </c>
      <c r="G65" s="46" t="inlineStr">
        <is>
          <t>Model Line (Home)</t>
        </is>
      </c>
      <c r="H65" s="46" t="inlineStr">
        <is>
          <t>Market Line (Home)</t>
        </is>
      </c>
      <c r="I65" s="46" t="inlineStr">
        <is>
          <t>Spread Edge (pts)</t>
        </is>
      </c>
      <c r="J65" s="46" t="inlineStr">
        <is>
          <t>Ridge Line (Home)</t>
        </is>
      </c>
      <c r="K65" s="46" t="inlineStr">
        <is>
          <t>Massey Line (Home)</t>
        </is>
      </c>
      <c r="L65" s="46" t="inlineStr">
        <is>
          <t>Model Total</t>
        </is>
      </c>
      <c r="M65" s="46" t="inlineStr">
        <is>
          <t>Market Total</t>
        </is>
      </c>
      <c r="N65" s="46" t="inlineStr">
        <is>
          <t>Total Edge (pts)</t>
        </is>
      </c>
      <c r="O65" s="46" t="inlineStr">
        <is>
          <t>Away Pts</t>
        </is>
      </c>
      <c r="P65" s="46" t="inlineStr">
        <is>
          <t>Home Pts</t>
        </is>
      </c>
      <c r="Q65" s="46" t="inlineStr">
        <is>
          <t>Model Result (SU)</t>
        </is>
      </c>
      <c r="R65" s="46" t="inlineStr">
        <is>
          <t>XGBoost Line (Home)</t>
        </is>
      </c>
      <c r="S65" s="46" t="inlineStr">
        <is>
          <t>Gamma ATS</t>
        </is>
      </c>
      <c r="T65" s="46" t="inlineStr">
        <is>
          <t>Ridge ATS</t>
        </is>
      </c>
      <c r="U65" s="46" t="inlineStr">
        <is>
          <t>XGBoost ATS</t>
        </is>
      </c>
      <c r="V65" s="46" t="inlineStr">
        <is>
          <t>Massey ATS</t>
        </is>
      </c>
    </row>
    <row r="66">
      <c r="A66" s="42" t="n">
        <v>5</v>
      </c>
      <c r="B66" s="42" t="inlineStr">
        <is>
          <t>2026-10-03</t>
        </is>
      </c>
      <c r="C66" s="42" t="inlineStr">
        <is>
          <t>SEC</t>
        </is>
      </c>
      <c r="D66" s="42" t="inlineStr">
        <is>
          <t>SEC</t>
        </is>
      </c>
      <c r="E66" s="42" t="inlineStr">
        <is>
          <t>Vanderbilt</t>
        </is>
      </c>
      <c r="F66" s="42" t="inlineStr">
        <is>
          <t>Georgia</t>
        </is>
      </c>
      <c r="G66" s="42" t="n">
        <v>-19.6</v>
      </c>
      <c r="H66" s="42" t="n">
        <v>-25.5</v>
      </c>
      <c r="I66" s="56" t="n">
        <v>-5.9</v>
      </c>
      <c r="J66" s="42" t="n">
        <v>-20.6</v>
      </c>
      <c r="K66" s="42" t="n">
        <v>-21.9</v>
      </c>
      <c r="L66" s="42" t="n">
        <v>48.9</v>
      </c>
      <c r="M66" s="42" t="n">
        <v>50.2</v>
      </c>
      <c r="N66" s="42" t="n">
        <v>-1.4</v>
      </c>
      <c r="O66" s="42" t="n">
        <v>14</v>
      </c>
      <c r="P66" s="42" t="n">
        <v>38</v>
      </c>
      <c r="Q66" s="47" t="inlineStr">
        <is>
          <t>Win</t>
        </is>
      </c>
      <c r="R66" s="42" t="n">
        <v>-16.3</v>
      </c>
      <c r="S66" s="52" t="inlineStr">
        <is>
          <t>Win</t>
        </is>
      </c>
      <c r="T66" s="52" t="inlineStr">
        <is>
          <t>Win</t>
        </is>
      </c>
      <c r="U66" s="52" t="inlineStr">
        <is>
          <t>Win</t>
        </is>
      </c>
      <c r="V66" s="52" t="inlineStr">
        <is>
          <t>Win</t>
        </is>
      </c>
    </row>
    <row r="67">
      <c r="A67" s="42" t="n">
        <v>5</v>
      </c>
      <c r="B67" s="42" t="inlineStr">
        <is>
          <t>2026-10-03</t>
        </is>
      </c>
      <c r="C67" s="42" t="inlineStr">
        <is>
          <t>SEC</t>
        </is>
      </c>
      <c r="D67" s="42" t="inlineStr">
        <is>
          <t>Southland</t>
        </is>
      </c>
      <c r="E67" s="42" t="inlineStr">
        <is>
          <t>McNeese</t>
        </is>
      </c>
      <c r="F67" s="42" t="inlineStr">
        <is>
          <t>LSU</t>
        </is>
      </c>
      <c r="G67" s="42" t="n">
        <v>-59.9</v>
      </c>
      <c r="H67" s="42" t="n">
        <v>-53.2</v>
      </c>
      <c r="I67" s="56" t="n">
        <v>6.7</v>
      </c>
      <c r="J67" s="42" t="n">
        <v>-39</v>
      </c>
      <c r="K67" s="42" t="n">
        <v>-23</v>
      </c>
      <c r="L67" s="42" t="n">
        <v>57.7</v>
      </c>
      <c r="M67" s="42" t="n">
        <v>62</v>
      </c>
      <c r="N67" s="47" t="n">
        <v>-4.3</v>
      </c>
      <c r="O67" s="42" t="n">
        <v>14</v>
      </c>
      <c r="P67" s="42" t="n">
        <v>63</v>
      </c>
      <c r="Q67" s="47" t="inlineStr">
        <is>
          <t>Win</t>
        </is>
      </c>
      <c r="R67" s="42" t="n">
        <v>-41</v>
      </c>
      <c r="S67" s="53" t="inlineStr">
        <is>
          <t>Loss</t>
        </is>
      </c>
      <c r="T67" s="52" t="inlineStr">
        <is>
          <t>Win</t>
        </is>
      </c>
      <c r="U67" s="52" t="inlineStr">
        <is>
          <t>Win</t>
        </is>
      </c>
      <c r="V67" s="52" t="inlineStr">
        <is>
          <t>Win</t>
        </is>
      </c>
    </row>
    <row r="68">
      <c r="A68" s="42" t="n">
        <v>5</v>
      </c>
      <c r="B68" s="42" t="inlineStr">
        <is>
          <t>2026-10-03</t>
        </is>
      </c>
      <c r="C68" s="42" t="inlineStr">
        <is>
          <t>SEC</t>
        </is>
      </c>
      <c r="D68" s="42" t="inlineStr">
        <is>
          <t>SEC</t>
        </is>
      </c>
      <c r="E68" s="42" t="inlineStr">
        <is>
          <t>Alabama</t>
        </is>
      </c>
      <c r="F68" s="42" t="inlineStr">
        <is>
          <t>Mississippi State</t>
        </is>
      </c>
      <c r="G68" s="42" t="n">
        <v>8.300000000000001</v>
      </c>
      <c r="H68" s="42" t="n">
        <v>5.5</v>
      </c>
      <c r="I68" s="47" t="n">
        <v>-2.8</v>
      </c>
      <c r="J68" s="42" t="n">
        <v>12.2</v>
      </c>
      <c r="K68" s="42" t="n">
        <v>1.7</v>
      </c>
      <c r="L68" s="42" t="n">
        <v>55.3</v>
      </c>
      <c r="M68" s="42" t="n">
        <v>62</v>
      </c>
      <c r="N68" s="47" t="n">
        <v>-6.7</v>
      </c>
      <c r="O68" s="42" t="n">
        <v>56</v>
      </c>
      <c r="P68" s="42" t="n">
        <v>23</v>
      </c>
      <c r="Q68" s="47" t="inlineStr">
        <is>
          <t>Win</t>
        </is>
      </c>
      <c r="R68" s="42" t="n">
        <v>19.1</v>
      </c>
      <c r="S68" s="52" t="inlineStr">
        <is>
          <t>Win</t>
        </is>
      </c>
      <c r="T68" s="52" t="inlineStr">
        <is>
          <t>Win</t>
        </is>
      </c>
      <c r="U68" s="52" t="inlineStr">
        <is>
          <t>Win</t>
        </is>
      </c>
      <c r="V68" s="53" t="inlineStr">
        <is>
          <t>Loss</t>
        </is>
      </c>
    </row>
    <row r="69">
      <c r="A69" s="42" t="n">
        <v>5</v>
      </c>
      <c r="B69" s="42" t="inlineStr">
        <is>
          <t>2026-10-03</t>
        </is>
      </c>
      <c r="C69" s="42" t="inlineStr">
        <is>
          <t>SEC</t>
        </is>
      </c>
      <c r="D69" s="42" t="inlineStr">
        <is>
          <t>SEC</t>
        </is>
      </c>
      <c r="E69" s="42" t="inlineStr">
        <is>
          <t>Florida</t>
        </is>
      </c>
      <c r="F69" s="42" t="inlineStr">
        <is>
          <t>Missouri</t>
        </is>
      </c>
      <c r="G69" s="42" t="n">
        <v>0.6</v>
      </c>
      <c r="H69" s="42" t="n">
        <v>5.5</v>
      </c>
      <c r="I69" s="56" t="n">
        <v>4.9</v>
      </c>
      <c r="J69" s="42" t="n">
        <v>0.9</v>
      </c>
      <c r="K69" s="42" t="n">
        <v>6.6</v>
      </c>
      <c r="L69" s="42" t="n">
        <v>51</v>
      </c>
      <c r="M69" s="42" t="n">
        <v>57.8</v>
      </c>
      <c r="N69" s="47" t="n">
        <v>-6.7</v>
      </c>
      <c r="O69" s="42" t="n">
        <v>17</v>
      </c>
      <c r="P69" s="42" t="n">
        <v>45</v>
      </c>
      <c r="Q69" s="48" t="inlineStr">
        <is>
          <t>Loss</t>
        </is>
      </c>
      <c r="R69" s="42" t="n">
        <v>-0.2</v>
      </c>
      <c r="S69" s="52" t="inlineStr">
        <is>
          <t>Win</t>
        </is>
      </c>
      <c r="T69" s="52" t="inlineStr">
        <is>
          <t>Win</t>
        </is>
      </c>
      <c r="U69" s="52" t="inlineStr">
        <is>
          <t>Win</t>
        </is>
      </c>
      <c r="V69" s="53" t="inlineStr">
        <is>
          <t>Loss</t>
        </is>
      </c>
    </row>
    <row r="70">
      <c r="A70" s="42" t="n">
        <v>5</v>
      </c>
      <c r="B70" s="42" t="inlineStr">
        <is>
          <t>2026-10-03</t>
        </is>
      </c>
      <c r="C70" s="42" t="inlineStr">
        <is>
          <t>SEC</t>
        </is>
      </c>
      <c r="D70" s="42" t="inlineStr">
        <is>
          <t>SEC</t>
        </is>
      </c>
      <c r="E70" s="42" t="inlineStr">
        <is>
          <t>Kentucky</t>
        </is>
      </c>
      <c r="F70" s="42" t="inlineStr">
        <is>
          <t>South Carolina</t>
        </is>
      </c>
      <c r="G70" s="42" t="n">
        <v>-1.1</v>
      </c>
      <c r="H70" s="42" t="n">
        <v>-2.5</v>
      </c>
      <c r="I70" s="42" t="n">
        <v>-1.4</v>
      </c>
      <c r="J70" s="42" t="n">
        <v>-4</v>
      </c>
      <c r="K70" s="42" t="n">
        <v>-3.8</v>
      </c>
      <c r="L70" s="42" t="n">
        <v>51.8</v>
      </c>
      <c r="M70" s="42" t="n">
        <v>53</v>
      </c>
      <c r="N70" s="42" t="n">
        <v>-1.2</v>
      </c>
      <c r="O70" s="42" t="n">
        <v>35</v>
      </c>
      <c r="P70" s="42" t="n">
        <v>34</v>
      </c>
      <c r="Q70" s="48" t="inlineStr">
        <is>
          <t>Loss</t>
        </is>
      </c>
      <c r="R70" s="42" t="n">
        <v>-4.1</v>
      </c>
      <c r="S70" s="52" t="inlineStr">
        <is>
          <t>Win</t>
        </is>
      </c>
      <c r="T70" s="53" t="inlineStr">
        <is>
          <t>Loss</t>
        </is>
      </c>
      <c r="U70" s="53" t="inlineStr">
        <is>
          <t>Loss</t>
        </is>
      </c>
      <c r="V70" s="53" t="inlineStr">
        <is>
          <t>Loss</t>
        </is>
      </c>
    </row>
    <row r="71">
      <c r="A71" s="42" t="n">
        <v>5</v>
      </c>
      <c r="B71" s="42" t="inlineStr">
        <is>
          <t>2026-10-03</t>
        </is>
      </c>
      <c r="C71" s="42" t="inlineStr">
        <is>
          <t>SEC</t>
        </is>
      </c>
      <c r="D71" s="42" t="inlineStr">
        <is>
          <t>SEC</t>
        </is>
      </c>
      <c r="E71" s="42" t="inlineStr">
        <is>
          <t>Auburn</t>
        </is>
      </c>
      <c r="F71" s="42" t="inlineStr">
        <is>
          <t>Tennessee</t>
        </is>
      </c>
      <c r="G71" s="42" t="n">
        <v>-10</v>
      </c>
      <c r="H71" s="42" t="n">
        <v>-6.2</v>
      </c>
      <c r="I71" s="47" t="n">
        <v>3.8</v>
      </c>
      <c r="J71" s="42" t="n">
        <v>-14.1</v>
      </c>
      <c r="K71" s="42" t="n">
        <v>-9.300000000000001</v>
      </c>
      <c r="L71" s="42" t="n">
        <v>48</v>
      </c>
      <c r="M71" s="42" t="n">
        <v>54.2</v>
      </c>
      <c r="N71" s="47" t="n">
        <v>-6.3</v>
      </c>
      <c r="O71" s="42" t="n">
        <v>14</v>
      </c>
      <c r="P71" s="42" t="n">
        <v>24</v>
      </c>
      <c r="Q71" s="47" t="inlineStr">
        <is>
          <t>Win</t>
        </is>
      </c>
      <c r="R71" s="42" t="n">
        <v>-13.8</v>
      </c>
      <c r="S71" s="52" t="inlineStr">
        <is>
          <t>Win</t>
        </is>
      </c>
      <c r="T71" s="52" t="inlineStr">
        <is>
          <t>Win</t>
        </is>
      </c>
      <c r="U71" s="52" t="inlineStr">
        <is>
          <t>Win</t>
        </is>
      </c>
      <c r="V71" s="52" t="inlineStr">
        <is>
          <t>Win</t>
        </is>
      </c>
    </row>
    <row r="72">
      <c r="A72" s="42" t="n">
        <v>5</v>
      </c>
      <c r="B72" s="42" t="inlineStr">
        <is>
          <t>2026-10-03</t>
        </is>
      </c>
      <c r="C72" s="42" t="inlineStr">
        <is>
          <t>SEC</t>
        </is>
      </c>
      <c r="D72" s="42" t="inlineStr">
        <is>
          <t>SEC</t>
        </is>
      </c>
      <c r="E72" s="42" t="inlineStr">
        <is>
          <t>Arkansas</t>
        </is>
      </c>
      <c r="F72" s="42" t="inlineStr">
        <is>
          <t>Texas A&amp;M</t>
        </is>
      </c>
      <c r="G72" s="42" t="n">
        <v>-12.4</v>
      </c>
      <c r="H72" s="42" t="n">
        <v>-13.8</v>
      </c>
      <c r="I72" s="42" t="n">
        <v>-1.4</v>
      </c>
      <c r="J72" s="42" t="n">
        <v>-17</v>
      </c>
      <c r="K72" s="42" t="n">
        <v>-8.5</v>
      </c>
      <c r="L72" s="42" t="n">
        <v>48.9</v>
      </c>
      <c r="M72" s="42" t="n">
        <v>50.8</v>
      </c>
      <c r="N72" s="42" t="n">
        <v>-1.8</v>
      </c>
      <c r="O72" s="42" t="n">
        <v>7</v>
      </c>
      <c r="P72" s="42" t="n">
        <v>34</v>
      </c>
      <c r="Q72" s="47" t="inlineStr">
        <is>
          <t>Win</t>
        </is>
      </c>
      <c r="R72" s="42" t="n">
        <v>-13.3</v>
      </c>
      <c r="S72" s="53" t="inlineStr">
        <is>
          <t>Loss</t>
        </is>
      </c>
      <c r="T72" s="52" t="inlineStr">
        <is>
          <t>Win</t>
        </is>
      </c>
      <c r="U72" s="52" t="inlineStr">
        <is>
          <t>Win</t>
        </is>
      </c>
      <c r="V72" s="53" t="inlineStr">
        <is>
          <t>Loss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7"/>
  <sheetViews>
    <sheetView showGridLines="0" workbookViewId="0">
      <selection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  <col width="15" customWidth="1" min="18" max="18"/>
    <col width="11" customWidth="1" min="19" max="20"/>
    <col width="11" customWidth="1" min="20" max="20"/>
    <col width="12" customWidth="1" min="21" max="22"/>
    <col width="12" customWidth="1" min="22" max="22"/>
  </cols>
  <sheetData>
    <row r="1" ht="15.65" customHeight="1">
      <c r="A1" s="41" t="inlineStr">
        <is>
          <t>Sun Belt Model ATS Record</t>
        </is>
      </c>
    </row>
    <row r="2">
      <c r="A2" s="50" t="inlineStr">
        <is>
          <t>Metric</t>
        </is>
      </c>
      <c r="B2" s="50" t="inlineStr">
        <is>
          <t>Record (W-L-P)</t>
        </is>
      </c>
      <c r="C2" s="50" t="inlineStr">
        <is>
          <t>ATS %</t>
        </is>
      </c>
    </row>
    <row r="3">
      <c r="A3" s="42" t="inlineStr">
        <is>
          <t>Rolling ATS (Season)</t>
        </is>
      </c>
      <c r="B3" s="42" t="inlineStr">
        <is>
          <t>38-39-1</t>
        </is>
      </c>
      <c r="C3" s="45" t="n">
        <v>0.494</v>
      </c>
    </row>
    <row r="4">
      <c r="A4" s="42" t="inlineStr">
        <is>
          <t>Weekly ATS (Wk 8)</t>
        </is>
      </c>
      <c r="B4" s="42" t="inlineStr">
        <is>
          <t>2-4-0</t>
        </is>
      </c>
      <c r="C4" s="45" t="n">
        <v>0.333</v>
      </c>
    </row>
    <row r="5">
      <c r="A5" s="42" t="inlineStr">
        <is>
          <t>Model pick W-L, straight-up (Wk 8)</t>
        </is>
      </c>
      <c r="B5" s="42" t="inlineStr">
        <is>
          <t>2-4</t>
        </is>
      </c>
      <c r="C5" s="45" t="n">
        <v>0.333</v>
      </c>
    </row>
    <row r="6" ht="15.65" customHeight="1"/>
    <row r="7" ht="15.65" customHeight="1">
      <c r="A7" s="41" t="inlineStr">
        <is>
          <t>Sun Belt Standings</t>
        </is>
      </c>
    </row>
    <row r="8">
      <c r="A8" s="55" t="inlineStr">
        <is>
          <t>Team</t>
        </is>
      </c>
      <c r="B8" s="55" t="inlineStr">
        <is>
          <t>Conf W</t>
        </is>
      </c>
      <c r="C8" s="55" t="inlineStr">
        <is>
          <t>Conf L</t>
        </is>
      </c>
      <c r="D8" s="55" t="inlineStr">
        <is>
          <t>Conf Pct</t>
        </is>
      </c>
      <c r="E8" s="55" t="inlineStr">
        <is>
          <t>Overall W</t>
        </is>
      </c>
      <c r="F8" s="55" t="inlineStr">
        <is>
          <t>Overall L</t>
        </is>
      </c>
    </row>
    <row r="9">
      <c r="A9" s="42" t="inlineStr">
        <is>
          <t>Louisiana Tech</t>
        </is>
      </c>
      <c r="B9" s="42" t="n">
        <v>3</v>
      </c>
      <c r="C9" s="42" t="n">
        <v>0</v>
      </c>
      <c r="D9" s="42" t="n">
        <v>1</v>
      </c>
      <c r="E9" s="42" t="n">
        <v>5</v>
      </c>
      <c r="F9" s="42" t="n">
        <v>2</v>
      </c>
    </row>
    <row r="10">
      <c r="A10" s="42" t="inlineStr">
        <is>
          <t>James Madison</t>
        </is>
      </c>
      <c r="B10" s="42" t="n">
        <v>4</v>
      </c>
      <c r="C10" s="42" t="n">
        <v>1</v>
      </c>
      <c r="D10" s="42" t="n">
        <v>0.8</v>
      </c>
      <c r="E10" s="42" t="n">
        <v>7</v>
      </c>
      <c r="F10" s="42" t="n">
        <v>1</v>
      </c>
    </row>
    <row r="11">
      <c r="A11" s="42" t="inlineStr">
        <is>
          <t>App State</t>
        </is>
      </c>
      <c r="B11" s="42" t="n">
        <v>2</v>
      </c>
      <c r="C11" s="42" t="n">
        <v>1</v>
      </c>
      <c r="D11" s="42" t="n">
        <v>0.667</v>
      </c>
      <c r="E11" s="42" t="n">
        <v>5</v>
      </c>
      <c r="F11" s="42" t="n">
        <v>2</v>
      </c>
    </row>
    <row r="12">
      <c r="A12" s="42" t="inlineStr">
        <is>
          <t>South Alabama</t>
        </is>
      </c>
      <c r="B12" s="42" t="n">
        <v>2</v>
      </c>
      <c r="C12" s="42" t="n">
        <v>1</v>
      </c>
      <c r="D12" s="42" t="n">
        <v>0.667</v>
      </c>
      <c r="E12" s="42" t="n">
        <v>4</v>
      </c>
      <c r="F12" s="42" t="n">
        <v>3</v>
      </c>
    </row>
    <row r="13">
      <c r="A13" s="42" t="inlineStr">
        <is>
          <t>Georgia Southern</t>
        </is>
      </c>
      <c r="B13" s="42" t="n">
        <v>2</v>
      </c>
      <c r="C13" s="42" t="n">
        <v>1</v>
      </c>
      <c r="D13" s="42" t="n">
        <v>0.667</v>
      </c>
      <c r="E13" s="42" t="n">
        <v>3</v>
      </c>
      <c r="F13" s="42" t="n">
        <v>4</v>
      </c>
    </row>
    <row r="14">
      <c r="A14" s="42" t="inlineStr">
        <is>
          <t>Louisiana</t>
        </is>
      </c>
      <c r="B14" s="42" t="n">
        <v>2</v>
      </c>
      <c r="C14" s="42" t="n">
        <v>2</v>
      </c>
      <c r="D14" s="42" t="n">
        <v>0.5</v>
      </c>
      <c r="E14" s="42" t="n">
        <v>5</v>
      </c>
      <c r="F14" s="42" t="n">
        <v>3</v>
      </c>
    </row>
    <row r="15">
      <c r="A15" s="42" t="inlineStr">
        <is>
          <t>Arkansas State</t>
        </is>
      </c>
      <c r="B15" s="42" t="n">
        <v>2</v>
      </c>
      <c r="C15" s="42" t="n">
        <v>2</v>
      </c>
      <c r="D15" s="42" t="n">
        <v>0.5</v>
      </c>
      <c r="E15" s="42" t="n">
        <v>4</v>
      </c>
      <c r="F15" s="42" t="n">
        <v>4</v>
      </c>
    </row>
    <row r="16">
      <c r="A16" s="42" t="inlineStr">
        <is>
          <t>Georgia State</t>
        </is>
      </c>
      <c r="B16" s="42" t="n">
        <v>1</v>
      </c>
      <c r="C16" s="42" t="n">
        <v>2</v>
      </c>
      <c r="D16" s="42" t="n">
        <v>0.333</v>
      </c>
      <c r="E16" s="42" t="n">
        <v>4</v>
      </c>
      <c r="F16" s="42" t="n">
        <v>3</v>
      </c>
    </row>
    <row r="17">
      <c r="A17" s="42" t="inlineStr">
        <is>
          <t>Marshall</t>
        </is>
      </c>
      <c r="B17" s="42" t="n">
        <v>1</v>
      </c>
      <c r="C17" s="42" t="n">
        <v>2</v>
      </c>
      <c r="D17" s="42" t="n">
        <v>0.333</v>
      </c>
      <c r="E17" s="42" t="n">
        <v>4</v>
      </c>
      <c r="F17" s="42" t="n">
        <v>3</v>
      </c>
    </row>
    <row r="18" ht="26.5" customHeight="1">
      <c r="A18" s="42" t="inlineStr">
        <is>
          <t>Troy</t>
        </is>
      </c>
      <c r="B18" s="42" t="n">
        <v>1</v>
      </c>
      <c r="C18" s="42" t="n">
        <v>2</v>
      </c>
      <c r="D18" s="42" t="n">
        <v>0.333</v>
      </c>
      <c r="E18" s="42" t="n">
        <v>3</v>
      </c>
      <c r="F18" s="42" t="n">
        <v>4</v>
      </c>
    </row>
    <row r="19">
      <c r="A19" s="42" t="inlineStr">
        <is>
          <t>Coastal Carolina</t>
        </is>
      </c>
      <c r="B19" s="42" t="n">
        <v>1</v>
      </c>
      <c r="C19" s="42" t="n">
        <v>2</v>
      </c>
      <c r="D19" s="42" t="n">
        <v>0.333</v>
      </c>
      <c r="E19" s="42" t="n">
        <v>2</v>
      </c>
      <c r="F19" s="42" t="n">
        <v>5</v>
      </c>
    </row>
    <row r="20">
      <c r="A20" s="42" t="inlineStr">
        <is>
          <t>Southern Miss</t>
        </is>
      </c>
      <c r="B20" s="42" t="n">
        <v>1</v>
      </c>
      <c r="C20" s="42" t="n">
        <v>2</v>
      </c>
      <c r="D20" s="42" t="n">
        <v>0.333</v>
      </c>
      <c r="E20" s="42" t="n">
        <v>2</v>
      </c>
      <c r="F20" s="42" t="n">
        <v>5</v>
      </c>
    </row>
    <row r="21">
      <c r="A21" s="42" t="inlineStr">
        <is>
          <t>UL Monroe</t>
        </is>
      </c>
      <c r="B21" s="42" t="n">
        <v>1</v>
      </c>
      <c r="C21" s="42" t="n">
        <v>2</v>
      </c>
      <c r="D21" s="42" t="n">
        <v>0.333</v>
      </c>
      <c r="E21" s="42" t="n">
        <v>1</v>
      </c>
      <c r="F21" s="42" t="n">
        <v>6</v>
      </c>
    </row>
    <row r="22">
      <c r="A22" s="42" t="inlineStr">
        <is>
          <t>Old Dominion</t>
        </is>
      </c>
      <c r="B22" s="42" t="n">
        <v>1</v>
      </c>
      <c r="C22" s="42" t="n">
        <v>4</v>
      </c>
      <c r="D22" s="42" t="n">
        <v>0.2</v>
      </c>
      <c r="E22" s="42" t="n">
        <v>2</v>
      </c>
      <c r="F22" s="42" t="n">
        <v>6</v>
      </c>
    </row>
    <row r="23" ht="26.5" customHeight="1"/>
    <row r="24" ht="26.25" customHeight="1">
      <c r="A24" s="41" t="inlineStr">
        <is>
          <t>Week 9</t>
        </is>
      </c>
    </row>
    <row r="25" ht="26.5" customHeight="1">
      <c r="A25" s="46" t="inlineStr">
        <is>
          <t>Week</t>
        </is>
      </c>
      <c r="B25" s="46" t="inlineStr">
        <is>
          <t>Date</t>
        </is>
      </c>
      <c r="C25" s="46" t="inlineStr">
        <is>
          <t>Home Conf</t>
        </is>
      </c>
      <c r="D25" s="46" t="inlineStr">
        <is>
          <t>Away Conf</t>
        </is>
      </c>
      <c r="E25" s="46" t="inlineStr">
        <is>
          <t>Away Team</t>
        </is>
      </c>
      <c r="F25" s="46" t="inlineStr">
        <is>
          <t>Home Team</t>
        </is>
      </c>
      <c r="G25" s="46" t="inlineStr">
        <is>
          <t>Model Line (Home)</t>
        </is>
      </c>
      <c r="H25" s="46" t="inlineStr">
        <is>
          <t>Market Line (Home)</t>
        </is>
      </c>
      <c r="I25" s="46" t="inlineStr">
        <is>
          <t>Spread Edge (pts)</t>
        </is>
      </c>
      <c r="J25" s="46" t="inlineStr">
        <is>
          <t>Ridge Line (Home)</t>
        </is>
      </c>
      <c r="K25" s="46" t="inlineStr">
        <is>
          <t>Massey Line (Home)</t>
        </is>
      </c>
      <c r="L25" s="46" t="inlineStr">
        <is>
          <t>Model Total</t>
        </is>
      </c>
      <c r="M25" s="46" t="inlineStr">
        <is>
          <t>Market Total</t>
        </is>
      </c>
      <c r="N25" s="46" t="inlineStr">
        <is>
          <t>Total Edge (pts)</t>
        </is>
      </c>
      <c r="O25" s="46" t="inlineStr">
        <is>
          <t>Away Pts</t>
        </is>
      </c>
      <c r="P25" s="46" t="inlineStr">
        <is>
          <t>Home Pts</t>
        </is>
      </c>
      <c r="Q25" s="46" t="inlineStr">
        <is>
          <t>Model Result (SU)</t>
        </is>
      </c>
      <c r="R25" s="46" t="inlineStr">
        <is>
          <t>XGBoost Line (Home)</t>
        </is>
      </c>
      <c r="S25" s="46" t="inlineStr">
        <is>
          <t>Gamma ATS</t>
        </is>
      </c>
      <c r="T25" s="46" t="inlineStr">
        <is>
          <t>Ridge ATS</t>
        </is>
      </c>
      <c r="U25" s="46" t="inlineStr">
        <is>
          <t>XGBoost ATS</t>
        </is>
      </c>
      <c r="V25" s="46" t="inlineStr">
        <is>
          <t>Massey ATS</t>
        </is>
      </c>
    </row>
    <row r="26">
      <c r="A26" s="42" t="n">
        <v>9</v>
      </c>
      <c r="B26" s="42" t="inlineStr">
        <is>
          <t>2026-10-29</t>
        </is>
      </c>
      <c r="C26" s="42" t="inlineStr">
        <is>
          <t>Sun Belt</t>
        </is>
      </c>
      <c r="D26" s="42" t="inlineStr">
        <is>
          <t>Sun Belt</t>
        </is>
      </c>
      <c r="E26" s="42" t="inlineStr">
        <is>
          <t>Troy</t>
        </is>
      </c>
      <c r="F26" s="42" t="inlineStr">
        <is>
          <t>James Madison</t>
        </is>
      </c>
      <c r="G26" s="42" t="n">
        <v>-21.2</v>
      </c>
      <c r="H26" s="42" t="n">
        <v>-19.5</v>
      </c>
      <c r="I26" s="42" t="n">
        <v>1.7</v>
      </c>
      <c r="J26" s="42" t="n">
        <v>-20.2</v>
      </c>
      <c r="K26" s="42" t="n">
        <v>-22.9</v>
      </c>
      <c r="L26" s="42" t="n">
        <v>52.4</v>
      </c>
      <c r="M26" s="42" t="n">
        <v>52.5</v>
      </c>
      <c r="N26" s="42" t="n">
        <v>-0.1</v>
      </c>
      <c r="O26" s="42" t="n"/>
      <c r="P26" s="42" t="n"/>
      <c r="Q26" s="42" t="n"/>
      <c r="R26" s="42" t="n">
        <v>-22.4</v>
      </c>
      <c r="S26" s="51" t="n"/>
      <c r="T26" s="51" t="n"/>
      <c r="U26" s="51" t="n"/>
      <c r="V26" s="51" t="n"/>
    </row>
    <row r="27">
      <c r="A27" s="42" t="n">
        <v>9</v>
      </c>
      <c r="B27" s="42" t="inlineStr">
        <is>
          <t>2026-10-31</t>
        </is>
      </c>
      <c r="C27" s="42" t="inlineStr">
        <is>
          <t>Sun Belt</t>
        </is>
      </c>
      <c r="D27" s="42" t="inlineStr">
        <is>
          <t>Sun Belt</t>
        </is>
      </c>
      <c r="E27" s="42" t="inlineStr">
        <is>
          <t>App State</t>
        </is>
      </c>
      <c r="F27" s="42" t="inlineStr">
        <is>
          <t>Georgia Southern</t>
        </is>
      </c>
      <c r="G27" s="42" t="n">
        <v>-7.7</v>
      </c>
      <c r="H27" s="42" t="n">
        <v>-4.5</v>
      </c>
      <c r="I27" s="47" t="n">
        <v>3.2</v>
      </c>
      <c r="J27" s="42" t="n">
        <v>1.3</v>
      </c>
      <c r="K27" s="42" t="n">
        <v>-2.8</v>
      </c>
      <c r="L27" s="42" t="n">
        <v>54.5</v>
      </c>
      <c r="M27" s="42" t="n">
        <v>54.5</v>
      </c>
      <c r="N27" s="42" t="n">
        <v>0</v>
      </c>
      <c r="O27" s="42" t="n"/>
      <c r="P27" s="42" t="n"/>
      <c r="Q27" s="42" t="n"/>
      <c r="R27" s="42" t="n">
        <v>0.4</v>
      </c>
      <c r="S27" s="51" t="n"/>
      <c r="T27" s="51" t="n"/>
      <c r="U27" s="51" t="n"/>
      <c r="V27" s="51" t="n"/>
    </row>
    <row r="28">
      <c r="A28" s="42" t="n">
        <v>9</v>
      </c>
      <c r="B28" s="42" t="inlineStr">
        <is>
          <t>2026-10-31</t>
        </is>
      </c>
      <c r="C28" s="42" t="inlineStr">
        <is>
          <t>Sun Belt</t>
        </is>
      </c>
      <c r="D28" s="42" t="inlineStr">
        <is>
          <t>Sun Belt</t>
        </is>
      </c>
      <c r="E28" s="42" t="inlineStr">
        <is>
          <t>Coastal Carolina</t>
        </is>
      </c>
      <c r="F28" s="42" t="inlineStr">
        <is>
          <t>Georgia State</t>
        </is>
      </c>
      <c r="G28" s="42" t="n">
        <v>-5.6</v>
      </c>
      <c r="H28" s="42" t="n">
        <v>-6.5</v>
      </c>
      <c r="I28" s="42" t="n">
        <v>-0.9</v>
      </c>
      <c r="J28" s="42" t="n">
        <v>-8.5</v>
      </c>
      <c r="K28" s="42" t="n">
        <v>-9.300000000000001</v>
      </c>
      <c r="L28" s="42" t="n">
        <v>56.5</v>
      </c>
      <c r="M28" s="42" t="n">
        <v>59.5</v>
      </c>
      <c r="N28" s="47" t="n">
        <v>-3</v>
      </c>
      <c r="O28" s="42" t="n"/>
      <c r="P28" s="42" t="n"/>
      <c r="Q28" s="42" t="n"/>
      <c r="R28" s="42" t="n">
        <v>-8.4</v>
      </c>
      <c r="S28" s="51" t="n"/>
      <c r="T28" s="51" t="n"/>
      <c r="U28" s="51" t="n"/>
      <c r="V28" s="51" t="n"/>
    </row>
    <row r="29">
      <c r="A29" s="42" t="n">
        <v>9</v>
      </c>
      <c r="B29" s="42" t="inlineStr">
        <is>
          <t>2026-10-31</t>
        </is>
      </c>
      <c r="C29" s="42" t="inlineStr">
        <is>
          <t>Sun Belt</t>
        </is>
      </c>
      <c r="D29" s="42" t="inlineStr">
        <is>
          <t>Sun Belt</t>
        </is>
      </c>
      <c r="E29" s="42" t="inlineStr">
        <is>
          <t>Marshall</t>
        </is>
      </c>
      <c r="F29" s="42" t="inlineStr">
        <is>
          <t>Old Dominion</t>
        </is>
      </c>
      <c r="G29" s="42" t="n">
        <v>-8.800000000000001</v>
      </c>
      <c r="H29" s="42" t="n">
        <v>3</v>
      </c>
      <c r="I29" s="56" t="n">
        <v>11.8</v>
      </c>
      <c r="J29" s="42" t="n">
        <v>6.8</v>
      </c>
      <c r="K29" s="42" t="n">
        <v>-2.4</v>
      </c>
      <c r="L29" s="42" t="n">
        <v>50.1</v>
      </c>
      <c r="M29" s="42" t="n">
        <v>44.5</v>
      </c>
      <c r="N29" s="47" t="n">
        <v>5.6</v>
      </c>
      <c r="O29" s="42" t="n"/>
      <c r="P29" s="42" t="n"/>
      <c r="Q29" s="42" t="n"/>
      <c r="R29" s="42" t="n">
        <v>1.5</v>
      </c>
      <c r="S29" s="51" t="n"/>
      <c r="T29" s="51" t="n"/>
      <c r="U29" s="51" t="n"/>
      <c r="V29" s="51" t="n"/>
    </row>
    <row r="30">
      <c r="A30" s="42" t="n">
        <v>9</v>
      </c>
      <c r="B30" s="42" t="inlineStr">
        <is>
          <t>2026-10-31</t>
        </is>
      </c>
      <c r="C30" s="42" t="inlineStr">
        <is>
          <t>Sun Belt</t>
        </is>
      </c>
      <c r="D30" s="42" t="inlineStr">
        <is>
          <t>Sun Belt</t>
        </is>
      </c>
      <c r="E30" s="42" t="inlineStr">
        <is>
          <t>Louisiana Tech</t>
        </is>
      </c>
      <c r="F30" s="42" t="inlineStr">
        <is>
          <t>South Alabama</t>
        </is>
      </c>
      <c r="G30" s="42" t="n">
        <v>6.9</v>
      </c>
      <c r="H30" s="42" t="n">
        <v>5.5</v>
      </c>
      <c r="I30" s="42" t="n">
        <v>-1.4</v>
      </c>
      <c r="J30" s="42" t="n">
        <v>-3.1</v>
      </c>
      <c r="K30" s="42" t="n">
        <v>5.8</v>
      </c>
      <c r="L30" s="42" t="n">
        <v>56.3</v>
      </c>
      <c r="M30" s="42" t="n">
        <v>56.5</v>
      </c>
      <c r="N30" s="42" t="n">
        <v>-0.2</v>
      </c>
      <c r="O30" s="42" t="n"/>
      <c r="P30" s="42" t="n"/>
      <c r="Q30" s="42" t="n"/>
      <c r="R30" s="42" t="n">
        <v>-3.2</v>
      </c>
      <c r="S30" s="51" t="n"/>
      <c r="T30" s="51" t="n"/>
      <c r="U30" s="51" t="n"/>
      <c r="V30" s="51" t="n"/>
    </row>
    <row r="31">
      <c r="A31" s="42" t="n">
        <v>9</v>
      </c>
      <c r="B31" s="42" t="inlineStr">
        <is>
          <t>2026-10-31</t>
        </is>
      </c>
      <c r="C31" s="42" t="inlineStr">
        <is>
          <t>Sun Belt</t>
        </is>
      </c>
      <c r="D31" s="42" t="inlineStr">
        <is>
          <t>Sun Belt</t>
        </is>
      </c>
      <c r="E31" s="42" t="inlineStr">
        <is>
          <t>Southern Miss</t>
        </is>
      </c>
      <c r="F31" s="42" t="inlineStr">
        <is>
          <t>UL Monroe</t>
        </is>
      </c>
      <c r="G31" s="42" t="n">
        <v>6.3</v>
      </c>
      <c r="H31" s="42" t="n">
        <v>3</v>
      </c>
      <c r="I31" s="47" t="n">
        <v>-3.3</v>
      </c>
      <c r="J31" s="42" t="n">
        <v>5.3</v>
      </c>
      <c r="K31" s="42" t="n">
        <v>4.3</v>
      </c>
      <c r="L31" s="42" t="n">
        <v>52.6</v>
      </c>
      <c r="M31" s="42" t="n">
        <v>53.5</v>
      </c>
      <c r="N31" s="42" t="n">
        <v>-0.9</v>
      </c>
      <c r="O31" s="42" t="n"/>
      <c r="P31" s="42" t="n"/>
      <c r="Q31" s="42" t="n"/>
      <c r="R31" s="42" t="n">
        <v>8</v>
      </c>
      <c r="S31" s="51" t="n"/>
      <c r="T31" s="51" t="n"/>
      <c r="U31" s="51" t="n"/>
      <c r="V31" s="51" t="n"/>
    </row>
    <row r="32" ht="15.75" customHeight="1"/>
    <row r="33" ht="26.25" customHeight="1">
      <c r="A33" s="41" t="inlineStr">
        <is>
          <t>Week 8</t>
        </is>
      </c>
    </row>
    <row r="34" ht="26.5" customHeight="1">
      <c r="A34" s="46" t="inlineStr">
        <is>
          <t>Week</t>
        </is>
      </c>
      <c r="B34" s="46" t="inlineStr">
        <is>
          <t>Date</t>
        </is>
      </c>
      <c r="C34" s="46" t="inlineStr">
        <is>
          <t>Home Conf</t>
        </is>
      </c>
      <c r="D34" s="46" t="inlineStr">
        <is>
          <t>Away Conf</t>
        </is>
      </c>
      <c r="E34" s="46" t="inlineStr">
        <is>
          <t>Away Team</t>
        </is>
      </c>
      <c r="F34" s="46" t="inlineStr">
        <is>
          <t>Home Team</t>
        </is>
      </c>
      <c r="G34" s="46" t="inlineStr">
        <is>
          <t>Model Line (Home)</t>
        </is>
      </c>
      <c r="H34" s="46" t="inlineStr">
        <is>
          <t>Market Line (Home)</t>
        </is>
      </c>
      <c r="I34" s="46" t="inlineStr">
        <is>
          <t>Spread Edge (pts)</t>
        </is>
      </c>
      <c r="J34" s="46" t="inlineStr">
        <is>
          <t>Ridge Line (Home)</t>
        </is>
      </c>
      <c r="K34" s="46" t="inlineStr">
        <is>
          <t>Massey Line (Home)</t>
        </is>
      </c>
      <c r="L34" s="46" t="inlineStr">
        <is>
          <t>Model Total</t>
        </is>
      </c>
      <c r="M34" s="46" t="inlineStr">
        <is>
          <t>Market Total</t>
        </is>
      </c>
      <c r="N34" s="46" t="inlineStr">
        <is>
          <t>Total Edge (pts)</t>
        </is>
      </c>
      <c r="O34" s="46" t="inlineStr">
        <is>
          <t>Away Pts</t>
        </is>
      </c>
      <c r="P34" s="46" t="inlineStr">
        <is>
          <t>Home Pts</t>
        </is>
      </c>
      <c r="Q34" s="46" t="inlineStr">
        <is>
          <t>Model Result (SU)</t>
        </is>
      </c>
      <c r="R34" s="46" t="inlineStr">
        <is>
          <t>XGBoost Line (Home)</t>
        </is>
      </c>
      <c r="S34" s="46" t="inlineStr">
        <is>
          <t>Gamma ATS</t>
        </is>
      </c>
      <c r="T34" s="46" t="inlineStr">
        <is>
          <t>Ridge ATS</t>
        </is>
      </c>
      <c r="U34" s="46" t="inlineStr">
        <is>
          <t>XGBoost ATS</t>
        </is>
      </c>
      <c r="V34" s="46" t="inlineStr">
        <is>
          <t>Massey ATS</t>
        </is>
      </c>
    </row>
    <row r="35">
      <c r="A35" s="42" t="n">
        <v>8</v>
      </c>
      <c r="B35" s="42" t="inlineStr">
        <is>
          <t>2026-10-20</t>
        </is>
      </c>
      <c r="C35" s="42" t="inlineStr">
        <is>
          <t>Sun Belt</t>
        </is>
      </c>
      <c r="D35" s="42" t="inlineStr">
        <is>
          <t>Sun Belt</t>
        </is>
      </c>
      <c r="E35" s="42" t="inlineStr">
        <is>
          <t>South Alabama</t>
        </is>
      </c>
      <c r="F35" s="42" t="inlineStr">
        <is>
          <t>Marshall</t>
        </is>
      </c>
      <c r="G35" s="42" t="n">
        <v>0.8</v>
      </c>
      <c r="H35" s="42" t="n">
        <v>1.5</v>
      </c>
      <c r="I35" s="42" t="n">
        <v>0.7</v>
      </c>
      <c r="J35" s="42" t="n">
        <v>-1.2</v>
      </c>
      <c r="K35" s="42" t="n">
        <v>7.4</v>
      </c>
      <c r="L35" s="42" t="n">
        <v>63.2</v>
      </c>
      <c r="M35" s="42" t="n">
        <v>66.2</v>
      </c>
      <c r="N35" s="47" t="n">
        <v>-3.1</v>
      </c>
      <c r="O35" s="42" t="n">
        <v>13</v>
      </c>
      <c r="P35" s="42" t="n">
        <v>20</v>
      </c>
      <c r="Q35" s="48" t="inlineStr">
        <is>
          <t>Loss</t>
        </is>
      </c>
      <c r="R35" s="42" t="n">
        <v>-2.7</v>
      </c>
      <c r="S35" s="53" t="inlineStr">
        <is>
          <t>Loss</t>
        </is>
      </c>
      <c r="T35" s="52" t="inlineStr">
        <is>
          <t>Win</t>
        </is>
      </c>
      <c r="U35" s="52" t="inlineStr">
        <is>
          <t>Win</t>
        </is>
      </c>
      <c r="V35" s="53" t="inlineStr">
        <is>
          <t>Loss</t>
        </is>
      </c>
    </row>
    <row r="36">
      <c r="A36" s="42" t="n">
        <v>8</v>
      </c>
      <c r="B36" s="42" t="inlineStr">
        <is>
          <t>2026-10-22</t>
        </is>
      </c>
      <c r="C36" s="42" t="inlineStr">
        <is>
          <t>Sun Belt</t>
        </is>
      </c>
      <c r="D36" s="42" t="inlineStr">
        <is>
          <t>Sun Belt</t>
        </is>
      </c>
      <c r="E36" s="42" t="inlineStr">
        <is>
          <t>James Madison</t>
        </is>
      </c>
      <c r="F36" s="42" t="inlineStr">
        <is>
          <t>App State</t>
        </is>
      </c>
      <c r="G36" s="42" t="n">
        <v>16.8</v>
      </c>
      <c r="H36" s="42" t="n">
        <v>12.8</v>
      </c>
      <c r="I36" s="56" t="n">
        <v>-4</v>
      </c>
      <c r="J36" s="42" t="n">
        <v>12.4</v>
      </c>
      <c r="K36" s="42" t="n">
        <v>13.6</v>
      </c>
      <c r="L36" s="42" t="n">
        <v>54.4</v>
      </c>
      <c r="M36" s="42" t="n">
        <v>56.5</v>
      </c>
      <c r="N36" s="47" t="n">
        <v>-2.1</v>
      </c>
      <c r="O36" s="42" t="n">
        <v>31</v>
      </c>
      <c r="P36" s="42" t="n">
        <v>34</v>
      </c>
      <c r="Q36" s="48" t="inlineStr">
        <is>
          <t>Loss</t>
        </is>
      </c>
      <c r="R36" s="42" t="n">
        <v>11</v>
      </c>
      <c r="S36" s="53" t="inlineStr">
        <is>
          <t>Loss</t>
        </is>
      </c>
      <c r="T36" s="53" t="inlineStr">
        <is>
          <t>Loss</t>
        </is>
      </c>
      <c r="U36" s="52" t="inlineStr">
        <is>
          <t>Win</t>
        </is>
      </c>
      <c r="V36" s="53" t="inlineStr">
        <is>
          <t>Loss</t>
        </is>
      </c>
    </row>
    <row r="37">
      <c r="A37" s="42" t="n">
        <v>8</v>
      </c>
      <c r="B37" s="42" t="inlineStr">
        <is>
          <t>2026-10-24</t>
        </is>
      </c>
      <c r="C37" s="42" t="inlineStr">
        <is>
          <t>Sun Belt</t>
        </is>
      </c>
      <c r="D37" s="42" t="inlineStr">
        <is>
          <t>Sun Belt</t>
        </is>
      </c>
      <c r="E37" s="42" t="inlineStr">
        <is>
          <t>Georgia State</t>
        </is>
      </c>
      <c r="F37" s="42" t="inlineStr">
        <is>
          <t>Arkansas State</t>
        </is>
      </c>
      <c r="G37" s="42" t="n">
        <v>-3.4</v>
      </c>
      <c r="H37" s="42" t="n">
        <v>2.5</v>
      </c>
      <c r="I37" s="56" t="n">
        <v>5.9</v>
      </c>
      <c r="J37" s="42" t="n">
        <v>-3.3</v>
      </c>
      <c r="K37" s="42" t="n">
        <v>5.5</v>
      </c>
      <c r="L37" s="42" t="n">
        <v>56</v>
      </c>
      <c r="M37" s="42" t="n">
        <v>57.8</v>
      </c>
      <c r="N37" s="42" t="n">
        <v>-1.8</v>
      </c>
      <c r="O37" s="42" t="n">
        <v>32</v>
      </c>
      <c r="P37" s="42" t="n">
        <v>38</v>
      </c>
      <c r="Q37" s="47" t="inlineStr">
        <is>
          <t>Win</t>
        </is>
      </c>
      <c r="R37" s="42" t="n">
        <v>-2.5</v>
      </c>
      <c r="S37" s="52" t="inlineStr">
        <is>
          <t>Win</t>
        </is>
      </c>
      <c r="T37" s="52" t="inlineStr">
        <is>
          <t>Win</t>
        </is>
      </c>
      <c r="U37" s="52" t="inlineStr">
        <is>
          <t>Win</t>
        </is>
      </c>
      <c r="V37" s="53" t="inlineStr">
        <is>
          <t>Loss</t>
        </is>
      </c>
    </row>
    <row r="38">
      <c r="A38" s="42" t="n">
        <v>8</v>
      </c>
      <c r="B38" s="42" t="inlineStr">
        <is>
          <t>2026-10-24</t>
        </is>
      </c>
      <c r="C38" s="42" t="inlineStr">
        <is>
          <t>Sun Belt</t>
        </is>
      </c>
      <c r="D38" s="42" t="inlineStr">
        <is>
          <t>Sun Belt</t>
        </is>
      </c>
      <c r="E38" s="42" t="inlineStr">
        <is>
          <t>Old Dominion</t>
        </is>
      </c>
      <c r="F38" s="42" t="inlineStr">
        <is>
          <t>Louisiana Tech</t>
        </is>
      </c>
      <c r="G38" s="42" t="n">
        <v>-2.3</v>
      </c>
      <c r="H38" s="42" t="n">
        <v>-13.5</v>
      </c>
      <c r="I38" s="56" t="n">
        <v>-11.2</v>
      </c>
      <c r="J38" s="42" t="n">
        <v>-7.1</v>
      </c>
      <c r="K38" s="42" t="n">
        <v>-16.2</v>
      </c>
      <c r="L38" s="42" t="n">
        <v>43.1</v>
      </c>
      <c r="M38" s="42" t="n">
        <v>45.2</v>
      </c>
      <c r="N38" s="47" t="n">
        <v>-2.2</v>
      </c>
      <c r="O38" s="42" t="n">
        <v>0</v>
      </c>
      <c r="P38" s="42" t="n">
        <v>26</v>
      </c>
      <c r="Q38" s="47" t="inlineStr">
        <is>
          <t>Win</t>
        </is>
      </c>
      <c r="R38" s="42" t="n">
        <v>-5.2</v>
      </c>
      <c r="S38" s="53" t="inlineStr">
        <is>
          <t>Loss</t>
        </is>
      </c>
      <c r="T38" s="53" t="inlineStr">
        <is>
          <t>Loss</t>
        </is>
      </c>
      <c r="U38" s="53" t="inlineStr">
        <is>
          <t>Loss</t>
        </is>
      </c>
      <c r="V38" s="52" t="inlineStr">
        <is>
          <t>Win</t>
        </is>
      </c>
    </row>
    <row r="39">
      <c r="A39" s="42" t="n">
        <v>8</v>
      </c>
      <c r="B39" s="42" t="inlineStr">
        <is>
          <t>2026-10-24</t>
        </is>
      </c>
      <c r="C39" s="42" t="inlineStr">
        <is>
          <t>Sun Belt</t>
        </is>
      </c>
      <c r="D39" s="42" t="inlineStr">
        <is>
          <t>Sun Belt</t>
        </is>
      </c>
      <c r="E39" s="42" t="inlineStr">
        <is>
          <t>Louisiana</t>
        </is>
      </c>
      <c r="F39" s="42" t="inlineStr">
        <is>
          <t>Southern Miss</t>
        </is>
      </c>
      <c r="G39" s="42" t="n">
        <v>7.5</v>
      </c>
      <c r="H39" s="42" t="n">
        <v>9.800000000000001</v>
      </c>
      <c r="I39" s="47" t="n">
        <v>2.3</v>
      </c>
      <c r="J39" s="42" t="n">
        <v>14.3</v>
      </c>
      <c r="K39" s="42" t="n">
        <v>11.3</v>
      </c>
      <c r="L39" s="42" t="n">
        <v>52</v>
      </c>
      <c r="M39" s="42" t="n">
        <v>52.5</v>
      </c>
      <c r="N39" s="42" t="n">
        <v>-0.5</v>
      </c>
      <c r="O39" s="42" t="n">
        <v>31</v>
      </c>
      <c r="P39" s="42" t="n">
        <v>35</v>
      </c>
      <c r="Q39" s="48" t="inlineStr">
        <is>
          <t>Loss</t>
        </is>
      </c>
      <c r="R39" s="42" t="n">
        <v>15.7</v>
      </c>
      <c r="S39" s="52" t="inlineStr">
        <is>
          <t>Win</t>
        </is>
      </c>
      <c r="T39" s="53" t="inlineStr">
        <is>
          <t>Loss</t>
        </is>
      </c>
      <c r="U39" s="53" t="inlineStr">
        <is>
          <t>Loss</t>
        </is>
      </c>
      <c r="V39" s="53" t="inlineStr">
        <is>
          <t>Loss</t>
        </is>
      </c>
    </row>
    <row r="40">
      <c r="A40" s="42" t="n">
        <v>8</v>
      </c>
      <c r="B40" s="42" t="inlineStr">
        <is>
          <t>2026-10-24</t>
        </is>
      </c>
      <c r="C40" s="42" t="inlineStr">
        <is>
          <t>Sun Belt</t>
        </is>
      </c>
      <c r="D40" s="42" t="inlineStr">
        <is>
          <t>Sun Belt</t>
        </is>
      </c>
      <c r="E40" s="42" t="inlineStr">
        <is>
          <t>UL Monroe</t>
        </is>
      </c>
      <c r="F40" s="42" t="inlineStr">
        <is>
          <t>Troy</t>
        </is>
      </c>
      <c r="G40" s="42" t="n">
        <v>-13.9</v>
      </c>
      <c r="H40" s="42" t="n">
        <v>-12.2</v>
      </c>
      <c r="I40" s="42" t="n">
        <v>1.7</v>
      </c>
      <c r="J40" s="42" t="n">
        <v>-21.4</v>
      </c>
      <c r="K40" s="42" t="n">
        <v>-16.3</v>
      </c>
      <c r="L40" s="42" t="n">
        <v>50.4</v>
      </c>
      <c r="M40" s="42" t="n">
        <v>50.2</v>
      </c>
      <c r="N40" s="42" t="n">
        <v>0.1</v>
      </c>
      <c r="O40" s="42" t="n">
        <v>21</v>
      </c>
      <c r="P40" s="42" t="n">
        <v>14</v>
      </c>
      <c r="Q40" s="48" t="inlineStr">
        <is>
          <t>Loss</t>
        </is>
      </c>
      <c r="R40" s="42" t="n">
        <v>-16.4</v>
      </c>
      <c r="S40" s="53" t="inlineStr">
        <is>
          <t>Loss</t>
        </is>
      </c>
      <c r="T40" s="53" t="inlineStr">
        <is>
          <t>Loss</t>
        </is>
      </c>
      <c r="U40" s="53" t="inlineStr">
        <is>
          <t>Loss</t>
        </is>
      </c>
      <c r="V40" s="53" t="inlineStr">
        <is>
          <t>Loss</t>
        </is>
      </c>
    </row>
    <row r="42" ht="15.75" customHeight="1">
      <c r="A42" s="41" t="inlineStr">
        <is>
          <t>Week 7</t>
        </is>
      </c>
    </row>
    <row r="43" ht="26.25" customHeight="1">
      <c r="A43" s="46" t="inlineStr">
        <is>
          <t>Week</t>
        </is>
      </c>
      <c r="B43" s="46" t="inlineStr">
        <is>
          <t>Date</t>
        </is>
      </c>
      <c r="C43" s="46" t="inlineStr">
        <is>
          <t>Home Conf</t>
        </is>
      </c>
      <c r="D43" s="46" t="inlineStr">
        <is>
          <t>Away Conf</t>
        </is>
      </c>
      <c r="E43" s="46" t="inlineStr">
        <is>
          <t>Away Team</t>
        </is>
      </c>
      <c r="F43" s="46" t="inlineStr">
        <is>
          <t>Home Team</t>
        </is>
      </c>
      <c r="G43" s="46" t="inlineStr">
        <is>
          <t>Model Line (Home)</t>
        </is>
      </c>
      <c r="H43" s="46" t="inlineStr">
        <is>
          <t>Market Line (Home)</t>
        </is>
      </c>
      <c r="I43" s="46" t="inlineStr">
        <is>
          <t>Spread Edge (pts)</t>
        </is>
      </c>
      <c r="J43" s="46" t="inlineStr">
        <is>
          <t>Ridge Line (Home)</t>
        </is>
      </c>
      <c r="K43" s="46" t="inlineStr">
        <is>
          <t>Massey Line (Home)</t>
        </is>
      </c>
      <c r="L43" s="46" t="inlineStr">
        <is>
          <t>Model Total</t>
        </is>
      </c>
      <c r="M43" s="46" t="inlineStr">
        <is>
          <t>Market Total</t>
        </is>
      </c>
      <c r="N43" s="46" t="inlineStr">
        <is>
          <t>Total Edge (pts)</t>
        </is>
      </c>
      <c r="O43" s="46" t="inlineStr">
        <is>
          <t>Away Pts</t>
        </is>
      </c>
      <c r="P43" s="46" t="inlineStr">
        <is>
          <t>Home Pts</t>
        </is>
      </c>
      <c r="Q43" s="46" t="inlineStr">
        <is>
          <t>Model Result (SU)</t>
        </is>
      </c>
      <c r="R43" s="46" t="inlineStr">
        <is>
          <t>XGBoost Line (Home)</t>
        </is>
      </c>
      <c r="S43" s="46" t="inlineStr">
        <is>
          <t>Gamma ATS</t>
        </is>
      </c>
      <c r="T43" s="46" t="inlineStr">
        <is>
          <t>Ridge ATS</t>
        </is>
      </c>
      <c r="U43" s="46" t="inlineStr">
        <is>
          <t>XGBoost ATS</t>
        </is>
      </c>
      <c r="V43" s="46" t="inlineStr">
        <is>
          <t>Massey ATS</t>
        </is>
      </c>
    </row>
    <row r="44">
      <c r="A44" s="42" t="n">
        <v>7</v>
      </c>
      <c r="B44" s="42" t="inlineStr">
        <is>
          <t>2026-10-15</t>
        </is>
      </c>
      <c r="C44" s="42" t="inlineStr">
        <is>
          <t>Sun Belt</t>
        </is>
      </c>
      <c r="D44" s="42" t="inlineStr">
        <is>
          <t>Sun Belt</t>
        </is>
      </c>
      <c r="E44" s="42" t="inlineStr">
        <is>
          <t>Georgia Southern</t>
        </is>
      </c>
      <c r="F44" s="42" t="inlineStr">
        <is>
          <t>Old Dominion</t>
        </is>
      </c>
      <c r="G44" s="42" t="n">
        <v>-12.2</v>
      </c>
      <c r="H44" s="42" t="n">
        <v>3.5</v>
      </c>
      <c r="I44" s="56" t="n">
        <v>15.7</v>
      </c>
      <c r="J44" s="42" t="n">
        <v>-3.2</v>
      </c>
      <c r="K44" s="42" t="n">
        <v>5.5</v>
      </c>
      <c r="L44" s="42" t="n">
        <v>46.4</v>
      </c>
      <c r="M44" s="42" t="n">
        <v>46.8</v>
      </c>
      <c r="N44" s="42" t="n">
        <v>-0.3</v>
      </c>
      <c r="O44" s="42" t="n">
        <v>23</v>
      </c>
      <c r="P44" s="42" t="n">
        <v>15</v>
      </c>
      <c r="Q44" s="48" t="inlineStr">
        <is>
          <t>Loss</t>
        </is>
      </c>
      <c r="R44" s="42" t="n">
        <v>-4.3</v>
      </c>
      <c r="S44" s="53" t="inlineStr">
        <is>
          <t>Loss</t>
        </is>
      </c>
      <c r="T44" s="53" t="inlineStr">
        <is>
          <t>Loss</t>
        </is>
      </c>
      <c r="U44" s="53" t="inlineStr">
        <is>
          <t>Loss</t>
        </is>
      </c>
      <c r="V44" s="52" t="inlineStr">
        <is>
          <t>Win</t>
        </is>
      </c>
    </row>
    <row r="45">
      <c r="A45" s="42" t="n">
        <v>7</v>
      </c>
      <c r="B45" s="42" t="inlineStr">
        <is>
          <t>2026-10-17</t>
        </is>
      </c>
      <c r="C45" s="42" t="inlineStr">
        <is>
          <t>Sun Belt</t>
        </is>
      </c>
      <c r="D45" s="42" t="inlineStr">
        <is>
          <t>Sun Belt</t>
        </is>
      </c>
      <c r="E45" s="42" t="inlineStr">
        <is>
          <t>App State</t>
        </is>
      </c>
      <c r="F45" s="42" t="inlineStr">
        <is>
          <t>Coastal Carolina</t>
        </is>
      </c>
      <c r="G45" s="42" t="n">
        <v>-2.3</v>
      </c>
      <c r="H45" s="42" t="n">
        <v>1.2</v>
      </c>
      <c r="I45" s="47" t="n">
        <v>3.5</v>
      </c>
      <c r="J45" s="42" t="n">
        <v>4.3</v>
      </c>
      <c r="K45" s="42" t="n">
        <v>-1</v>
      </c>
      <c r="L45" s="42" t="n">
        <v>53.4</v>
      </c>
      <c r="M45" s="42" t="n">
        <v>49.2</v>
      </c>
      <c r="N45" s="47" t="n">
        <v>4.2</v>
      </c>
      <c r="O45" s="42" t="n">
        <v>35</v>
      </c>
      <c r="P45" s="42" t="n">
        <v>32</v>
      </c>
      <c r="Q45" s="48" t="inlineStr">
        <is>
          <t>Loss</t>
        </is>
      </c>
      <c r="R45" s="42" t="n">
        <v>5.2</v>
      </c>
      <c r="S45" s="53" t="inlineStr">
        <is>
          <t>Loss</t>
        </is>
      </c>
      <c r="T45" s="52" t="inlineStr">
        <is>
          <t>Win</t>
        </is>
      </c>
      <c r="U45" s="52" t="inlineStr">
        <is>
          <t>Win</t>
        </is>
      </c>
      <c r="V45" s="53" t="inlineStr">
        <is>
          <t>Loss</t>
        </is>
      </c>
    </row>
    <row r="46">
      <c r="A46" s="42" t="n">
        <v>7</v>
      </c>
      <c r="B46" s="42" t="inlineStr">
        <is>
          <t>2026-10-17</t>
        </is>
      </c>
      <c r="C46" s="42" t="inlineStr">
        <is>
          <t>Sun Belt</t>
        </is>
      </c>
      <c r="D46" s="42" t="inlineStr">
        <is>
          <t>Sun Belt</t>
        </is>
      </c>
      <c r="E46" s="42" t="inlineStr">
        <is>
          <t>Georgia State</t>
        </is>
      </c>
      <c r="F46" s="42" t="inlineStr">
        <is>
          <t>James Madison</t>
        </is>
      </c>
      <c r="G46" s="42" t="n">
        <v>-18.3</v>
      </c>
      <c r="H46" s="42" t="n">
        <v>-12</v>
      </c>
      <c r="I46" s="56" t="n">
        <v>6.3</v>
      </c>
      <c r="J46" s="42" t="n">
        <v>-19.6</v>
      </c>
      <c r="K46" s="42" t="n">
        <v>-7</v>
      </c>
      <c r="L46" s="42" t="n">
        <v>54.5</v>
      </c>
      <c r="M46" s="42" t="n">
        <v>57.8</v>
      </c>
      <c r="N46" s="47" t="n">
        <v>-3.3</v>
      </c>
      <c r="O46" s="42" t="n">
        <v>22</v>
      </c>
      <c r="P46" s="42" t="n">
        <v>49</v>
      </c>
      <c r="Q46" s="47" t="inlineStr">
        <is>
          <t>Win</t>
        </is>
      </c>
      <c r="R46" s="42" t="n">
        <v>-22.7</v>
      </c>
      <c r="S46" s="52" t="inlineStr">
        <is>
          <t>Win</t>
        </is>
      </c>
      <c r="T46" s="52" t="inlineStr">
        <is>
          <t>Win</t>
        </is>
      </c>
      <c r="U46" s="52" t="inlineStr">
        <is>
          <t>Win</t>
        </is>
      </c>
      <c r="V46" s="53" t="inlineStr">
        <is>
          <t>Loss</t>
        </is>
      </c>
    </row>
    <row r="47">
      <c r="A47" s="42" t="n">
        <v>7</v>
      </c>
      <c r="B47" s="42" t="inlineStr">
        <is>
          <t>2026-10-17</t>
        </is>
      </c>
      <c r="C47" s="42" t="inlineStr">
        <is>
          <t>Sun Belt</t>
        </is>
      </c>
      <c r="D47" s="42" t="inlineStr">
        <is>
          <t>Sun Belt</t>
        </is>
      </c>
      <c r="E47" s="42" t="inlineStr">
        <is>
          <t>Troy</t>
        </is>
      </c>
      <c r="F47" s="42" t="inlineStr">
        <is>
          <t>Louisiana</t>
        </is>
      </c>
      <c r="G47" s="42" t="n">
        <v>-4.2</v>
      </c>
      <c r="H47" s="42" t="n">
        <v>-4</v>
      </c>
      <c r="I47" s="42" t="n">
        <v>0.2</v>
      </c>
      <c r="J47" s="42" t="n">
        <v>-6.3</v>
      </c>
      <c r="K47" s="42" t="n">
        <v>-4.6</v>
      </c>
      <c r="L47" s="42" t="n">
        <v>51</v>
      </c>
      <c r="M47" s="42" t="n">
        <v>49.2</v>
      </c>
      <c r="N47" s="42" t="n">
        <v>1.8</v>
      </c>
      <c r="O47" s="42" t="n">
        <v>6</v>
      </c>
      <c r="P47" s="42" t="n">
        <v>33</v>
      </c>
      <c r="Q47" s="47" t="inlineStr">
        <is>
          <t>Win</t>
        </is>
      </c>
      <c r="R47" s="42" t="n">
        <v>-4.7</v>
      </c>
      <c r="S47" s="52" t="inlineStr">
        <is>
          <t>Win</t>
        </is>
      </c>
      <c r="T47" s="52" t="inlineStr">
        <is>
          <t>Win</t>
        </is>
      </c>
      <c r="U47" s="52" t="inlineStr">
        <is>
          <t>Win</t>
        </is>
      </c>
      <c r="V47" s="52" t="inlineStr">
        <is>
          <t>Win</t>
        </is>
      </c>
    </row>
    <row r="48">
      <c r="A48" s="42" t="n">
        <v>7</v>
      </c>
      <c r="B48" s="42" t="inlineStr">
        <is>
          <t>2026-10-17</t>
        </is>
      </c>
      <c r="C48" s="42" t="inlineStr">
        <is>
          <t>Sun Belt</t>
        </is>
      </c>
      <c r="D48" s="42" t="inlineStr">
        <is>
          <t>Sun Belt</t>
        </is>
      </c>
      <c r="E48" s="42" t="inlineStr">
        <is>
          <t>Arkansas State</t>
        </is>
      </c>
      <c r="F48" s="42" t="inlineStr">
        <is>
          <t>Southern Miss</t>
        </is>
      </c>
      <c r="G48" s="42" t="n">
        <v>1.9</v>
      </c>
      <c r="H48" s="42" t="n">
        <v>7</v>
      </c>
      <c r="I48" s="56" t="n">
        <v>5.1</v>
      </c>
      <c r="J48" s="42" t="n">
        <v>3.8</v>
      </c>
      <c r="K48" s="42" t="n">
        <v>3</v>
      </c>
      <c r="L48" s="42" t="n">
        <v>57.9</v>
      </c>
      <c r="M48" s="42" t="n">
        <v>62.2</v>
      </c>
      <c r="N48" s="47" t="n">
        <v>-4.4</v>
      </c>
      <c r="O48" s="42" t="n">
        <v>23</v>
      </c>
      <c r="P48" s="42" t="n">
        <v>13</v>
      </c>
      <c r="Q48" s="47" t="inlineStr">
        <is>
          <t>Win</t>
        </is>
      </c>
      <c r="R48" s="42" t="n">
        <v>2.3</v>
      </c>
      <c r="S48" s="53" t="inlineStr">
        <is>
          <t>Loss</t>
        </is>
      </c>
      <c r="T48" s="53" t="inlineStr">
        <is>
          <t>Loss</t>
        </is>
      </c>
      <c r="U48" s="53" t="inlineStr">
        <is>
          <t>Loss</t>
        </is>
      </c>
      <c r="V48" s="53" t="inlineStr">
        <is>
          <t>Loss</t>
        </is>
      </c>
    </row>
    <row r="49">
      <c r="A49" s="42" t="n">
        <v>7</v>
      </c>
      <c r="B49" s="42" t="inlineStr">
        <is>
          <t>2026-10-18</t>
        </is>
      </c>
      <c r="C49" s="42" t="inlineStr">
        <is>
          <t>Sun Belt</t>
        </is>
      </c>
      <c r="D49" s="42" t="inlineStr">
        <is>
          <t>Sun Belt</t>
        </is>
      </c>
      <c r="E49" s="42" t="inlineStr">
        <is>
          <t>Louisiana Tech</t>
        </is>
      </c>
      <c r="F49" s="42" t="inlineStr">
        <is>
          <t>UL Monroe</t>
        </is>
      </c>
      <c r="G49" s="42" t="n">
        <v>16.2</v>
      </c>
      <c r="H49" s="42" t="n">
        <v>15.5</v>
      </c>
      <c r="I49" s="42" t="n">
        <v>-0.7</v>
      </c>
      <c r="J49" s="42" t="n">
        <v>14.4</v>
      </c>
      <c r="K49" s="42" t="n">
        <v>17.6</v>
      </c>
      <c r="L49" s="42" t="n">
        <v>52.1</v>
      </c>
      <c r="M49" s="42" t="n">
        <v>57.5</v>
      </c>
      <c r="N49" s="47" t="n">
        <v>-5.4</v>
      </c>
      <c r="O49" s="42" t="n">
        <v>24</v>
      </c>
      <c r="P49" s="42" t="n">
        <v>0</v>
      </c>
      <c r="Q49" s="47" t="inlineStr">
        <is>
          <t>Win</t>
        </is>
      </c>
      <c r="R49" s="42" t="n">
        <v>19.9</v>
      </c>
      <c r="S49" s="52" t="inlineStr">
        <is>
          <t>Win</t>
        </is>
      </c>
      <c r="T49" s="53" t="inlineStr">
        <is>
          <t>Loss</t>
        </is>
      </c>
      <c r="U49" s="52" t="inlineStr">
        <is>
          <t>Win</t>
        </is>
      </c>
      <c r="V49" s="52" t="inlineStr">
        <is>
          <t>Win</t>
        </is>
      </c>
    </row>
    <row r="51" ht="15.75" customHeight="1">
      <c r="A51" s="41" t="inlineStr">
        <is>
          <t>Week 6</t>
        </is>
      </c>
    </row>
    <row r="52" ht="26.25" customHeight="1">
      <c r="A52" s="46" t="inlineStr">
        <is>
          <t>Week</t>
        </is>
      </c>
      <c r="B52" s="46" t="inlineStr">
        <is>
          <t>Date</t>
        </is>
      </c>
      <c r="C52" s="46" t="inlineStr">
        <is>
          <t>Home Conf</t>
        </is>
      </c>
      <c r="D52" s="46" t="inlineStr">
        <is>
          <t>Away Conf</t>
        </is>
      </c>
      <c r="E52" s="46" t="inlineStr">
        <is>
          <t>Away Team</t>
        </is>
      </c>
      <c r="F52" s="46" t="inlineStr">
        <is>
          <t>Home Team</t>
        </is>
      </c>
      <c r="G52" s="46" t="inlineStr">
        <is>
          <t>Model Line (Home)</t>
        </is>
      </c>
      <c r="H52" s="46" t="inlineStr">
        <is>
          <t>Market Line (Home)</t>
        </is>
      </c>
      <c r="I52" s="46" t="inlineStr">
        <is>
          <t>Spread Edge (pts)</t>
        </is>
      </c>
      <c r="J52" s="46" t="inlineStr">
        <is>
          <t>Ridge Line (Home)</t>
        </is>
      </c>
      <c r="K52" s="46" t="inlineStr">
        <is>
          <t>Massey Line (Home)</t>
        </is>
      </c>
      <c r="L52" s="46" t="inlineStr">
        <is>
          <t>Model Total</t>
        </is>
      </c>
      <c r="M52" s="46" t="inlineStr">
        <is>
          <t>Market Total</t>
        </is>
      </c>
      <c r="N52" s="46" t="inlineStr">
        <is>
          <t>Total Edge (pts)</t>
        </is>
      </c>
      <c r="O52" s="46" t="inlineStr">
        <is>
          <t>Away Pts</t>
        </is>
      </c>
      <c r="P52" s="46" t="inlineStr">
        <is>
          <t>Home Pts</t>
        </is>
      </c>
      <c r="Q52" s="46" t="inlineStr">
        <is>
          <t>Model Result (SU)</t>
        </is>
      </c>
      <c r="R52" s="46" t="inlineStr">
        <is>
          <t>XGBoost Line (Home)</t>
        </is>
      </c>
      <c r="S52" s="46" t="inlineStr">
        <is>
          <t>Gamma ATS</t>
        </is>
      </c>
      <c r="T52" s="46" t="inlineStr">
        <is>
          <t>Ridge ATS</t>
        </is>
      </c>
      <c r="U52" s="46" t="inlineStr">
        <is>
          <t>XGBoost ATS</t>
        </is>
      </c>
      <c r="V52" s="46" t="inlineStr">
        <is>
          <t>Massey ATS</t>
        </is>
      </c>
    </row>
    <row r="53">
      <c r="A53" s="42" t="n">
        <v>6</v>
      </c>
      <c r="B53" s="42" t="inlineStr">
        <is>
          <t>2026-10-07</t>
        </is>
      </c>
      <c r="C53" s="42" t="inlineStr">
        <is>
          <t>Sun Belt</t>
        </is>
      </c>
      <c r="D53" s="42" t="inlineStr">
        <is>
          <t>Sun Belt</t>
        </is>
      </c>
      <c r="E53" s="42" t="inlineStr">
        <is>
          <t>Southern Miss</t>
        </is>
      </c>
      <c r="F53" s="42" t="inlineStr">
        <is>
          <t>Troy</t>
        </is>
      </c>
      <c r="G53" s="42" t="n">
        <v>-5.7</v>
      </c>
      <c r="H53" s="42" t="n">
        <v>-9.5</v>
      </c>
      <c r="I53" s="47" t="n">
        <v>-3.8</v>
      </c>
      <c r="J53" s="42" t="n">
        <v>-10.4</v>
      </c>
      <c r="K53" s="42" t="n">
        <v>-8.1</v>
      </c>
      <c r="L53" s="42" t="n">
        <v>49.5</v>
      </c>
      <c r="M53" s="42" t="n">
        <v>51.5</v>
      </c>
      <c r="N53" s="47" t="n">
        <v>-2</v>
      </c>
      <c r="O53" s="42" t="n">
        <v>34</v>
      </c>
      <c r="P53" s="42" t="n">
        <v>55</v>
      </c>
      <c r="Q53" s="47" t="inlineStr">
        <is>
          <t>Win</t>
        </is>
      </c>
      <c r="R53" s="42" t="n">
        <v>-8</v>
      </c>
      <c r="S53" s="53" t="inlineStr">
        <is>
          <t>Loss</t>
        </is>
      </c>
      <c r="T53" s="52" t="inlineStr">
        <is>
          <t>Win</t>
        </is>
      </c>
      <c r="U53" s="53" t="inlineStr">
        <is>
          <t>Loss</t>
        </is>
      </c>
      <c r="V53" s="53" t="inlineStr">
        <is>
          <t>Loss</t>
        </is>
      </c>
    </row>
    <row r="54">
      <c r="A54" s="42" t="n">
        <v>6</v>
      </c>
      <c r="B54" s="42" t="inlineStr">
        <is>
          <t>2026-10-08</t>
        </is>
      </c>
      <c r="C54" s="42" t="inlineStr">
        <is>
          <t>Sun Belt</t>
        </is>
      </c>
      <c r="D54" s="42" t="inlineStr">
        <is>
          <t>Sun Belt</t>
        </is>
      </c>
      <c r="E54" s="42" t="inlineStr">
        <is>
          <t>South Alabama</t>
        </is>
      </c>
      <c r="F54" s="42" t="inlineStr">
        <is>
          <t>Arkansas State</t>
        </is>
      </c>
      <c r="G54" s="42" t="n">
        <v>-4.3</v>
      </c>
      <c r="H54" s="42" t="n">
        <v>-3</v>
      </c>
      <c r="I54" s="42" t="n">
        <v>1.3</v>
      </c>
      <c r="J54" s="42" t="n">
        <v>-0.2</v>
      </c>
      <c r="K54" s="42" t="n">
        <v>-3.3</v>
      </c>
      <c r="L54" s="42" t="n">
        <v>60.5</v>
      </c>
      <c r="M54" s="42" t="n">
        <v>60.2</v>
      </c>
      <c r="N54" s="42" t="n">
        <v>0.2</v>
      </c>
      <c r="O54" s="42" t="n">
        <v>56</v>
      </c>
      <c r="P54" s="42" t="n">
        <v>49</v>
      </c>
      <c r="Q54" s="48" t="inlineStr">
        <is>
          <t>Loss</t>
        </is>
      </c>
      <c r="R54" s="42" t="n">
        <v>-0.6</v>
      </c>
      <c r="S54" s="53" t="inlineStr">
        <is>
          <t>Loss</t>
        </is>
      </c>
      <c r="T54" s="52" t="inlineStr">
        <is>
          <t>Win</t>
        </is>
      </c>
      <c r="U54" s="52" t="inlineStr">
        <is>
          <t>Win</t>
        </is>
      </c>
      <c r="V54" s="53" t="inlineStr">
        <is>
          <t>Loss</t>
        </is>
      </c>
    </row>
    <row r="55">
      <c r="A55" s="42" t="n">
        <v>6</v>
      </c>
      <c r="B55" s="42" t="inlineStr">
        <is>
          <t>2026-10-10</t>
        </is>
      </c>
      <c r="C55" s="42" t="inlineStr">
        <is>
          <t>Sun Belt</t>
        </is>
      </c>
      <c r="D55" s="42" t="inlineStr">
        <is>
          <t>Sun Belt</t>
        </is>
      </c>
      <c r="E55" s="42" t="inlineStr">
        <is>
          <t>Old Dominion</t>
        </is>
      </c>
      <c r="F55" s="42" t="inlineStr">
        <is>
          <t>App State</t>
        </is>
      </c>
      <c r="G55" s="42" t="n">
        <v>6.8</v>
      </c>
      <c r="H55" s="42" t="n">
        <v>-9.5</v>
      </c>
      <c r="I55" s="56" t="n">
        <v>-16.3</v>
      </c>
      <c r="J55" s="42" t="n">
        <v>-8.6</v>
      </c>
      <c r="K55" s="42" t="n">
        <v>-13.4</v>
      </c>
      <c r="L55" s="42" t="n">
        <v>48.7</v>
      </c>
      <c r="M55" s="42" t="n">
        <v>47.8</v>
      </c>
      <c r="N55" s="42" t="n">
        <v>0.9</v>
      </c>
      <c r="O55" s="42" t="n">
        <v>10</v>
      </c>
      <c r="P55" s="42" t="n">
        <v>3</v>
      </c>
      <c r="Q55" s="47" t="inlineStr">
        <is>
          <t>Win</t>
        </is>
      </c>
      <c r="R55" s="42" t="n">
        <v>-6.1</v>
      </c>
      <c r="S55" s="52" t="inlineStr">
        <is>
          <t>Win</t>
        </is>
      </c>
      <c r="T55" s="53" t="inlineStr">
        <is>
          <t>Loss</t>
        </is>
      </c>
      <c r="U55" s="52" t="inlineStr">
        <is>
          <t>Win</t>
        </is>
      </c>
      <c r="V55" s="53" t="inlineStr">
        <is>
          <t>Loss</t>
        </is>
      </c>
    </row>
    <row r="56">
      <c r="A56" s="42" t="n">
        <v>6</v>
      </c>
      <c r="B56" s="42" t="inlineStr">
        <is>
          <t>2026-10-10</t>
        </is>
      </c>
      <c r="C56" s="42" t="inlineStr">
        <is>
          <t>Sun Belt</t>
        </is>
      </c>
      <c r="D56" s="42" t="inlineStr">
        <is>
          <t>Sun Belt</t>
        </is>
      </c>
      <c r="E56" s="42" t="inlineStr">
        <is>
          <t>James Madison</t>
        </is>
      </c>
      <c r="F56" s="42" t="inlineStr">
        <is>
          <t>Georgia Southern</t>
        </is>
      </c>
      <c r="G56" s="42" t="n">
        <v>13.9</v>
      </c>
      <c r="H56" s="42" t="n">
        <v>7.5</v>
      </c>
      <c r="I56" s="56" t="n">
        <v>-6.4</v>
      </c>
      <c r="J56" s="42" t="n">
        <v>15.4</v>
      </c>
      <c r="K56" s="42" t="n">
        <v>12.1</v>
      </c>
      <c r="L56" s="42" t="n">
        <v>55.2</v>
      </c>
      <c r="M56" s="42" t="n">
        <v>51.8</v>
      </c>
      <c r="N56" s="47" t="n">
        <v>3.4</v>
      </c>
      <c r="O56" s="42" t="n">
        <v>27</v>
      </c>
      <c r="P56" s="42" t="n">
        <v>24</v>
      </c>
      <c r="Q56" s="47" t="inlineStr">
        <is>
          <t>Win</t>
        </is>
      </c>
      <c r="R56" s="42" t="n">
        <v>17</v>
      </c>
      <c r="S56" s="53" t="inlineStr">
        <is>
          <t>Loss</t>
        </is>
      </c>
      <c r="T56" s="53" t="inlineStr">
        <is>
          <t>Loss</t>
        </is>
      </c>
      <c r="U56" s="53" t="inlineStr">
        <is>
          <t>Loss</t>
        </is>
      </c>
      <c r="V56" s="53" t="inlineStr">
        <is>
          <t>Loss</t>
        </is>
      </c>
    </row>
    <row r="57">
      <c r="A57" s="42" t="n">
        <v>6</v>
      </c>
      <c r="B57" s="42" t="inlineStr">
        <is>
          <t>2026-10-10</t>
        </is>
      </c>
      <c r="C57" s="42" t="inlineStr">
        <is>
          <t>Sun Belt</t>
        </is>
      </c>
      <c r="D57" s="42" t="inlineStr">
        <is>
          <t>Sun Belt</t>
        </is>
      </c>
      <c r="E57" s="42" t="inlineStr">
        <is>
          <t>Louisiana</t>
        </is>
      </c>
      <c r="F57" s="42" t="inlineStr">
        <is>
          <t>Louisiana Tech</t>
        </is>
      </c>
      <c r="G57" s="42" t="n">
        <v>2.9</v>
      </c>
      <c r="H57" s="42" t="n">
        <v>-3</v>
      </c>
      <c r="I57" s="56" t="n">
        <v>-5.9</v>
      </c>
      <c r="J57" s="42" t="n">
        <v>4.3</v>
      </c>
      <c r="K57" s="42" t="n">
        <v>-6.6</v>
      </c>
      <c r="L57" s="42" t="n">
        <v>49.3</v>
      </c>
      <c r="M57" s="42" t="n">
        <v>46.8</v>
      </c>
      <c r="N57" s="47" t="n">
        <v>2.5</v>
      </c>
      <c r="O57" s="42" t="n">
        <v>31</v>
      </c>
      <c r="P57" s="42" t="n">
        <v>32</v>
      </c>
      <c r="Q57" s="48" t="inlineStr">
        <is>
          <t>Loss</t>
        </is>
      </c>
      <c r="R57" s="42" t="n">
        <v>6.6</v>
      </c>
      <c r="S57" s="52" t="inlineStr">
        <is>
          <t>Win</t>
        </is>
      </c>
      <c r="T57" s="52" t="inlineStr">
        <is>
          <t>Win</t>
        </is>
      </c>
      <c r="U57" s="52" t="inlineStr">
        <is>
          <t>Win</t>
        </is>
      </c>
      <c r="V57" s="53" t="inlineStr">
        <is>
          <t>Loss</t>
        </is>
      </c>
    </row>
    <row r="58">
      <c r="A58" s="42" t="n">
        <v>6</v>
      </c>
      <c r="B58" s="42" t="inlineStr">
        <is>
          <t>2026-10-10</t>
        </is>
      </c>
      <c r="C58" s="42" t="inlineStr">
        <is>
          <t>Sun Belt</t>
        </is>
      </c>
      <c r="D58" s="42" t="inlineStr">
        <is>
          <t>Sun Belt</t>
        </is>
      </c>
      <c r="E58" s="42" t="inlineStr">
        <is>
          <t>Coastal Carolina</t>
        </is>
      </c>
      <c r="F58" s="42" t="inlineStr">
        <is>
          <t>Marshall</t>
        </is>
      </c>
      <c r="G58" s="42" t="n">
        <v>-4</v>
      </c>
      <c r="H58" s="42" t="n">
        <v>-4</v>
      </c>
      <c r="I58" s="42" t="n">
        <v>0</v>
      </c>
      <c r="J58" s="42" t="n">
        <v>-15.7</v>
      </c>
      <c r="K58" s="42" t="n">
        <v>3.4</v>
      </c>
      <c r="L58" s="42" t="n">
        <v>60.7</v>
      </c>
      <c r="M58" s="42" t="n">
        <v>58.8</v>
      </c>
      <c r="N58" s="47" t="n">
        <v>2</v>
      </c>
      <c r="O58" s="42" t="n">
        <v>27</v>
      </c>
      <c r="P58" s="42" t="n">
        <v>21</v>
      </c>
      <c r="Q58" s="48" t="inlineStr">
        <is>
          <t>Loss</t>
        </is>
      </c>
      <c r="R58" s="42" t="n">
        <v>-13.8</v>
      </c>
      <c r="S58" s="53" t="inlineStr">
        <is>
          <t>Loss</t>
        </is>
      </c>
      <c r="T58" s="53" t="inlineStr">
        <is>
          <t>Loss</t>
        </is>
      </c>
      <c r="U58" s="53" t="inlineStr">
        <is>
          <t>Loss</t>
        </is>
      </c>
      <c r="V58" s="52" t="inlineStr">
        <is>
          <t>Win</t>
        </is>
      </c>
    </row>
    <row r="60">
      <c r="A60" s="41" t="inlineStr">
        <is>
          <t>Week 5</t>
        </is>
      </c>
    </row>
    <row r="61">
      <c r="A61" s="46" t="inlineStr">
        <is>
          <t>Week</t>
        </is>
      </c>
      <c r="B61" s="46" t="inlineStr">
        <is>
          <t>Date</t>
        </is>
      </c>
      <c r="C61" s="46" t="inlineStr">
        <is>
          <t>Home Conf</t>
        </is>
      </c>
      <c r="D61" s="46" t="inlineStr">
        <is>
          <t>Away Conf</t>
        </is>
      </c>
      <c r="E61" s="46" t="inlineStr">
        <is>
          <t>Away Team</t>
        </is>
      </c>
      <c r="F61" s="46" t="inlineStr">
        <is>
          <t>Home Team</t>
        </is>
      </c>
      <c r="G61" s="46" t="inlineStr">
        <is>
          <t>Model Line (Home)</t>
        </is>
      </c>
      <c r="H61" s="46" t="inlineStr">
        <is>
          <t>Market Line (Home)</t>
        </is>
      </c>
      <c r="I61" s="46" t="inlineStr">
        <is>
          <t>Spread Edge (pts)</t>
        </is>
      </c>
      <c r="J61" s="46" t="inlineStr">
        <is>
          <t>Ridge Line (Home)</t>
        </is>
      </c>
      <c r="K61" s="46" t="inlineStr">
        <is>
          <t>Massey Line (Home)</t>
        </is>
      </c>
      <c r="L61" s="46" t="inlineStr">
        <is>
          <t>Model Total</t>
        </is>
      </c>
      <c r="M61" s="46" t="inlineStr">
        <is>
          <t>Market Total</t>
        </is>
      </c>
      <c r="N61" s="46" t="inlineStr">
        <is>
          <t>Total Edge (pts)</t>
        </is>
      </c>
      <c r="O61" s="46" t="inlineStr">
        <is>
          <t>Away Pts</t>
        </is>
      </c>
      <c r="P61" s="46" t="inlineStr">
        <is>
          <t>Home Pts</t>
        </is>
      </c>
      <c r="Q61" s="46" t="inlineStr">
        <is>
          <t>Model Result (SU)</t>
        </is>
      </c>
      <c r="R61" s="46" t="inlineStr">
        <is>
          <t>XGBoost Line (Home)</t>
        </is>
      </c>
      <c r="S61" s="46" t="inlineStr">
        <is>
          <t>Gamma ATS</t>
        </is>
      </c>
      <c r="T61" s="46" t="inlineStr">
        <is>
          <t>Ridge ATS</t>
        </is>
      </c>
      <c r="U61" s="46" t="inlineStr">
        <is>
          <t>XGBoost ATS</t>
        </is>
      </c>
      <c r="V61" s="46" t="inlineStr">
        <is>
          <t>Massey ATS</t>
        </is>
      </c>
    </row>
    <row r="62">
      <c r="A62" s="42" t="n">
        <v>5</v>
      </c>
      <c r="B62" s="42" t="inlineStr">
        <is>
          <t>2026-10-03</t>
        </is>
      </c>
      <c r="C62" s="42" t="inlineStr">
        <is>
          <t>Sun Belt</t>
        </is>
      </c>
      <c r="D62" s="42" t="inlineStr">
        <is>
          <t>Sun Belt</t>
        </is>
      </c>
      <c r="E62" s="42" t="inlineStr">
        <is>
          <t>Georgia Southern</t>
        </is>
      </c>
      <c r="F62" s="42" t="inlineStr">
        <is>
          <t>Coastal Carolina</t>
        </is>
      </c>
      <c r="G62" s="42" t="n">
        <v>0.5</v>
      </c>
      <c r="H62" s="42" t="n">
        <v>2.2</v>
      </c>
      <c r="I62" s="42" t="n">
        <v>1.7</v>
      </c>
      <c r="J62" s="42" t="n">
        <v>0.4</v>
      </c>
      <c r="K62" s="42" t="n">
        <v>-2.4</v>
      </c>
      <c r="L62" s="42" t="n">
        <v>55.6</v>
      </c>
      <c r="M62" s="42" t="n">
        <v>53.5</v>
      </c>
      <c r="N62" s="47" t="n">
        <v>2.1</v>
      </c>
      <c r="O62" s="42" t="n">
        <v>31</v>
      </c>
      <c r="P62" s="42" t="n">
        <v>24</v>
      </c>
      <c r="Q62" s="47" t="inlineStr">
        <is>
          <t>Win</t>
        </is>
      </c>
      <c r="R62" s="42" t="n">
        <v>1.8</v>
      </c>
      <c r="S62" s="53" t="inlineStr">
        <is>
          <t>Loss</t>
        </is>
      </c>
      <c r="T62" s="53" t="inlineStr">
        <is>
          <t>Loss</t>
        </is>
      </c>
      <c r="U62" s="52" t="inlineStr">
        <is>
          <t>Win</t>
        </is>
      </c>
      <c r="V62" s="53" t="inlineStr">
        <is>
          <t>Loss</t>
        </is>
      </c>
    </row>
    <row r="63">
      <c r="A63" s="42" t="n">
        <v>5</v>
      </c>
      <c r="B63" s="42" t="inlineStr">
        <is>
          <t>2026-10-03</t>
        </is>
      </c>
      <c r="C63" s="42" t="inlineStr">
        <is>
          <t>Sun Belt</t>
        </is>
      </c>
      <c r="D63" s="42" t="inlineStr">
        <is>
          <t>Sun Belt</t>
        </is>
      </c>
      <c r="E63" s="42" t="inlineStr">
        <is>
          <t>Old Dominion</t>
        </is>
      </c>
      <c r="F63" s="42" t="inlineStr">
        <is>
          <t>Georgia State</t>
        </is>
      </c>
      <c r="G63" s="42" t="n">
        <v>11.3</v>
      </c>
      <c r="H63" s="42" t="n">
        <v>-2</v>
      </c>
      <c r="I63" s="56" t="n">
        <v>-13.3</v>
      </c>
      <c r="J63" s="42" t="n">
        <v>-0.2</v>
      </c>
      <c r="K63" s="42" t="n">
        <v>-16.4</v>
      </c>
      <c r="L63" s="42" t="n">
        <v>48.5</v>
      </c>
      <c r="M63" s="42" t="n">
        <v>51.5</v>
      </c>
      <c r="N63" s="47" t="n">
        <v>-3</v>
      </c>
      <c r="O63" s="42" t="n">
        <v>10</v>
      </c>
      <c r="P63" s="42" t="n">
        <v>42</v>
      </c>
      <c r="Q63" s="48" t="inlineStr">
        <is>
          <t>Loss</t>
        </is>
      </c>
      <c r="R63" s="42" t="n">
        <v>0.2</v>
      </c>
      <c r="S63" s="53" t="inlineStr">
        <is>
          <t>Loss</t>
        </is>
      </c>
      <c r="T63" s="53" t="inlineStr">
        <is>
          <t>Loss</t>
        </is>
      </c>
      <c r="U63" s="53" t="inlineStr">
        <is>
          <t>Loss</t>
        </is>
      </c>
      <c r="V63" s="52" t="inlineStr">
        <is>
          <t>Win</t>
        </is>
      </c>
    </row>
    <row r="64">
      <c r="A64" s="42" t="n">
        <v>5</v>
      </c>
      <c r="B64" s="42" t="inlineStr">
        <is>
          <t>2026-10-03</t>
        </is>
      </c>
      <c r="C64" s="42" t="inlineStr">
        <is>
          <t>Sun Belt</t>
        </is>
      </c>
      <c r="D64" s="42" t="inlineStr">
        <is>
          <t>Sun Belt</t>
        </is>
      </c>
      <c r="E64" s="42" t="inlineStr">
        <is>
          <t>Marshall</t>
        </is>
      </c>
      <c r="F64" s="42" t="inlineStr">
        <is>
          <t>James Madison</t>
        </is>
      </c>
      <c r="G64" s="42" t="n">
        <v>-20.8</v>
      </c>
      <c r="H64" s="42" t="n">
        <v>-16.2</v>
      </c>
      <c r="I64" s="56" t="n">
        <v>4.6</v>
      </c>
      <c r="J64" s="42" t="n">
        <v>-12.3</v>
      </c>
      <c r="K64" s="42" t="n">
        <v>-25.1</v>
      </c>
      <c r="L64" s="42" t="n">
        <v>56.1</v>
      </c>
      <c r="M64" s="42" t="n">
        <v>55.8</v>
      </c>
      <c r="N64" s="42" t="n">
        <v>0.4</v>
      </c>
      <c r="O64" s="42" t="n">
        <v>17</v>
      </c>
      <c r="P64" s="42" t="n">
        <v>45</v>
      </c>
      <c r="Q64" s="47" t="inlineStr">
        <is>
          <t>Win</t>
        </is>
      </c>
      <c r="R64" s="42" t="n">
        <v>-15.6</v>
      </c>
      <c r="S64" s="52" t="inlineStr">
        <is>
          <t>Win</t>
        </is>
      </c>
      <c r="T64" s="53" t="inlineStr">
        <is>
          <t>Loss</t>
        </is>
      </c>
      <c r="U64" s="52" t="inlineStr">
        <is>
          <t>Win</t>
        </is>
      </c>
      <c r="V64" s="52" t="inlineStr">
        <is>
          <t>Win</t>
        </is>
      </c>
    </row>
    <row r="65">
      <c r="A65" s="42" t="n">
        <v>5</v>
      </c>
      <c r="B65" s="42" t="inlineStr">
        <is>
          <t>2026-10-03</t>
        </is>
      </c>
      <c r="C65" s="42" t="inlineStr">
        <is>
          <t>Sun Belt</t>
        </is>
      </c>
      <c r="D65" s="42" t="inlineStr">
        <is>
          <t>American Athletic</t>
        </is>
      </c>
      <c r="E65" s="42" t="inlineStr">
        <is>
          <t>Army</t>
        </is>
      </c>
      <c r="F65" s="42" t="inlineStr">
        <is>
          <t>Louisiana Tech</t>
        </is>
      </c>
      <c r="G65" s="42" t="n">
        <v>9.199999999999999</v>
      </c>
      <c r="H65" s="42" t="n">
        <v>-0.2</v>
      </c>
      <c r="I65" s="56" t="n">
        <v>-9.4</v>
      </c>
      <c r="J65" s="42" t="n">
        <v>-8.1</v>
      </c>
      <c r="K65" s="42" t="n">
        <v>-0.1</v>
      </c>
      <c r="L65" s="42" t="n">
        <v>53.3</v>
      </c>
      <c r="M65" s="42" t="n">
        <v>46.8</v>
      </c>
      <c r="N65" s="47" t="n">
        <v>6.5</v>
      </c>
      <c r="O65" s="42" t="n">
        <v>29</v>
      </c>
      <c r="P65" s="42" t="n">
        <v>31</v>
      </c>
      <c r="Q65" s="48" t="inlineStr">
        <is>
          <t>Loss</t>
        </is>
      </c>
      <c r="R65" s="42" t="n">
        <v>-5.4</v>
      </c>
      <c r="S65" s="53" t="inlineStr">
        <is>
          <t>Loss</t>
        </is>
      </c>
      <c r="T65" s="52" t="inlineStr">
        <is>
          <t>Win</t>
        </is>
      </c>
      <c r="U65" s="52" t="inlineStr">
        <is>
          <t>Win</t>
        </is>
      </c>
      <c r="V65" s="52" t="inlineStr">
        <is>
          <t>Win</t>
        </is>
      </c>
    </row>
    <row r="66">
      <c r="A66" s="42" t="n">
        <v>5</v>
      </c>
      <c r="B66" s="42" t="inlineStr">
        <is>
          <t>2026-10-03</t>
        </is>
      </c>
      <c r="C66" s="42" t="inlineStr">
        <is>
          <t>Sun Belt</t>
        </is>
      </c>
      <c r="D66" s="42" t="inlineStr">
        <is>
          <t>Sun Belt</t>
        </is>
      </c>
      <c r="E66" s="42" t="inlineStr">
        <is>
          <t>UL Monroe</t>
        </is>
      </c>
      <c r="F66" s="42" t="inlineStr">
        <is>
          <t>South Alabama</t>
        </is>
      </c>
      <c r="G66" s="42" t="n">
        <v>-14.4</v>
      </c>
      <c r="H66" s="42" t="n">
        <v>-13.2</v>
      </c>
      <c r="I66" s="42" t="n">
        <v>1.2</v>
      </c>
      <c r="J66" s="42" t="n">
        <v>-21</v>
      </c>
      <c r="K66" s="42" t="n">
        <v>-16.8</v>
      </c>
      <c r="L66" s="42" t="n">
        <v>56.6</v>
      </c>
      <c r="M66" s="42" t="n">
        <v>57</v>
      </c>
      <c r="N66" s="42" t="n">
        <v>-0.4</v>
      </c>
      <c r="O66" s="42" t="n">
        <v>35</v>
      </c>
      <c r="P66" s="42" t="n">
        <v>52</v>
      </c>
      <c r="Q66" s="47" t="inlineStr">
        <is>
          <t>Win</t>
        </is>
      </c>
      <c r="R66" s="42" t="n">
        <v>-21.5</v>
      </c>
      <c r="S66" s="52" t="inlineStr">
        <is>
          <t>Win</t>
        </is>
      </c>
      <c r="T66" s="52" t="inlineStr">
        <is>
          <t>Win</t>
        </is>
      </c>
      <c r="U66" s="52" t="inlineStr">
        <is>
          <t>Win</t>
        </is>
      </c>
      <c r="V66" s="52" t="inlineStr">
        <is>
          <t>Win</t>
        </is>
      </c>
    </row>
    <row r="67">
      <c r="A67" s="42" t="n">
        <v>5</v>
      </c>
      <c r="B67" s="42" t="inlineStr">
        <is>
          <t>2026-10-04</t>
        </is>
      </c>
      <c r="C67" s="42" t="inlineStr">
        <is>
          <t>Sun Belt</t>
        </is>
      </c>
      <c r="D67" s="42" t="inlineStr">
        <is>
          <t>Sun Belt</t>
        </is>
      </c>
      <c r="E67" s="42" t="inlineStr">
        <is>
          <t>Arkansas State</t>
        </is>
      </c>
      <c r="F67" s="42" t="inlineStr">
        <is>
          <t>Louisiana</t>
        </is>
      </c>
      <c r="G67" s="42" t="n">
        <v>-6.1</v>
      </c>
      <c r="H67" s="42" t="n">
        <v>-5.2</v>
      </c>
      <c r="I67" s="42" t="n">
        <v>0.9</v>
      </c>
      <c r="J67" s="42" t="n">
        <v>-7.4</v>
      </c>
      <c r="K67" s="42" t="n">
        <v>-9.300000000000001</v>
      </c>
      <c r="L67" s="42" t="n">
        <v>51.4</v>
      </c>
      <c r="M67" s="42" t="n">
        <v>49</v>
      </c>
      <c r="N67" s="47" t="n">
        <v>2.4</v>
      </c>
      <c r="O67" s="42" t="n">
        <v>20</v>
      </c>
      <c r="P67" s="42" t="n">
        <v>23</v>
      </c>
      <c r="Q67" s="47" t="inlineStr">
        <is>
          <t>Win</t>
        </is>
      </c>
      <c r="R67" s="42" t="n">
        <v>-6.1</v>
      </c>
      <c r="S67" s="53" t="inlineStr">
        <is>
          <t>Loss</t>
        </is>
      </c>
      <c r="T67" s="53" t="inlineStr">
        <is>
          <t>Loss</t>
        </is>
      </c>
      <c r="U67" s="53" t="inlineStr">
        <is>
          <t>Loss</t>
        </is>
      </c>
      <c r="V67" s="53" t="inlineStr">
        <is>
          <t>Loss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0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24" customWidth="1" min="4" max="4"/>
    <col width="24" customWidth="1" min="5" max="5"/>
    <col width="12" customWidth="1" min="6" max="6"/>
    <col width="16" customWidth="1" min="7" max="7"/>
    <col width="16" customWidth="1" min="8" max="8"/>
    <col width="16" customWidth="1" min="9" max="9"/>
    <col width="11" customWidth="1" min="10" max="10"/>
    <col width="10" customWidth="1" min="11" max="11"/>
    <col width="10" customWidth="1" min="12" max="12"/>
    <col width="16" customWidth="1" min="13" max="13"/>
  </cols>
  <sheetData>
    <row r="1">
      <c r="A1" s="57" t="inlineStr">
        <is>
          <t>Closing Line Value -- Dub Gamma picks</t>
        </is>
      </c>
    </row>
    <row r="2" ht="48" customHeight="1">
      <c r="A2" s="58" t="inlineStr">
        <is>
          <t>CLV (pts) = entry line - closing line for a Home pick, closing - entry for an Away pick. Positive = you got a better number than the close. 'logged' = the market line when the workflow first saw the game; 'open' = the market's opening line. Refreshed on every pipeline run.</t>
        </is>
      </c>
    </row>
    <row r="4">
      <c r="A4" s="59" t="inlineStr">
        <is>
          <t>Logged entry (live)</t>
        </is>
      </c>
    </row>
    <row r="5">
      <c r="A5" s="60" t="inlineStr">
        <is>
          <t>Slice</t>
        </is>
      </c>
      <c r="B5" s="60" t="inlineStr">
        <is>
          <t>Games</t>
        </is>
      </c>
      <c r="C5" s="60" t="inlineStr">
        <is>
          <t>Avg CLV (pts)</t>
        </is>
      </c>
      <c r="D5" s="60" t="inlineStr">
        <is>
          <t>% Positive</t>
        </is>
      </c>
      <c r="E5" s="60" t="inlineStr">
        <is>
          <t>% Negative</t>
        </is>
      </c>
      <c r="F5" s="60" t="inlineStr">
        <is>
          <t>% Unchanged</t>
        </is>
      </c>
    </row>
    <row r="6">
      <c r="A6" t="inlineStr">
        <is>
          <t>All picks</t>
        </is>
      </c>
      <c r="B6" t="n">
        <v>0</v>
      </c>
      <c r="D6" s="61" t="n"/>
      <c r="E6" s="61" t="n"/>
      <c r="F6" s="61" t="n"/>
    </row>
    <row r="7">
      <c r="A7" t="inlineStr">
        <is>
          <t>Real edge (&gt;= 2 pts)</t>
        </is>
      </c>
      <c r="B7" t="n">
        <v>0</v>
      </c>
      <c r="D7" s="61" t="n"/>
      <c r="E7" s="61" t="n"/>
      <c r="F7" s="61" t="n"/>
    </row>
    <row r="9">
      <c r="A9" s="59" t="inlineStr">
        <is>
          <t>Opening line</t>
        </is>
      </c>
    </row>
    <row r="10">
      <c r="A10" s="60" t="inlineStr">
        <is>
          <t>Slice</t>
        </is>
      </c>
      <c r="B10" s="60" t="inlineStr">
        <is>
          <t>Games</t>
        </is>
      </c>
      <c r="C10" s="60" t="inlineStr">
        <is>
          <t>Avg CLV (pts)</t>
        </is>
      </c>
      <c r="D10" s="60" t="inlineStr">
        <is>
          <t>% Positive</t>
        </is>
      </c>
      <c r="E10" s="60" t="inlineStr">
        <is>
          <t>% Negative</t>
        </is>
      </c>
      <c r="F10" s="60" t="inlineStr">
        <is>
          <t>% Unchanged</t>
        </is>
      </c>
    </row>
    <row r="11">
      <c r="A11" t="inlineStr">
        <is>
          <t>All picks</t>
        </is>
      </c>
      <c r="B11" t="n">
        <v>393</v>
      </c>
      <c r="C11" t="n">
        <v>0.194</v>
      </c>
      <c r="D11" s="61" t="n">
        <v>0.489</v>
      </c>
      <c r="E11" s="61" t="n">
        <v>0.407</v>
      </c>
      <c r="F11" s="61" t="n">
        <v>0.104</v>
      </c>
    </row>
    <row r="12">
      <c r="A12" t="inlineStr">
        <is>
          <t>Real edge (&gt;= 2 pts)</t>
        </is>
      </c>
      <c r="B12" t="n">
        <v>287</v>
      </c>
      <c r="C12" t="n">
        <v>0.319</v>
      </c>
      <c r="D12" s="61" t="n">
        <v>0.502</v>
      </c>
      <c r="E12" s="61" t="n">
        <v>0.401</v>
      </c>
      <c r="F12" s="61" t="n">
        <v>0.098</v>
      </c>
    </row>
    <row r="15">
      <c r="A15" s="60" t="inlineStr">
        <is>
          <t>Basis</t>
        </is>
      </c>
      <c r="B15" s="60" t="inlineStr">
        <is>
          <t>Season</t>
        </is>
      </c>
      <c r="C15" s="60" t="inlineStr">
        <is>
          <t>Week</t>
        </is>
      </c>
      <c r="D15" s="60" t="inlineStr">
        <is>
          <t>Away</t>
        </is>
      </c>
      <c r="E15" s="60" t="inlineStr">
        <is>
          <t>Home</t>
        </is>
      </c>
      <c r="F15" s="60" t="inlineStr">
        <is>
          <t>Gamma Lean</t>
        </is>
      </c>
      <c r="G15" s="60" t="inlineStr">
        <is>
          <t>Gamma Line (Home)</t>
        </is>
      </c>
      <c r="H15" s="60" t="inlineStr">
        <is>
          <t>Entry Line (Home)</t>
        </is>
      </c>
      <c r="I15" s="60" t="inlineStr">
        <is>
          <t>Close Line (Home)</t>
        </is>
      </c>
      <c r="J15" s="60" t="inlineStr">
        <is>
          <t>Edge (pts)</t>
        </is>
      </c>
      <c r="K15" s="60" t="inlineStr">
        <is>
          <t>Real Edge</t>
        </is>
      </c>
      <c r="L15" s="60" t="inlineStr">
        <is>
          <t>CLV (pts)</t>
        </is>
      </c>
      <c r="M15" s="60" t="inlineStr">
        <is>
          <t>Result vs Entry</t>
        </is>
      </c>
    </row>
    <row r="16">
      <c r="A16" t="inlineStr">
        <is>
          <t>open</t>
        </is>
      </c>
      <c r="B16" t="n">
        <v>2026</v>
      </c>
      <c r="C16" t="n">
        <v>8</v>
      </c>
      <c r="D16" t="inlineStr">
        <is>
          <t>Texas A&amp;M</t>
        </is>
      </c>
      <c r="E16" t="inlineStr">
        <is>
          <t>Alabama</t>
        </is>
      </c>
      <c r="F16" t="inlineStr">
        <is>
          <t>Home</t>
        </is>
      </c>
      <c r="G16" t="n">
        <v>-8.779999999999999</v>
      </c>
      <c r="H16" t="n">
        <v>-8.5</v>
      </c>
      <c r="I16" t="n">
        <v>-13.25</v>
      </c>
      <c r="J16" t="n">
        <v>0.28</v>
      </c>
      <c r="L16" t="n">
        <v>4.75</v>
      </c>
      <c r="M16" t="inlineStr">
        <is>
          <t>Win</t>
        </is>
      </c>
    </row>
    <row r="17">
      <c r="A17" t="inlineStr">
        <is>
          <t>open</t>
        </is>
      </c>
      <c r="B17" t="n">
        <v>2026</v>
      </c>
      <c r="C17" t="n">
        <v>8</v>
      </c>
      <c r="D17" t="inlineStr">
        <is>
          <t>LSU</t>
        </is>
      </c>
      <c r="E17" t="inlineStr">
        <is>
          <t>Auburn</t>
        </is>
      </c>
      <c r="F17" t="inlineStr">
        <is>
          <t>Home</t>
        </is>
      </c>
      <c r="G17" t="n">
        <v>2.48</v>
      </c>
      <c r="H17" t="n">
        <v>6.75</v>
      </c>
      <c r="I17" t="n">
        <v>7</v>
      </c>
      <c r="J17" t="n">
        <v>4.27</v>
      </c>
      <c r="K17" t="inlineStr">
        <is>
          <t>Yes</t>
        </is>
      </c>
      <c r="L17" t="n">
        <v>-0.25</v>
      </c>
      <c r="M17" t="inlineStr">
        <is>
          <t>Loss</t>
        </is>
      </c>
    </row>
    <row r="18">
      <c r="A18" t="inlineStr">
        <is>
          <t>open</t>
        </is>
      </c>
      <c r="B18" t="n">
        <v>2026</v>
      </c>
      <c r="C18" t="n">
        <v>8</v>
      </c>
      <c r="D18" t="inlineStr">
        <is>
          <t>Vanderbilt</t>
        </is>
      </c>
      <c r="E18" t="inlineStr">
        <is>
          <t>Kentucky</t>
        </is>
      </c>
      <c r="F18" t="inlineStr">
        <is>
          <t>Away</t>
        </is>
      </c>
      <c r="G18" t="n">
        <v>-1.79</v>
      </c>
      <c r="H18" t="n">
        <v>-10</v>
      </c>
      <c r="I18" t="n">
        <v>-10</v>
      </c>
      <c r="J18" t="n">
        <v>-8.210000000000001</v>
      </c>
      <c r="K18" t="inlineStr">
        <is>
          <t>Yes</t>
        </is>
      </c>
      <c r="L18" t="n">
        <v>0</v>
      </c>
      <c r="M18" t="inlineStr">
        <is>
          <t>Loss</t>
        </is>
      </c>
    </row>
    <row r="19">
      <c r="A19" t="inlineStr">
        <is>
          <t>open</t>
        </is>
      </c>
      <c r="B19" t="n">
        <v>2026</v>
      </c>
      <c r="C19" t="n">
        <v>8</v>
      </c>
      <c r="D19" t="inlineStr">
        <is>
          <t>Oklahoma</t>
        </is>
      </c>
      <c r="E19" t="inlineStr">
        <is>
          <t>Mississippi State</t>
        </is>
      </c>
      <c r="F19" t="inlineStr">
        <is>
          <t>Away</t>
        </is>
      </c>
      <c r="G19" t="n">
        <v>10.28</v>
      </c>
      <c r="H19" t="n">
        <v>2</v>
      </c>
      <c r="I19" t="n">
        <v>1.5</v>
      </c>
      <c r="J19" t="n">
        <v>-8.279999999999999</v>
      </c>
      <c r="K19" t="inlineStr">
        <is>
          <t>Yes</t>
        </is>
      </c>
      <c r="L19" t="n">
        <v>-0.5</v>
      </c>
      <c r="M19" t="inlineStr">
        <is>
          <t>Win</t>
        </is>
      </c>
    </row>
    <row r="20">
      <c r="A20" t="inlineStr">
        <is>
          <t>open</t>
        </is>
      </c>
      <c r="B20" t="n">
        <v>2026</v>
      </c>
      <c r="C20" t="n">
        <v>8</v>
      </c>
      <c r="D20" t="inlineStr">
        <is>
          <t>Tennessee</t>
        </is>
      </c>
      <c r="E20" t="inlineStr">
        <is>
          <t>South Carolina</t>
        </is>
      </c>
      <c r="F20" t="inlineStr">
        <is>
          <t>Away</t>
        </is>
      </c>
      <c r="G20" t="n">
        <v>7.68</v>
      </c>
      <c r="H20" t="n">
        <v>1.75</v>
      </c>
      <c r="I20" t="n">
        <v>-2.5</v>
      </c>
      <c r="J20" t="n">
        <v>-5.93</v>
      </c>
      <c r="K20" t="inlineStr">
        <is>
          <t>Yes</t>
        </is>
      </c>
      <c r="L20" t="n">
        <v>-4.25</v>
      </c>
      <c r="M20" t="inlineStr">
        <is>
          <t>Loss</t>
        </is>
      </c>
    </row>
    <row r="21">
      <c r="A21" t="inlineStr">
        <is>
          <t>open</t>
        </is>
      </c>
      <c r="B21" t="n">
        <v>2026</v>
      </c>
      <c r="C21" t="n">
        <v>8</v>
      </c>
      <c r="D21" t="inlineStr">
        <is>
          <t>Ole Miss</t>
        </is>
      </c>
      <c r="E21" t="inlineStr">
        <is>
          <t>Texas</t>
        </is>
      </c>
      <c r="F21" t="inlineStr">
        <is>
          <t>Away</t>
        </is>
      </c>
      <c r="G21" t="n">
        <v>-0.37</v>
      </c>
      <c r="H21" t="n">
        <v>-6</v>
      </c>
      <c r="I21" t="n">
        <v>-3</v>
      </c>
      <c r="J21" t="n">
        <v>-5.63</v>
      </c>
      <c r="K21" t="inlineStr">
        <is>
          <t>Yes</t>
        </is>
      </c>
      <c r="L21" t="n">
        <v>3</v>
      </c>
      <c r="M21" t="inlineStr">
        <is>
          <t>Loss</t>
        </is>
      </c>
    </row>
    <row r="22">
      <c r="A22" t="inlineStr">
        <is>
          <t>open</t>
        </is>
      </c>
      <c r="B22" t="n">
        <v>2026</v>
      </c>
      <c r="C22" t="n">
        <v>8</v>
      </c>
      <c r="D22" t="inlineStr">
        <is>
          <t>Baylor</t>
        </is>
      </c>
      <c r="E22" t="inlineStr">
        <is>
          <t>Kansas</t>
        </is>
      </c>
      <c r="F22" t="inlineStr">
        <is>
          <t>Away</t>
        </is>
      </c>
      <c r="G22" t="n">
        <v>3.08</v>
      </c>
      <c r="H22" t="n">
        <v>1.5</v>
      </c>
      <c r="I22" t="n">
        <v>-1.5</v>
      </c>
      <c r="J22" t="n">
        <v>-1.58</v>
      </c>
      <c r="L22" t="n">
        <v>-3</v>
      </c>
      <c r="M22" t="inlineStr">
        <is>
          <t>Loss</t>
        </is>
      </c>
    </row>
    <row r="23">
      <c r="A23" t="inlineStr">
        <is>
          <t>open</t>
        </is>
      </c>
      <c r="B23" t="n">
        <v>2026</v>
      </c>
      <c r="C23" t="n">
        <v>8</v>
      </c>
      <c r="D23" t="inlineStr">
        <is>
          <t>BYU</t>
        </is>
      </c>
      <c r="E23" t="inlineStr">
        <is>
          <t>UCF</t>
        </is>
      </c>
      <c r="F23" t="inlineStr">
        <is>
          <t>Away</t>
        </is>
      </c>
      <c r="G23" t="n">
        <v>10.59</v>
      </c>
      <c r="H23" t="n">
        <v>8</v>
      </c>
      <c r="I23" t="n">
        <v>7.5</v>
      </c>
      <c r="J23" t="n">
        <v>-2.59</v>
      </c>
      <c r="K23" t="inlineStr">
        <is>
          <t>Yes</t>
        </is>
      </c>
      <c r="L23" t="n">
        <v>-0.5</v>
      </c>
      <c r="M23" t="inlineStr">
        <is>
          <t>Loss</t>
        </is>
      </c>
    </row>
    <row r="24">
      <c r="A24" t="inlineStr">
        <is>
          <t>open</t>
        </is>
      </c>
      <c r="B24" t="n">
        <v>2026</v>
      </c>
      <c r="C24" t="n">
        <v>8</v>
      </c>
      <c r="D24" t="inlineStr">
        <is>
          <t>Colorado</t>
        </is>
      </c>
      <c r="E24" t="inlineStr">
        <is>
          <t>Oklahoma State</t>
        </is>
      </c>
      <c r="F24" t="inlineStr">
        <is>
          <t>Away</t>
        </is>
      </c>
      <c r="G24" t="n">
        <v>-1.54</v>
      </c>
      <c r="H24" t="n">
        <v>-14</v>
      </c>
      <c r="I24" t="n">
        <v>-13</v>
      </c>
      <c r="J24" t="n">
        <v>-12.46</v>
      </c>
      <c r="K24" t="inlineStr">
        <is>
          <t>Yes</t>
        </is>
      </c>
      <c r="L24" t="n">
        <v>1</v>
      </c>
      <c r="M24" t="inlineStr">
        <is>
          <t>Loss</t>
        </is>
      </c>
    </row>
    <row r="25">
      <c r="A25" t="inlineStr">
        <is>
          <t>open</t>
        </is>
      </c>
      <c r="B25" t="n">
        <v>2026</v>
      </c>
      <c r="C25" t="n">
        <v>8</v>
      </c>
      <c r="D25" t="inlineStr">
        <is>
          <t>Houston</t>
        </is>
      </c>
      <c r="E25" t="inlineStr">
        <is>
          <t>Utah</t>
        </is>
      </c>
      <c r="F25" t="inlineStr">
        <is>
          <t>Home</t>
        </is>
      </c>
      <c r="G25" t="n">
        <v>-14.13</v>
      </c>
      <c r="H25" t="n">
        <v>-6.5</v>
      </c>
      <c r="I25" t="n">
        <v>-6.5</v>
      </c>
      <c r="J25" t="n">
        <v>7.63</v>
      </c>
      <c r="K25" t="inlineStr">
        <is>
          <t>Yes</t>
        </is>
      </c>
      <c r="L25" t="n">
        <v>0</v>
      </c>
      <c r="M25" t="inlineStr">
        <is>
          <t>Win</t>
        </is>
      </c>
    </row>
    <row r="26">
      <c r="A26" t="inlineStr">
        <is>
          <t>open</t>
        </is>
      </c>
      <c r="B26" t="n">
        <v>2026</v>
      </c>
      <c r="C26" t="n">
        <v>8</v>
      </c>
      <c r="D26" t="inlineStr">
        <is>
          <t>Iowa State</t>
        </is>
      </c>
      <c r="E26" t="inlineStr">
        <is>
          <t>Arizona</t>
        </is>
      </c>
      <c r="F26" t="inlineStr">
        <is>
          <t>Away</t>
        </is>
      </c>
      <c r="G26" t="n">
        <v>-7.46</v>
      </c>
      <c r="H26" t="n">
        <v>-9.75</v>
      </c>
      <c r="I26" t="n">
        <v>-12</v>
      </c>
      <c r="J26" t="n">
        <v>-2.29</v>
      </c>
      <c r="K26" t="inlineStr">
        <is>
          <t>Yes</t>
        </is>
      </c>
      <c r="L26" t="n">
        <v>-2.25</v>
      </c>
      <c r="M26" t="inlineStr">
        <is>
          <t>Loss</t>
        </is>
      </c>
    </row>
    <row r="27">
      <c r="A27" t="inlineStr">
        <is>
          <t>open</t>
        </is>
      </c>
      <c r="B27" t="n">
        <v>2026</v>
      </c>
      <c r="C27" t="n">
        <v>8</v>
      </c>
      <c r="D27" t="inlineStr">
        <is>
          <t>Kansas State</t>
        </is>
      </c>
      <c r="E27" t="inlineStr">
        <is>
          <t>Arizona State</t>
        </is>
      </c>
      <c r="F27" t="inlineStr">
        <is>
          <t>Home</t>
        </is>
      </c>
      <c r="G27" t="n">
        <v>0.39</v>
      </c>
      <c r="H27" t="n">
        <v>3.25</v>
      </c>
      <c r="I27" t="n">
        <v>1.5</v>
      </c>
      <c r="J27" t="n">
        <v>2.86</v>
      </c>
      <c r="K27" t="inlineStr">
        <is>
          <t>Yes</t>
        </is>
      </c>
      <c r="L27" t="n">
        <v>1.75</v>
      </c>
      <c r="M27" t="inlineStr">
        <is>
          <t>Win</t>
        </is>
      </c>
    </row>
    <row r="28">
      <c r="A28" t="inlineStr">
        <is>
          <t>open</t>
        </is>
      </c>
      <c r="B28" t="n">
        <v>2026</v>
      </c>
      <c r="C28" t="n">
        <v>8</v>
      </c>
      <c r="D28" t="inlineStr">
        <is>
          <t>Texas Tech</t>
        </is>
      </c>
      <c r="E28" t="inlineStr">
        <is>
          <t>Cincinnati</t>
        </is>
      </c>
      <c r="F28" t="inlineStr">
        <is>
          <t>Away</t>
        </is>
      </c>
      <c r="G28" t="n">
        <v>13.72</v>
      </c>
      <c r="H28" t="n">
        <v>10.75</v>
      </c>
      <c r="I28" t="n">
        <v>10.75</v>
      </c>
      <c r="J28" t="n">
        <v>-2.97</v>
      </c>
      <c r="K28" t="inlineStr">
        <is>
          <t>Yes</t>
        </is>
      </c>
      <c r="L28" t="n">
        <v>0</v>
      </c>
      <c r="M28" t="inlineStr">
        <is>
          <t>Loss</t>
        </is>
      </c>
    </row>
    <row r="29">
      <c r="A29" t="inlineStr">
        <is>
          <t>open</t>
        </is>
      </c>
      <c r="B29" t="n">
        <v>2026</v>
      </c>
      <c r="C29" t="n">
        <v>8</v>
      </c>
      <c r="D29" t="inlineStr">
        <is>
          <t>West Virginia</t>
        </is>
      </c>
      <c r="E29" t="inlineStr">
        <is>
          <t>TCU</t>
        </is>
      </c>
      <c r="F29" t="inlineStr">
        <is>
          <t>Home</t>
        </is>
      </c>
      <c r="G29" t="n">
        <v>-14.98</v>
      </c>
      <c r="H29" t="n">
        <v>-7.25</v>
      </c>
      <c r="I29" t="n">
        <v>-10</v>
      </c>
      <c r="J29" t="n">
        <v>7.73</v>
      </c>
      <c r="K29" t="inlineStr">
        <is>
          <t>Yes</t>
        </is>
      </c>
      <c r="L29" t="n">
        <v>2.75</v>
      </c>
      <c r="M29" t="inlineStr">
        <is>
          <t>Loss</t>
        </is>
      </c>
    </row>
    <row r="30">
      <c r="A30" t="inlineStr">
        <is>
          <t>open</t>
        </is>
      </c>
      <c r="B30" t="n">
        <v>2026</v>
      </c>
      <c r="C30" t="n">
        <v>8</v>
      </c>
      <c r="D30" t="inlineStr">
        <is>
          <t>California</t>
        </is>
      </c>
      <c r="E30" t="inlineStr">
        <is>
          <t>SMU</t>
        </is>
      </c>
      <c r="F30" t="inlineStr">
        <is>
          <t>Home</t>
        </is>
      </c>
      <c r="G30" t="n">
        <v>-20.81</v>
      </c>
      <c r="H30" t="n">
        <v>-18</v>
      </c>
      <c r="I30" t="n">
        <v>-18.5</v>
      </c>
      <c r="J30" t="n">
        <v>2.81</v>
      </c>
      <c r="K30" t="inlineStr">
        <is>
          <t>Yes</t>
        </is>
      </c>
      <c r="L30" t="n">
        <v>0.5</v>
      </c>
      <c r="M30" t="inlineStr">
        <is>
          <t>Win</t>
        </is>
      </c>
    </row>
    <row r="31">
      <c r="A31" t="inlineStr">
        <is>
          <t>open</t>
        </is>
      </c>
      <c r="B31" t="n">
        <v>2026</v>
      </c>
      <c r="C31" t="n">
        <v>8</v>
      </c>
      <c r="D31" t="inlineStr">
        <is>
          <t>Duke</t>
        </is>
      </c>
      <c r="E31" t="inlineStr">
        <is>
          <t>Virginia</t>
        </is>
      </c>
      <c r="F31" t="inlineStr">
        <is>
          <t>Away</t>
        </is>
      </c>
      <c r="G31" t="n">
        <v>1.1</v>
      </c>
      <c r="H31" t="n">
        <v>-3.75</v>
      </c>
      <c r="I31" t="n">
        <v>-2.5</v>
      </c>
      <c r="J31" t="n">
        <v>-4.85</v>
      </c>
      <c r="K31" t="inlineStr">
        <is>
          <t>Yes</t>
        </is>
      </c>
      <c r="L31" t="n">
        <v>1.25</v>
      </c>
      <c r="M31" t="inlineStr">
        <is>
          <t>Win</t>
        </is>
      </c>
    </row>
    <row r="32">
      <c r="A32" t="inlineStr">
        <is>
          <t>open</t>
        </is>
      </c>
      <c r="B32" t="n">
        <v>2026</v>
      </c>
      <c r="C32" t="n">
        <v>8</v>
      </c>
      <c r="D32" t="inlineStr">
        <is>
          <t>NC State</t>
        </is>
      </c>
      <c r="E32" t="inlineStr">
        <is>
          <t>Stanford</t>
        </is>
      </c>
      <c r="F32" t="inlineStr">
        <is>
          <t>Home</t>
        </is>
      </c>
      <c r="G32" t="n">
        <v>0.58</v>
      </c>
      <c r="H32" t="n">
        <v>7.25</v>
      </c>
      <c r="I32" t="n">
        <v>7.5</v>
      </c>
      <c r="J32" t="n">
        <v>6.67</v>
      </c>
      <c r="K32" t="inlineStr">
        <is>
          <t>Yes</t>
        </is>
      </c>
      <c r="L32" t="n">
        <v>-0.25</v>
      </c>
      <c r="M32" t="inlineStr">
        <is>
          <t>Win</t>
        </is>
      </c>
    </row>
    <row r="33">
      <c r="A33" t="inlineStr">
        <is>
          <t>open</t>
        </is>
      </c>
      <c r="B33" t="n">
        <v>2026</v>
      </c>
      <c r="C33" t="n">
        <v>8</v>
      </c>
      <c r="D33" t="inlineStr">
        <is>
          <t>Boston College</t>
        </is>
      </c>
      <c r="E33" t="inlineStr">
        <is>
          <t>Georgia Tech</t>
        </is>
      </c>
      <c r="F33" t="inlineStr">
        <is>
          <t>Home</t>
        </is>
      </c>
      <c r="G33" t="n">
        <v>-9.390000000000001</v>
      </c>
      <c r="H33" t="n">
        <v>-4.75</v>
      </c>
      <c r="I33" t="n">
        <v>-6.5</v>
      </c>
      <c r="J33" t="n">
        <v>4.64</v>
      </c>
      <c r="K33" t="inlineStr">
        <is>
          <t>Yes</t>
        </is>
      </c>
      <c r="L33" t="n">
        <v>1.75</v>
      </c>
      <c r="M33" t="inlineStr">
        <is>
          <t>Loss</t>
        </is>
      </c>
    </row>
    <row r="34">
      <c r="A34" t="inlineStr">
        <is>
          <t>open</t>
        </is>
      </c>
      <c r="B34" t="n">
        <v>2026</v>
      </c>
      <c r="C34" t="n">
        <v>8</v>
      </c>
      <c r="D34" t="inlineStr">
        <is>
          <t>Pittsburgh</t>
        </is>
      </c>
      <c r="E34" t="inlineStr">
        <is>
          <t>Miami</t>
        </is>
      </c>
      <c r="F34" t="inlineStr">
        <is>
          <t>Home</t>
        </is>
      </c>
      <c r="G34" t="n">
        <v>-22.95</v>
      </c>
      <c r="H34" t="n">
        <v>-22.25</v>
      </c>
      <c r="I34" t="n">
        <v>-20.5</v>
      </c>
      <c r="J34" t="n">
        <v>0.7</v>
      </c>
      <c r="L34" t="n">
        <v>-1.75</v>
      </c>
      <c r="M34" t="inlineStr">
        <is>
          <t>Win</t>
        </is>
      </c>
    </row>
    <row r="35">
      <c r="A35" t="inlineStr">
        <is>
          <t>open</t>
        </is>
      </c>
      <c r="B35" t="n">
        <v>2026</v>
      </c>
      <c r="C35" t="n">
        <v>8</v>
      </c>
      <c r="D35" t="inlineStr">
        <is>
          <t>Syracuse</t>
        </is>
      </c>
      <c r="E35" t="inlineStr">
        <is>
          <t>North Carolina</t>
        </is>
      </c>
      <c r="F35" t="inlineStr">
        <is>
          <t>Home</t>
        </is>
      </c>
      <c r="G35" t="n">
        <v>-11.23</v>
      </c>
      <c r="H35" t="n">
        <v>-9.25</v>
      </c>
      <c r="I35" t="n">
        <v>-8.25</v>
      </c>
      <c r="J35" t="n">
        <v>1.98</v>
      </c>
      <c r="L35" t="n">
        <v>-1</v>
      </c>
      <c r="M35" t="inlineStr">
        <is>
          <t>Loss</t>
        </is>
      </c>
    </row>
    <row r="36">
      <c r="A36" t="inlineStr">
        <is>
          <t>open</t>
        </is>
      </c>
      <c r="B36" t="n">
        <v>2026</v>
      </c>
      <c r="C36" t="n">
        <v>8</v>
      </c>
      <c r="D36" t="inlineStr">
        <is>
          <t>Virginia Tech</t>
        </is>
      </c>
      <c r="E36" t="inlineStr">
        <is>
          <t>Clemson</t>
        </is>
      </c>
      <c r="F36" t="inlineStr">
        <is>
          <t>Home</t>
        </is>
      </c>
      <c r="G36" t="n">
        <v>-3.15</v>
      </c>
      <c r="H36" t="n">
        <v>-0.75</v>
      </c>
      <c r="I36" t="n">
        <v>-3</v>
      </c>
      <c r="J36" t="n">
        <v>2.4</v>
      </c>
      <c r="K36" t="inlineStr">
        <is>
          <t>Yes</t>
        </is>
      </c>
      <c r="L36" t="n">
        <v>2.25</v>
      </c>
      <c r="M36" t="inlineStr">
        <is>
          <t>Loss</t>
        </is>
      </c>
    </row>
    <row r="37">
      <c r="A37" t="inlineStr">
        <is>
          <t>open</t>
        </is>
      </c>
      <c r="B37" t="n">
        <v>2026</v>
      </c>
      <c r="C37" t="n">
        <v>8</v>
      </c>
      <c r="D37" t="inlineStr">
        <is>
          <t>Oregon</t>
        </is>
      </c>
      <c r="E37" t="inlineStr">
        <is>
          <t>Illinois</t>
        </is>
      </c>
      <c r="F37" t="inlineStr">
        <is>
          <t>Home</t>
        </is>
      </c>
      <c r="G37" t="n">
        <v>6.49</v>
      </c>
      <c r="H37" t="n">
        <v>11.25</v>
      </c>
      <c r="I37" t="n">
        <v>10.25</v>
      </c>
      <c r="J37" t="n">
        <v>4.76</v>
      </c>
      <c r="K37" t="inlineStr">
        <is>
          <t>Yes</t>
        </is>
      </c>
      <c r="L37" t="n">
        <v>1</v>
      </c>
      <c r="M37" t="inlineStr">
        <is>
          <t>Win</t>
        </is>
      </c>
    </row>
    <row r="38">
      <c r="A38" t="inlineStr">
        <is>
          <t>open</t>
        </is>
      </c>
      <c r="B38" t="n">
        <v>2026</v>
      </c>
      <c r="C38" t="n">
        <v>8</v>
      </c>
      <c r="D38" t="inlineStr">
        <is>
          <t>Indiana</t>
        </is>
      </c>
      <c r="E38" t="inlineStr">
        <is>
          <t>Michigan</t>
        </is>
      </c>
      <c r="F38" t="inlineStr">
        <is>
          <t>Away</t>
        </is>
      </c>
      <c r="G38" t="n">
        <v>13.45</v>
      </c>
      <c r="H38" t="n">
        <v>6.5</v>
      </c>
      <c r="I38" t="n">
        <v>7.5</v>
      </c>
      <c r="J38" t="n">
        <v>-6.95</v>
      </c>
      <c r="K38" t="inlineStr">
        <is>
          <t>Yes</t>
        </is>
      </c>
      <c r="L38" t="n">
        <v>1</v>
      </c>
      <c r="M38" t="inlineStr">
        <is>
          <t>Win</t>
        </is>
      </c>
    </row>
    <row r="39">
      <c r="A39" t="inlineStr">
        <is>
          <t>open</t>
        </is>
      </c>
      <c r="B39" t="n">
        <v>2026</v>
      </c>
      <c r="C39" t="n">
        <v>8</v>
      </c>
      <c r="D39" t="inlineStr">
        <is>
          <t>Iowa</t>
        </is>
      </c>
      <c r="E39" t="inlineStr">
        <is>
          <t>Minnesota</t>
        </is>
      </c>
      <c r="F39" t="inlineStr">
        <is>
          <t>Away</t>
        </is>
      </c>
      <c r="G39" t="n">
        <v>8.859999999999999</v>
      </c>
      <c r="H39" t="n">
        <v>5.75</v>
      </c>
      <c r="I39" t="n">
        <v>7.75</v>
      </c>
      <c r="J39" t="n">
        <v>-3.11</v>
      </c>
      <c r="K39" t="inlineStr">
        <is>
          <t>Yes</t>
        </is>
      </c>
      <c r="L39" t="n">
        <v>2</v>
      </c>
      <c r="M39" t="inlineStr">
        <is>
          <t>Loss</t>
        </is>
      </c>
    </row>
    <row r="40">
      <c r="A40" t="inlineStr">
        <is>
          <t>open</t>
        </is>
      </c>
      <c r="B40" t="n">
        <v>2026</v>
      </c>
      <c r="C40" t="n">
        <v>8</v>
      </c>
      <c r="D40" t="inlineStr">
        <is>
          <t>Rutgers</t>
        </is>
      </c>
      <c r="E40" t="inlineStr">
        <is>
          <t>Northwestern</t>
        </is>
      </c>
      <c r="F40" t="inlineStr">
        <is>
          <t>Home</t>
        </is>
      </c>
      <c r="G40" t="n">
        <v>-18.5</v>
      </c>
      <c r="H40" t="n">
        <v>-16.5</v>
      </c>
      <c r="I40" t="n">
        <v>-15.5</v>
      </c>
      <c r="J40" t="n">
        <v>2</v>
      </c>
      <c r="L40" t="n">
        <v>-1</v>
      </c>
      <c r="M40" t="inlineStr">
        <is>
          <t>Win</t>
        </is>
      </c>
    </row>
    <row r="41">
      <c r="A41" t="inlineStr">
        <is>
          <t>open</t>
        </is>
      </c>
      <c r="B41" t="n">
        <v>2026</v>
      </c>
      <c r="C41" t="n">
        <v>8</v>
      </c>
      <c r="D41" t="inlineStr">
        <is>
          <t>Michigan State</t>
        </is>
      </c>
      <c r="E41" t="inlineStr">
        <is>
          <t>UCLA</t>
        </is>
      </c>
      <c r="F41" t="inlineStr">
        <is>
          <t>Away</t>
        </is>
      </c>
      <c r="G41" t="n">
        <v>-9.5</v>
      </c>
      <c r="H41" t="n">
        <v>-13.75</v>
      </c>
      <c r="I41" t="n">
        <v>-16.5</v>
      </c>
      <c r="J41" t="n">
        <v>-4.25</v>
      </c>
      <c r="K41" t="inlineStr">
        <is>
          <t>Yes</t>
        </is>
      </c>
      <c r="L41" t="n">
        <v>-2.75</v>
      </c>
      <c r="M41" t="inlineStr">
        <is>
          <t>Loss</t>
        </is>
      </c>
    </row>
    <row r="42">
      <c r="A42" t="inlineStr">
        <is>
          <t>open</t>
        </is>
      </c>
      <c r="B42" t="n">
        <v>2026</v>
      </c>
      <c r="C42" t="n">
        <v>8</v>
      </c>
      <c r="D42" t="inlineStr">
        <is>
          <t>USC</t>
        </is>
      </c>
      <c r="E42" t="inlineStr">
        <is>
          <t>Wisconsin</t>
        </is>
      </c>
      <c r="F42" t="inlineStr">
        <is>
          <t>Away</t>
        </is>
      </c>
      <c r="G42" t="n">
        <v>2.11</v>
      </c>
      <c r="H42" t="n">
        <v>2</v>
      </c>
      <c r="I42" t="n">
        <v>2</v>
      </c>
      <c r="J42" t="n">
        <v>-0.11</v>
      </c>
      <c r="L42" t="n">
        <v>0</v>
      </c>
      <c r="M42" t="inlineStr">
        <is>
          <t>Loss</t>
        </is>
      </c>
    </row>
    <row r="43">
      <c r="A43" t="inlineStr">
        <is>
          <t>open</t>
        </is>
      </c>
      <c r="B43" t="n">
        <v>2026</v>
      </c>
      <c r="C43" t="n">
        <v>8</v>
      </c>
      <c r="D43" t="inlineStr">
        <is>
          <t>San Diego State</t>
        </is>
      </c>
      <c r="E43" t="inlineStr">
        <is>
          <t>Colorado State</t>
        </is>
      </c>
      <c r="F43" t="inlineStr">
        <is>
          <t>Away</t>
        </is>
      </c>
      <c r="G43" t="n">
        <v>8.98</v>
      </c>
      <c r="H43" t="n">
        <v>2.75</v>
      </c>
      <c r="I43" t="n">
        <v>0.25</v>
      </c>
      <c r="J43" t="n">
        <v>-6.23</v>
      </c>
      <c r="K43" t="inlineStr">
        <is>
          <t>Yes</t>
        </is>
      </c>
      <c r="L43" t="n">
        <v>-2.5</v>
      </c>
      <c r="M43" t="inlineStr">
        <is>
          <t>Loss</t>
        </is>
      </c>
    </row>
    <row r="44">
      <c r="A44" t="inlineStr">
        <is>
          <t>open</t>
        </is>
      </c>
      <c r="B44" t="n">
        <v>2026</v>
      </c>
      <c r="C44" t="n">
        <v>8</v>
      </c>
      <c r="D44" t="inlineStr">
        <is>
          <t>Utah State</t>
        </is>
      </c>
      <c r="E44" t="inlineStr">
        <is>
          <t>Texas State</t>
        </is>
      </c>
      <c r="F44" t="inlineStr">
        <is>
          <t>Away</t>
        </is>
      </c>
      <c r="G44" t="n">
        <v>-0.25</v>
      </c>
      <c r="H44" t="n">
        <v>-10.5</v>
      </c>
      <c r="I44" t="n">
        <v>-14.25</v>
      </c>
      <c r="J44" t="n">
        <v>-10.25</v>
      </c>
      <c r="K44" t="inlineStr">
        <is>
          <t>Yes</t>
        </is>
      </c>
      <c r="L44" t="n">
        <v>-3.75</v>
      </c>
      <c r="M44" t="inlineStr">
        <is>
          <t>Win</t>
        </is>
      </c>
    </row>
    <row r="45">
      <c r="A45" t="inlineStr">
        <is>
          <t>open</t>
        </is>
      </c>
      <c r="B45" t="n">
        <v>2026</v>
      </c>
      <c r="C45" t="n">
        <v>8</v>
      </c>
      <c r="D45" t="inlineStr">
        <is>
          <t>Boise State</t>
        </is>
      </c>
      <c r="E45" t="inlineStr">
        <is>
          <t>Washington State</t>
        </is>
      </c>
      <c r="F45" t="inlineStr">
        <is>
          <t>Home</t>
        </is>
      </c>
      <c r="G45" t="n">
        <v>8.15</v>
      </c>
      <c r="H45" t="n">
        <v>13.25</v>
      </c>
      <c r="I45" t="n">
        <v>14.75</v>
      </c>
      <c r="J45" t="n">
        <v>5.1</v>
      </c>
      <c r="K45" t="inlineStr">
        <is>
          <t>Yes</t>
        </is>
      </c>
      <c r="L45" t="n">
        <v>-1.5</v>
      </c>
      <c r="M45" t="inlineStr">
        <is>
          <t>Loss</t>
        </is>
      </c>
    </row>
    <row r="46">
      <c r="A46" t="inlineStr">
        <is>
          <t>open</t>
        </is>
      </c>
      <c r="B46" t="n">
        <v>2026</v>
      </c>
      <c r="C46" t="n">
        <v>8</v>
      </c>
      <c r="D46" t="inlineStr">
        <is>
          <t>Massachusetts</t>
        </is>
      </c>
      <c r="E46" t="inlineStr">
        <is>
          <t>UConn</t>
        </is>
      </c>
      <c r="F46" t="inlineStr">
        <is>
          <t>Home</t>
        </is>
      </c>
      <c r="G46" t="n">
        <v>-15.26</v>
      </c>
      <c r="H46" t="n">
        <v>-15.75</v>
      </c>
      <c r="I46" t="n">
        <v>-12.75</v>
      </c>
      <c r="J46" t="n">
        <v>-0.49</v>
      </c>
      <c r="L46" t="n">
        <v>-3</v>
      </c>
      <c r="M46" t="inlineStr">
        <is>
          <t>Win</t>
        </is>
      </c>
    </row>
    <row r="47">
      <c r="A47" t="inlineStr">
        <is>
          <t>open</t>
        </is>
      </c>
      <c r="B47" t="n">
        <v>2026</v>
      </c>
      <c r="C47" t="n">
        <v>8</v>
      </c>
      <c r="D47" t="inlineStr">
        <is>
          <t>East Carolina</t>
        </is>
      </c>
      <c r="E47" t="inlineStr">
        <is>
          <t>Memphis</t>
        </is>
      </c>
      <c r="F47" t="inlineStr">
        <is>
          <t>Away</t>
        </is>
      </c>
      <c r="G47" t="n">
        <v>-5.78</v>
      </c>
      <c r="H47" t="n">
        <v>-9.75</v>
      </c>
      <c r="I47" t="n">
        <v>-10.5</v>
      </c>
      <c r="J47" t="n">
        <v>-3.97</v>
      </c>
      <c r="K47" t="inlineStr">
        <is>
          <t>Yes</t>
        </is>
      </c>
      <c r="L47" t="n">
        <v>-0.75</v>
      </c>
      <c r="M47" t="inlineStr">
        <is>
          <t>Win</t>
        </is>
      </c>
    </row>
    <row r="48">
      <c r="A48" t="inlineStr">
        <is>
          <t>open</t>
        </is>
      </c>
      <c r="B48" t="n">
        <v>2026</v>
      </c>
      <c r="C48" t="n">
        <v>8</v>
      </c>
      <c r="D48" t="inlineStr">
        <is>
          <t>Army</t>
        </is>
      </c>
      <c r="E48" t="inlineStr">
        <is>
          <t>Tulsa</t>
        </is>
      </c>
      <c r="F48" t="inlineStr">
        <is>
          <t>Away</t>
        </is>
      </c>
      <c r="G48" t="n">
        <v>3.21</v>
      </c>
      <c r="H48" t="n">
        <v>-1.25</v>
      </c>
      <c r="I48" t="n">
        <v>1.5</v>
      </c>
      <c r="J48" t="n">
        <v>-4.46</v>
      </c>
      <c r="K48" t="inlineStr">
        <is>
          <t>Yes</t>
        </is>
      </c>
      <c r="L48" t="n">
        <v>2.75</v>
      </c>
      <c r="M48" t="inlineStr">
        <is>
          <t>Win</t>
        </is>
      </c>
    </row>
    <row r="49">
      <c r="A49" t="inlineStr">
        <is>
          <t>open</t>
        </is>
      </c>
      <c r="B49" t="n">
        <v>2026</v>
      </c>
      <c r="C49" t="n">
        <v>8</v>
      </c>
      <c r="D49" t="inlineStr">
        <is>
          <t>Rice</t>
        </is>
      </c>
      <c r="E49" t="inlineStr">
        <is>
          <t>Florida Atlantic</t>
        </is>
      </c>
      <c r="F49" t="inlineStr">
        <is>
          <t>Away</t>
        </is>
      </c>
      <c r="G49" t="n">
        <v>-9.050000000000001</v>
      </c>
      <c r="H49" t="n">
        <v>-10.25</v>
      </c>
      <c r="I49" t="n">
        <v>-9.5</v>
      </c>
      <c r="J49" t="n">
        <v>-1.2</v>
      </c>
      <c r="L49" t="n">
        <v>0.75</v>
      </c>
      <c r="M49" t="inlineStr">
        <is>
          <t>Win</t>
        </is>
      </c>
    </row>
    <row r="50">
      <c r="A50" t="inlineStr">
        <is>
          <t>open</t>
        </is>
      </c>
      <c r="B50" t="n">
        <v>2026</v>
      </c>
      <c r="C50" t="n">
        <v>8</v>
      </c>
      <c r="D50" t="inlineStr">
        <is>
          <t>North Texas</t>
        </is>
      </c>
      <c r="E50" t="inlineStr">
        <is>
          <t>Navy</t>
        </is>
      </c>
      <c r="F50" t="inlineStr">
        <is>
          <t>Home</t>
        </is>
      </c>
      <c r="G50" t="n">
        <v>-5.85</v>
      </c>
      <c r="H50" t="n">
        <v>1.75</v>
      </c>
      <c r="I50" t="n">
        <v>3</v>
      </c>
      <c r="J50" t="n">
        <v>7.6</v>
      </c>
      <c r="K50" t="inlineStr">
        <is>
          <t>Yes</t>
        </is>
      </c>
      <c r="L50" t="n">
        <v>-1.25</v>
      </c>
      <c r="M50" t="inlineStr">
        <is>
          <t>Loss</t>
        </is>
      </c>
    </row>
    <row r="51">
      <c r="A51" t="inlineStr">
        <is>
          <t>open</t>
        </is>
      </c>
      <c r="B51" t="n">
        <v>2026</v>
      </c>
      <c r="C51" t="n">
        <v>8</v>
      </c>
      <c r="D51" t="inlineStr">
        <is>
          <t>UTSA</t>
        </is>
      </c>
      <c r="E51" t="inlineStr">
        <is>
          <t>Tulane</t>
        </is>
      </c>
      <c r="F51" t="inlineStr">
        <is>
          <t>Home</t>
        </is>
      </c>
      <c r="G51" t="n">
        <v>-1.43</v>
      </c>
      <c r="H51" t="n">
        <v>3.25</v>
      </c>
      <c r="I51" t="n">
        <v>3</v>
      </c>
      <c r="J51" t="n">
        <v>4.68</v>
      </c>
      <c r="K51" t="inlineStr">
        <is>
          <t>Yes</t>
        </is>
      </c>
      <c r="L51" t="n">
        <v>0.25</v>
      </c>
      <c r="M51" t="inlineStr">
        <is>
          <t>Loss</t>
        </is>
      </c>
    </row>
    <row r="52">
      <c r="A52" t="inlineStr">
        <is>
          <t>open</t>
        </is>
      </c>
      <c r="B52" t="n">
        <v>2026</v>
      </c>
      <c r="C52" t="n">
        <v>8</v>
      </c>
      <c r="D52" t="inlineStr">
        <is>
          <t>Air Force</t>
        </is>
      </c>
      <c r="E52" t="inlineStr">
        <is>
          <t>Wyoming</t>
        </is>
      </c>
      <c r="F52" t="inlineStr">
        <is>
          <t>Away</t>
        </is>
      </c>
      <c r="G52" t="n">
        <v>5.28</v>
      </c>
      <c r="H52" t="n">
        <v>6</v>
      </c>
      <c r="I52" t="n">
        <v>7</v>
      </c>
      <c r="J52" t="n">
        <v>0.72</v>
      </c>
      <c r="L52" t="n">
        <v>1</v>
      </c>
      <c r="M52" t="inlineStr">
        <is>
          <t>Loss</t>
        </is>
      </c>
    </row>
    <row r="53">
      <c r="A53" t="inlineStr">
        <is>
          <t>open</t>
        </is>
      </c>
      <c r="B53" t="n">
        <v>2026</v>
      </c>
      <c r="C53" t="n">
        <v>8</v>
      </c>
      <c r="D53" t="inlineStr">
        <is>
          <t>Hawai'i</t>
        </is>
      </c>
      <c r="E53" t="inlineStr">
        <is>
          <t>Northern Illinois</t>
        </is>
      </c>
      <c r="F53" t="inlineStr">
        <is>
          <t>Away</t>
        </is>
      </c>
      <c r="G53" t="n">
        <v>5.25</v>
      </c>
      <c r="H53" t="n">
        <v>6</v>
      </c>
      <c r="I53" t="n">
        <v>3</v>
      </c>
      <c r="J53" t="n">
        <v>0.75</v>
      </c>
      <c r="L53" t="n">
        <v>-3</v>
      </c>
      <c r="M53" t="inlineStr">
        <is>
          <t>Win</t>
        </is>
      </c>
    </row>
    <row r="54">
      <c r="A54" t="inlineStr">
        <is>
          <t>open</t>
        </is>
      </c>
      <c r="B54" t="n">
        <v>2026</v>
      </c>
      <c r="C54" t="n">
        <v>8</v>
      </c>
      <c r="D54" t="inlineStr">
        <is>
          <t>North Dakota State</t>
        </is>
      </c>
      <c r="E54" t="inlineStr">
        <is>
          <t>New Mexico</t>
        </is>
      </c>
      <c r="F54" t="inlineStr">
        <is>
          <t>Away</t>
        </is>
      </c>
      <c r="G54" t="n">
        <v>2.87</v>
      </c>
      <c r="H54" t="n">
        <v>-3.75</v>
      </c>
      <c r="I54" t="n">
        <v>-4.75</v>
      </c>
      <c r="J54" t="n">
        <v>-6.62</v>
      </c>
      <c r="K54" t="inlineStr">
        <is>
          <t>Yes</t>
        </is>
      </c>
      <c r="L54" t="n">
        <v>-1</v>
      </c>
      <c r="M54" t="inlineStr">
        <is>
          <t>Loss</t>
        </is>
      </c>
    </row>
    <row r="55">
      <c r="A55" t="inlineStr">
        <is>
          <t>open</t>
        </is>
      </c>
      <c r="B55" t="n">
        <v>2026</v>
      </c>
      <c r="C55" t="n">
        <v>8</v>
      </c>
      <c r="D55" t="inlineStr">
        <is>
          <t>San José State</t>
        </is>
      </c>
      <c r="E55" t="inlineStr">
        <is>
          <t>Nevada</t>
        </is>
      </c>
      <c r="F55" t="inlineStr">
        <is>
          <t>Home</t>
        </is>
      </c>
      <c r="G55" t="n">
        <v>-10.29</v>
      </c>
      <c r="H55" t="n">
        <v>-5.25</v>
      </c>
      <c r="I55" t="n">
        <v>-5.75</v>
      </c>
      <c r="J55" t="n">
        <v>5.04</v>
      </c>
      <c r="K55" t="inlineStr">
        <is>
          <t>Yes</t>
        </is>
      </c>
      <c r="L55" t="n">
        <v>0.5</v>
      </c>
      <c r="M55" t="inlineStr">
        <is>
          <t>Win</t>
        </is>
      </c>
    </row>
    <row r="56">
      <c r="A56" t="inlineStr">
        <is>
          <t>open</t>
        </is>
      </c>
      <c r="B56" t="n">
        <v>2026</v>
      </c>
      <c r="C56" t="n">
        <v>8</v>
      </c>
      <c r="D56" t="inlineStr">
        <is>
          <t>Akron</t>
        </is>
      </c>
      <c r="E56" t="inlineStr">
        <is>
          <t>Kent State</t>
        </is>
      </c>
      <c r="F56" t="inlineStr">
        <is>
          <t>Home</t>
        </is>
      </c>
      <c r="G56" t="n">
        <v>-6.9</v>
      </c>
      <c r="H56" t="n">
        <v>-3.25</v>
      </c>
      <c r="I56" t="n">
        <v>-3</v>
      </c>
      <c r="J56" t="n">
        <v>3.65</v>
      </c>
      <c r="K56" t="inlineStr">
        <is>
          <t>Yes</t>
        </is>
      </c>
      <c r="L56" t="n">
        <v>-0.25</v>
      </c>
      <c r="M56" t="inlineStr">
        <is>
          <t>Win</t>
        </is>
      </c>
    </row>
    <row r="57">
      <c r="A57" t="inlineStr">
        <is>
          <t>open</t>
        </is>
      </c>
      <c r="B57" t="n">
        <v>2026</v>
      </c>
      <c r="C57" t="n">
        <v>8</v>
      </c>
      <c r="D57" t="inlineStr">
        <is>
          <t>Sacramento State</t>
        </is>
      </c>
      <c r="E57" t="inlineStr">
        <is>
          <t>Ball State</t>
        </is>
      </c>
      <c r="F57" t="inlineStr">
        <is>
          <t>Away</t>
        </is>
      </c>
      <c r="G57" t="n">
        <v>-9.34</v>
      </c>
      <c r="H57" t="n">
        <v>-10.5</v>
      </c>
      <c r="I57" t="n">
        <v>-14.5</v>
      </c>
      <c r="J57" t="n">
        <v>-1.16</v>
      </c>
      <c r="L57" t="n">
        <v>-4</v>
      </c>
      <c r="M57" t="inlineStr">
        <is>
          <t>Loss</t>
        </is>
      </c>
    </row>
    <row r="58">
      <c r="A58" t="inlineStr">
        <is>
          <t>open</t>
        </is>
      </c>
      <c r="B58" t="n">
        <v>2026</v>
      </c>
      <c r="C58" t="n">
        <v>8</v>
      </c>
      <c r="D58" t="inlineStr">
        <is>
          <t>Bowling Green</t>
        </is>
      </c>
      <c r="E58" t="inlineStr">
        <is>
          <t>Buffalo</t>
        </is>
      </c>
      <c r="F58" t="inlineStr">
        <is>
          <t>Home</t>
        </is>
      </c>
      <c r="G58" t="n">
        <v>-6.11</v>
      </c>
      <c r="H58" t="n">
        <v>-4.5</v>
      </c>
      <c r="I58" t="n">
        <v>-3</v>
      </c>
      <c r="J58" t="n">
        <v>1.61</v>
      </c>
      <c r="L58" t="n">
        <v>-1.5</v>
      </c>
      <c r="M58" t="inlineStr">
        <is>
          <t>Win</t>
        </is>
      </c>
    </row>
    <row r="59">
      <c r="A59" t="inlineStr">
        <is>
          <t>open</t>
        </is>
      </c>
      <c r="B59" t="n">
        <v>2026</v>
      </c>
      <c r="C59" t="n">
        <v>8</v>
      </c>
      <c r="D59" t="inlineStr">
        <is>
          <t>Eastern Michigan</t>
        </is>
      </c>
      <c r="E59" t="inlineStr">
        <is>
          <t>Ohio</t>
        </is>
      </c>
      <c r="F59" t="inlineStr">
        <is>
          <t>Home</t>
        </is>
      </c>
      <c r="G59" t="n">
        <v>-15.78</v>
      </c>
      <c r="H59" t="n">
        <v>-10.25</v>
      </c>
      <c r="I59" t="n">
        <v>-11.5</v>
      </c>
      <c r="J59" t="n">
        <v>5.53</v>
      </c>
      <c r="K59" t="inlineStr">
        <is>
          <t>Yes</t>
        </is>
      </c>
      <c r="L59" t="n">
        <v>1.25</v>
      </c>
      <c r="M59" t="inlineStr">
        <is>
          <t>Loss</t>
        </is>
      </c>
    </row>
    <row r="60">
      <c r="A60" t="inlineStr">
        <is>
          <t>open</t>
        </is>
      </c>
      <c r="B60" t="n">
        <v>2026</v>
      </c>
      <c r="C60" t="n">
        <v>8</v>
      </c>
      <c r="D60" t="inlineStr">
        <is>
          <t>Western Michigan</t>
        </is>
      </c>
      <c r="E60" t="inlineStr">
        <is>
          <t>Toledo</t>
        </is>
      </c>
      <c r="F60" t="inlineStr">
        <is>
          <t>Away</t>
        </is>
      </c>
      <c r="G60" t="n">
        <v>1.08</v>
      </c>
      <c r="H60" t="n">
        <v>-2.5</v>
      </c>
      <c r="I60" t="n">
        <v>-2.5</v>
      </c>
      <c r="J60" t="n">
        <v>-3.58</v>
      </c>
      <c r="K60" t="inlineStr">
        <is>
          <t>Yes</t>
        </is>
      </c>
      <c r="L60" t="n">
        <v>0</v>
      </c>
      <c r="M60" t="inlineStr">
        <is>
          <t>Loss</t>
        </is>
      </c>
    </row>
    <row r="61">
      <c r="A61" t="inlineStr">
        <is>
          <t>open</t>
        </is>
      </c>
      <c r="B61" t="n">
        <v>2026</v>
      </c>
      <c r="C61" t="n">
        <v>8</v>
      </c>
      <c r="D61" t="inlineStr">
        <is>
          <t>Miami (OH)</t>
        </is>
      </c>
      <c r="E61" t="inlineStr">
        <is>
          <t>Central Michigan</t>
        </is>
      </c>
      <c r="F61" t="inlineStr">
        <is>
          <t>Home</t>
        </is>
      </c>
      <c r="G61" t="n">
        <v>-5.36</v>
      </c>
      <c r="H61" t="n">
        <v>0</v>
      </c>
      <c r="I61" t="n">
        <v>3.5</v>
      </c>
      <c r="J61" t="n">
        <v>5.36</v>
      </c>
      <c r="K61" t="inlineStr">
        <is>
          <t>Yes</t>
        </is>
      </c>
      <c r="L61" t="n">
        <v>-3.5</v>
      </c>
      <c r="M61" t="inlineStr">
        <is>
          <t>Loss</t>
        </is>
      </c>
    </row>
    <row r="62">
      <c r="A62" t="inlineStr">
        <is>
          <t>open</t>
        </is>
      </c>
      <c r="B62" t="n">
        <v>2026</v>
      </c>
      <c r="C62" t="n">
        <v>8</v>
      </c>
      <c r="D62" t="inlineStr">
        <is>
          <t>James Madison</t>
        </is>
      </c>
      <c r="E62" t="inlineStr">
        <is>
          <t>App State</t>
        </is>
      </c>
      <c r="F62" t="inlineStr">
        <is>
          <t>Away</t>
        </is>
      </c>
      <c r="G62" t="n">
        <v>16.85</v>
      </c>
      <c r="H62" t="n">
        <v>10.75</v>
      </c>
      <c r="I62" t="n">
        <v>12.75</v>
      </c>
      <c r="J62" t="n">
        <v>-6.1</v>
      </c>
      <c r="K62" t="inlineStr">
        <is>
          <t>Yes</t>
        </is>
      </c>
      <c r="L62" t="n">
        <v>2</v>
      </c>
      <c r="M62" t="inlineStr">
        <is>
          <t>Loss</t>
        </is>
      </c>
    </row>
    <row r="63">
      <c r="A63" t="inlineStr">
        <is>
          <t>open</t>
        </is>
      </c>
      <c r="B63" t="n">
        <v>2026</v>
      </c>
      <c r="C63" t="n">
        <v>8</v>
      </c>
      <c r="D63" t="inlineStr">
        <is>
          <t>Georgia State</t>
        </is>
      </c>
      <c r="E63" t="inlineStr">
        <is>
          <t>Arkansas State</t>
        </is>
      </c>
      <c r="F63" t="inlineStr">
        <is>
          <t>Home</t>
        </is>
      </c>
      <c r="G63" t="n">
        <v>-3.42</v>
      </c>
      <c r="H63" t="n">
        <v>2</v>
      </c>
      <c r="I63" t="n">
        <v>2.5</v>
      </c>
      <c r="J63" t="n">
        <v>5.42</v>
      </c>
      <c r="K63" t="inlineStr">
        <is>
          <t>Yes</t>
        </is>
      </c>
      <c r="L63" t="n">
        <v>-0.5</v>
      </c>
      <c r="M63" t="inlineStr">
        <is>
          <t>Win</t>
        </is>
      </c>
    </row>
    <row r="64">
      <c r="A64" t="inlineStr">
        <is>
          <t>open</t>
        </is>
      </c>
      <c r="B64" t="n">
        <v>2026</v>
      </c>
      <c r="C64" t="n">
        <v>8</v>
      </c>
      <c r="D64" t="inlineStr">
        <is>
          <t>Louisiana</t>
        </is>
      </c>
      <c r="E64" t="inlineStr">
        <is>
          <t>Southern Miss</t>
        </is>
      </c>
      <c r="F64" t="inlineStr">
        <is>
          <t>Home</t>
        </is>
      </c>
      <c r="G64" t="n">
        <v>7.49</v>
      </c>
      <c r="H64" t="n">
        <v>10.25</v>
      </c>
      <c r="I64" t="n">
        <v>11.5</v>
      </c>
      <c r="J64" t="n">
        <v>2.76</v>
      </c>
      <c r="K64" t="inlineStr">
        <is>
          <t>Yes</t>
        </is>
      </c>
      <c r="L64" t="n">
        <v>-1.25</v>
      </c>
      <c r="M64" t="inlineStr">
        <is>
          <t>Win</t>
        </is>
      </c>
    </row>
    <row r="65">
      <c r="A65" t="inlineStr">
        <is>
          <t>open</t>
        </is>
      </c>
      <c r="B65" t="n">
        <v>2026</v>
      </c>
      <c r="C65" t="n">
        <v>8</v>
      </c>
      <c r="D65" t="inlineStr">
        <is>
          <t>Middle Tennessee</t>
        </is>
      </c>
      <c r="E65" t="inlineStr">
        <is>
          <t>Florida International</t>
        </is>
      </c>
      <c r="F65" t="inlineStr">
        <is>
          <t>Home</t>
        </is>
      </c>
      <c r="G65" t="n">
        <v>-12.56</v>
      </c>
      <c r="H65" t="n">
        <v>-10.25</v>
      </c>
      <c r="I65" t="n">
        <v>-10.25</v>
      </c>
      <c r="J65" t="n">
        <v>2.31</v>
      </c>
      <c r="K65" t="inlineStr">
        <is>
          <t>Yes</t>
        </is>
      </c>
      <c r="L65" t="n">
        <v>0</v>
      </c>
      <c r="M65" t="inlineStr">
        <is>
          <t>Loss</t>
        </is>
      </c>
    </row>
    <row r="66">
      <c r="A66" t="inlineStr">
        <is>
          <t>open</t>
        </is>
      </c>
      <c r="B66" t="n">
        <v>2026</v>
      </c>
      <c r="C66" t="n">
        <v>8</v>
      </c>
      <c r="D66" t="inlineStr">
        <is>
          <t>Liberty</t>
        </is>
      </c>
      <c r="E66" t="inlineStr">
        <is>
          <t>Kennesaw State</t>
        </is>
      </c>
      <c r="F66" t="inlineStr">
        <is>
          <t>Home</t>
        </is>
      </c>
      <c r="G66" t="n">
        <v>4.77</v>
      </c>
      <c r="H66" t="n">
        <v>9.5</v>
      </c>
      <c r="I66" t="n">
        <v>8.5</v>
      </c>
      <c r="J66" t="n">
        <v>4.73</v>
      </c>
      <c r="K66" t="inlineStr">
        <is>
          <t>Yes</t>
        </is>
      </c>
      <c r="L66" t="n">
        <v>1</v>
      </c>
      <c r="M66" t="inlineStr">
        <is>
          <t>Loss</t>
        </is>
      </c>
    </row>
    <row r="67">
      <c r="A67" t="inlineStr">
        <is>
          <t>open</t>
        </is>
      </c>
      <c r="B67" t="n">
        <v>2026</v>
      </c>
      <c r="C67" t="n">
        <v>8</v>
      </c>
      <c r="D67" t="inlineStr">
        <is>
          <t>Missouri State</t>
        </is>
      </c>
      <c r="E67" t="inlineStr">
        <is>
          <t>Delaware</t>
        </is>
      </c>
      <c r="F67" t="inlineStr">
        <is>
          <t>Home</t>
        </is>
      </c>
      <c r="G67" t="n">
        <v>-8.24</v>
      </c>
      <c r="H67" t="n">
        <v>-3</v>
      </c>
      <c r="I67" t="n">
        <v>-3</v>
      </c>
      <c r="J67" t="n">
        <v>5.24</v>
      </c>
      <c r="K67" t="inlineStr">
        <is>
          <t>Yes</t>
        </is>
      </c>
      <c r="L67" t="n">
        <v>0</v>
      </c>
      <c r="M67" t="inlineStr">
        <is>
          <t>Win</t>
        </is>
      </c>
    </row>
    <row r="68">
      <c r="A68" t="inlineStr">
        <is>
          <t>open</t>
        </is>
      </c>
      <c r="B68" t="n">
        <v>2026</v>
      </c>
      <c r="C68" t="n">
        <v>8</v>
      </c>
      <c r="D68" t="inlineStr">
        <is>
          <t>New Mexico State</t>
        </is>
      </c>
      <c r="E68" t="inlineStr">
        <is>
          <t>Sam Houston</t>
        </is>
      </c>
      <c r="F68" t="inlineStr">
        <is>
          <t>Away</t>
        </is>
      </c>
      <c r="G68" t="n">
        <v>4.06</v>
      </c>
      <c r="H68" t="n">
        <v>2.75</v>
      </c>
      <c r="I68" t="n">
        <v>3</v>
      </c>
      <c r="J68" t="n">
        <v>-1.31</v>
      </c>
      <c r="L68" t="n">
        <v>0.25</v>
      </c>
      <c r="M68" t="inlineStr">
        <is>
          <t>Win</t>
        </is>
      </c>
    </row>
    <row r="69">
      <c r="A69" t="inlineStr">
        <is>
          <t>open</t>
        </is>
      </c>
      <c r="B69" t="n">
        <v>2026</v>
      </c>
      <c r="C69" t="n">
        <v>8</v>
      </c>
      <c r="D69" t="inlineStr">
        <is>
          <t>South Alabama</t>
        </is>
      </c>
      <c r="E69" t="inlineStr">
        <is>
          <t>Marshall</t>
        </is>
      </c>
      <c r="F69" t="inlineStr">
        <is>
          <t>Home</t>
        </is>
      </c>
      <c r="G69" t="n">
        <v>0.8</v>
      </c>
      <c r="H69" t="n">
        <v>3</v>
      </c>
      <c r="I69" t="n">
        <v>1.5</v>
      </c>
      <c r="J69" t="n">
        <v>2.2</v>
      </c>
      <c r="K69" t="inlineStr">
        <is>
          <t>Yes</t>
        </is>
      </c>
      <c r="L69" t="n">
        <v>1.5</v>
      </c>
      <c r="M69" t="inlineStr">
        <is>
          <t>Win</t>
        </is>
      </c>
    </row>
    <row r="70">
      <c r="A70" t="inlineStr">
        <is>
          <t>open</t>
        </is>
      </c>
      <c r="B70" t="n">
        <v>2026</v>
      </c>
      <c r="C70" t="n">
        <v>8</v>
      </c>
      <c r="D70" t="inlineStr">
        <is>
          <t>Old Dominion</t>
        </is>
      </c>
      <c r="E70" t="inlineStr">
        <is>
          <t>Louisiana Tech</t>
        </is>
      </c>
      <c r="F70" t="inlineStr">
        <is>
          <t>Away</t>
        </is>
      </c>
      <c r="G70" t="n">
        <v>-2.27</v>
      </c>
      <c r="H70" t="n">
        <v>-9.5</v>
      </c>
      <c r="I70" t="n">
        <v>-13.5</v>
      </c>
      <c r="J70" t="n">
        <v>-7.23</v>
      </c>
      <c r="K70" t="inlineStr">
        <is>
          <t>Yes</t>
        </is>
      </c>
      <c r="L70" t="n">
        <v>-4</v>
      </c>
      <c r="M70" t="inlineStr">
        <is>
          <t>Loss</t>
        </is>
      </c>
    </row>
    <row r="71">
      <c r="A71" t="inlineStr">
        <is>
          <t>open</t>
        </is>
      </c>
      <c r="B71" t="n">
        <v>2026</v>
      </c>
      <c r="C71" t="n">
        <v>8</v>
      </c>
      <c r="D71" t="inlineStr">
        <is>
          <t>UL Monroe</t>
        </is>
      </c>
      <c r="E71" t="inlineStr">
        <is>
          <t>Troy</t>
        </is>
      </c>
      <c r="F71" t="inlineStr">
        <is>
          <t>Away</t>
        </is>
      </c>
      <c r="G71" t="n">
        <v>-13.86</v>
      </c>
      <c r="H71" t="n">
        <v>-17.25</v>
      </c>
      <c r="I71" t="n">
        <v>-13.5</v>
      </c>
      <c r="J71" t="n">
        <v>-3.39</v>
      </c>
      <c r="K71" t="inlineStr">
        <is>
          <t>Yes</t>
        </is>
      </c>
      <c r="L71" t="n">
        <v>3.75</v>
      </c>
      <c r="M71" t="inlineStr">
        <is>
          <t>Win</t>
        </is>
      </c>
    </row>
    <row r="72">
      <c r="A72" t="inlineStr">
        <is>
          <t>open</t>
        </is>
      </c>
      <c r="B72" t="n">
        <v>2026</v>
      </c>
      <c r="C72" t="n">
        <v>7</v>
      </c>
      <c r="D72" t="inlineStr">
        <is>
          <t>Auburn</t>
        </is>
      </c>
      <c r="E72" t="inlineStr">
        <is>
          <t>Georgia</t>
        </is>
      </c>
      <c r="F72" t="inlineStr">
        <is>
          <t>Home</t>
        </is>
      </c>
      <c r="G72" t="n">
        <v>-18.97</v>
      </c>
      <c r="H72" t="n">
        <v>-17.5</v>
      </c>
      <c r="I72" t="n">
        <v>-19.5</v>
      </c>
      <c r="J72" t="n">
        <v>1.47</v>
      </c>
      <c r="L72" t="n">
        <v>2</v>
      </c>
      <c r="M72" t="inlineStr">
        <is>
          <t>Loss</t>
        </is>
      </c>
    </row>
    <row r="73">
      <c r="A73" t="inlineStr">
        <is>
          <t>open</t>
        </is>
      </c>
      <c r="B73" t="n">
        <v>2026</v>
      </c>
      <c r="C73" t="n">
        <v>7</v>
      </c>
      <c r="D73" t="inlineStr">
        <is>
          <t>Mississippi State</t>
        </is>
      </c>
      <c r="E73" t="inlineStr">
        <is>
          <t>LSU</t>
        </is>
      </c>
      <c r="F73" t="inlineStr">
        <is>
          <t>Home</t>
        </is>
      </c>
      <c r="G73" t="n">
        <v>-17.09</v>
      </c>
      <c r="H73" t="n">
        <v>-11.5</v>
      </c>
      <c r="I73" t="n">
        <v>-17.75</v>
      </c>
      <c r="J73" t="n">
        <v>5.59</v>
      </c>
      <c r="K73" t="inlineStr">
        <is>
          <t>Yes</t>
        </is>
      </c>
      <c r="L73" t="n">
        <v>6.25</v>
      </c>
      <c r="M73" t="inlineStr">
        <is>
          <t>Win</t>
        </is>
      </c>
    </row>
    <row r="74">
      <c r="A74" t="inlineStr">
        <is>
          <t>open</t>
        </is>
      </c>
      <c r="B74" t="n">
        <v>2026</v>
      </c>
      <c r="C74" t="n">
        <v>7</v>
      </c>
      <c r="D74" t="inlineStr">
        <is>
          <t>Missouri</t>
        </is>
      </c>
      <c r="E74" t="inlineStr">
        <is>
          <t>Ole Miss</t>
        </is>
      </c>
      <c r="F74" t="inlineStr">
        <is>
          <t>Home</t>
        </is>
      </c>
      <c r="G74" t="n">
        <v>-6.87</v>
      </c>
      <c r="H74" t="n">
        <v>-6</v>
      </c>
      <c r="I74" t="n">
        <v>-4.5</v>
      </c>
      <c r="J74" t="n">
        <v>0.87</v>
      </c>
      <c r="L74" t="n">
        <v>-1.5</v>
      </c>
      <c r="M74" t="inlineStr">
        <is>
          <t>Win</t>
        </is>
      </c>
    </row>
    <row r="75">
      <c r="A75" t="inlineStr">
        <is>
          <t>open</t>
        </is>
      </c>
      <c r="B75" t="n">
        <v>2026</v>
      </c>
      <c r="C75" t="n">
        <v>7</v>
      </c>
      <c r="D75" t="inlineStr">
        <is>
          <t>Kentucky</t>
        </is>
      </c>
      <c r="E75" t="inlineStr">
        <is>
          <t>Oklahoma</t>
        </is>
      </c>
      <c r="F75" t="inlineStr">
        <is>
          <t>Home</t>
        </is>
      </c>
      <c r="G75" t="n">
        <v>-10.33</v>
      </c>
      <c r="H75" t="n">
        <v>-6.75</v>
      </c>
      <c r="I75" t="n">
        <v>-6.75</v>
      </c>
      <c r="J75" t="n">
        <v>3.58</v>
      </c>
      <c r="K75" t="inlineStr">
        <is>
          <t>Yes</t>
        </is>
      </c>
      <c r="L75" t="n">
        <v>0</v>
      </c>
      <c r="M75" t="inlineStr">
        <is>
          <t>Loss</t>
        </is>
      </c>
    </row>
    <row r="76">
      <c r="A76" t="inlineStr">
        <is>
          <t>open</t>
        </is>
      </c>
      <c r="B76" t="n">
        <v>2026</v>
      </c>
      <c r="C76" t="n">
        <v>7</v>
      </c>
      <c r="D76" t="inlineStr">
        <is>
          <t>Alabama</t>
        </is>
      </c>
      <c r="E76" t="inlineStr">
        <is>
          <t>Tennessee</t>
        </is>
      </c>
      <c r="F76" t="inlineStr">
        <is>
          <t>Away</t>
        </is>
      </c>
      <c r="G76" t="n">
        <v>3.44</v>
      </c>
      <c r="H76" t="n">
        <v>4.25</v>
      </c>
      <c r="I76" t="n">
        <v>7.75</v>
      </c>
      <c r="J76" t="n">
        <v>0.8100000000000001</v>
      </c>
      <c r="L76" t="n">
        <v>3.5</v>
      </c>
      <c r="M76" t="inlineStr">
        <is>
          <t>Loss</t>
        </is>
      </c>
    </row>
    <row r="77">
      <c r="A77" t="inlineStr">
        <is>
          <t>open</t>
        </is>
      </c>
      <c r="B77" t="n">
        <v>2026</v>
      </c>
      <c r="C77" t="n">
        <v>7</v>
      </c>
      <c r="D77" t="inlineStr">
        <is>
          <t>Florida</t>
        </is>
      </c>
      <c r="E77" t="inlineStr">
        <is>
          <t>Texas</t>
        </is>
      </c>
      <c r="F77" t="inlineStr">
        <is>
          <t>Home</t>
        </is>
      </c>
      <c r="G77" t="n">
        <v>-21.36</v>
      </c>
      <c r="H77" t="n">
        <v>-9.75</v>
      </c>
      <c r="I77" t="n">
        <v>-13</v>
      </c>
      <c r="J77" t="n">
        <v>11.61</v>
      </c>
      <c r="K77" t="inlineStr">
        <is>
          <t>Yes</t>
        </is>
      </c>
      <c r="L77" t="n">
        <v>3.25</v>
      </c>
      <c r="M77" t="inlineStr">
        <is>
          <t>Loss</t>
        </is>
      </c>
    </row>
    <row r="78">
      <c r="A78" t="inlineStr">
        <is>
          <t>open</t>
        </is>
      </c>
      <c r="B78" t="n">
        <v>2026</v>
      </c>
      <c r="C78" t="n">
        <v>7</v>
      </c>
      <c r="D78" t="inlineStr">
        <is>
          <t>Arkansas</t>
        </is>
      </c>
      <c r="E78" t="inlineStr">
        <is>
          <t>Vanderbilt</t>
        </is>
      </c>
      <c r="F78" t="inlineStr">
        <is>
          <t>Home</t>
        </is>
      </c>
      <c r="G78" t="n">
        <v>-15.32</v>
      </c>
      <c r="H78" t="n">
        <v>-6.5</v>
      </c>
      <c r="I78" t="n">
        <v>-5.75</v>
      </c>
      <c r="J78" t="n">
        <v>8.82</v>
      </c>
      <c r="K78" t="inlineStr">
        <is>
          <t>Yes</t>
        </is>
      </c>
      <c r="L78" t="n">
        <v>-0.75</v>
      </c>
      <c r="M78" t="inlineStr">
        <is>
          <t>Loss</t>
        </is>
      </c>
    </row>
    <row r="79">
      <c r="A79" t="inlineStr">
        <is>
          <t>open</t>
        </is>
      </c>
      <c r="B79" t="n">
        <v>2026</v>
      </c>
      <c r="C79" t="n">
        <v>7</v>
      </c>
      <c r="D79" t="inlineStr">
        <is>
          <t>Notre Dame</t>
        </is>
      </c>
      <c r="E79" t="inlineStr">
        <is>
          <t>BYU</t>
        </is>
      </c>
      <c r="F79" t="inlineStr">
        <is>
          <t>Home</t>
        </is>
      </c>
      <c r="G79" t="n">
        <v>6.2</v>
      </c>
      <c r="H79" t="n">
        <v>10.5</v>
      </c>
      <c r="I79" t="n">
        <v>10.5</v>
      </c>
      <c r="J79" t="n">
        <v>4.3</v>
      </c>
      <c r="K79" t="inlineStr">
        <is>
          <t>Yes</t>
        </is>
      </c>
      <c r="L79" t="n">
        <v>0</v>
      </c>
      <c r="M79" t="inlineStr">
        <is>
          <t>Win</t>
        </is>
      </c>
    </row>
    <row r="80">
      <c r="A80" t="inlineStr">
        <is>
          <t>open</t>
        </is>
      </c>
      <c r="B80" t="n">
        <v>2026</v>
      </c>
      <c r="C80" t="n">
        <v>7</v>
      </c>
      <c r="D80" t="inlineStr">
        <is>
          <t>Arizona State</t>
        </is>
      </c>
      <c r="E80" t="inlineStr">
        <is>
          <t>Texas Tech</t>
        </is>
      </c>
      <c r="F80" t="inlineStr">
        <is>
          <t>Home</t>
        </is>
      </c>
      <c r="G80" t="n">
        <v>-18.42</v>
      </c>
      <c r="H80" t="n">
        <v>-13.25</v>
      </c>
      <c r="I80" t="n">
        <v>-16</v>
      </c>
      <c r="J80" t="n">
        <v>5.17</v>
      </c>
      <c r="K80" t="inlineStr">
        <is>
          <t>Yes</t>
        </is>
      </c>
      <c r="L80" t="n">
        <v>2.75</v>
      </c>
      <c r="M80" t="inlineStr">
        <is>
          <t>Win</t>
        </is>
      </c>
    </row>
    <row r="81">
      <c r="A81" t="inlineStr">
        <is>
          <t>open</t>
        </is>
      </c>
      <c r="B81" t="n">
        <v>2026</v>
      </c>
      <c r="C81" t="n">
        <v>7</v>
      </c>
      <c r="D81" t="inlineStr">
        <is>
          <t>Cincinnati</t>
        </is>
      </c>
      <c r="E81" t="inlineStr">
        <is>
          <t>West Virginia</t>
        </is>
      </c>
      <c r="F81" t="inlineStr">
        <is>
          <t>Away</t>
        </is>
      </c>
      <c r="G81" t="n">
        <v>3.72</v>
      </c>
      <c r="H81" t="n">
        <v>-1.5</v>
      </c>
      <c r="I81" t="n">
        <v>-1.5</v>
      </c>
      <c r="J81" t="n">
        <v>-5.22</v>
      </c>
      <c r="K81" t="inlineStr">
        <is>
          <t>Yes</t>
        </is>
      </c>
      <c r="L81" t="n">
        <v>0</v>
      </c>
      <c r="M81" t="inlineStr">
        <is>
          <t>Loss</t>
        </is>
      </c>
    </row>
    <row r="82">
      <c r="A82" t="inlineStr">
        <is>
          <t>open</t>
        </is>
      </c>
      <c r="B82" t="n">
        <v>2026</v>
      </c>
      <c r="C82" t="n">
        <v>7</v>
      </c>
      <c r="D82" t="inlineStr">
        <is>
          <t>Kansas</t>
        </is>
      </c>
      <c r="E82" t="inlineStr">
        <is>
          <t>Kansas State</t>
        </is>
      </c>
      <c r="F82" t="inlineStr">
        <is>
          <t>Home</t>
        </is>
      </c>
      <c r="G82" t="n">
        <v>-6.55</v>
      </c>
      <c r="H82" t="n">
        <v>-7</v>
      </c>
      <c r="I82" t="n">
        <v>-3.25</v>
      </c>
      <c r="J82" t="n">
        <v>-0.45</v>
      </c>
      <c r="L82" t="n">
        <v>-3.75</v>
      </c>
      <c r="M82" t="inlineStr">
        <is>
          <t>Win</t>
        </is>
      </c>
    </row>
    <row r="83">
      <c r="A83" t="inlineStr">
        <is>
          <t>open</t>
        </is>
      </c>
      <c r="B83" t="n">
        <v>2026</v>
      </c>
      <c r="C83" t="n">
        <v>7</v>
      </c>
      <c r="D83" t="inlineStr">
        <is>
          <t>Oklahoma State</t>
        </is>
      </c>
      <c r="E83" t="inlineStr">
        <is>
          <t>Houston</t>
        </is>
      </c>
      <c r="F83" t="inlineStr">
        <is>
          <t>Home</t>
        </is>
      </c>
      <c r="G83" t="n">
        <v>-15.75</v>
      </c>
      <c r="H83" t="n">
        <v>-3.75</v>
      </c>
      <c r="I83" t="n">
        <v>-4.25</v>
      </c>
      <c r="J83" t="n">
        <v>12</v>
      </c>
      <c r="K83" t="inlineStr">
        <is>
          <t>Yes</t>
        </is>
      </c>
      <c r="L83" t="n">
        <v>0.5</v>
      </c>
      <c r="M83" t="inlineStr">
        <is>
          <t>Loss</t>
        </is>
      </c>
    </row>
    <row r="84">
      <c r="A84" t="inlineStr">
        <is>
          <t>open</t>
        </is>
      </c>
      <c r="B84" t="n">
        <v>2026</v>
      </c>
      <c r="C84" t="n">
        <v>7</v>
      </c>
      <c r="D84" t="inlineStr">
        <is>
          <t>TCU</t>
        </is>
      </c>
      <c r="E84" t="inlineStr">
        <is>
          <t>Baylor</t>
        </is>
      </c>
      <c r="F84" t="inlineStr">
        <is>
          <t>Away</t>
        </is>
      </c>
      <c r="G84" t="n">
        <v>-3.63</v>
      </c>
      <c r="H84" t="n">
        <v>-6.5</v>
      </c>
      <c r="I84" t="n">
        <v>-4.5</v>
      </c>
      <c r="J84" t="n">
        <v>-2.87</v>
      </c>
      <c r="K84" t="inlineStr">
        <is>
          <t>Yes</t>
        </is>
      </c>
      <c r="L84" t="n">
        <v>2</v>
      </c>
      <c r="M84" t="inlineStr">
        <is>
          <t>Win</t>
        </is>
      </c>
    </row>
    <row r="85">
      <c r="A85" t="inlineStr">
        <is>
          <t>open</t>
        </is>
      </c>
      <c r="B85" t="n">
        <v>2026</v>
      </c>
      <c r="C85" t="n">
        <v>7</v>
      </c>
      <c r="D85" t="inlineStr">
        <is>
          <t>Utah</t>
        </is>
      </c>
      <c r="E85" t="inlineStr">
        <is>
          <t>Colorado</t>
        </is>
      </c>
      <c r="F85" t="inlineStr">
        <is>
          <t>Away</t>
        </is>
      </c>
      <c r="G85" t="n">
        <v>20.8</v>
      </c>
      <c r="H85" t="n">
        <v>16.5</v>
      </c>
      <c r="I85" t="n">
        <v>15.25</v>
      </c>
      <c r="J85" t="n">
        <v>-4.3</v>
      </c>
      <c r="K85" t="inlineStr">
        <is>
          <t>Yes</t>
        </is>
      </c>
      <c r="L85" t="n">
        <v>-1.25</v>
      </c>
      <c r="M85" t="inlineStr">
        <is>
          <t>Loss</t>
        </is>
      </c>
    </row>
    <row r="86">
      <c r="A86" t="inlineStr">
        <is>
          <t>open</t>
        </is>
      </c>
      <c r="B86" t="n">
        <v>2026</v>
      </c>
      <c r="C86" t="n">
        <v>7</v>
      </c>
      <c r="D86" t="inlineStr">
        <is>
          <t>Florida State</t>
        </is>
      </c>
      <c r="E86" t="inlineStr">
        <is>
          <t>Miami</t>
        </is>
      </c>
      <c r="F86" t="inlineStr">
        <is>
          <t>Home</t>
        </is>
      </c>
      <c r="G86" t="n">
        <v>-21.83</v>
      </c>
      <c r="H86" t="n">
        <v>-18.75</v>
      </c>
      <c r="I86" t="n">
        <v>-20.25</v>
      </c>
      <c r="J86" t="n">
        <v>3.08</v>
      </c>
      <c r="K86" t="inlineStr">
        <is>
          <t>Yes</t>
        </is>
      </c>
      <c r="L86" t="n">
        <v>1.5</v>
      </c>
      <c r="M86" t="inlineStr">
        <is>
          <t>Loss</t>
        </is>
      </c>
    </row>
    <row r="87">
      <c r="A87" t="inlineStr">
        <is>
          <t>open</t>
        </is>
      </c>
      <c r="B87" t="n">
        <v>2026</v>
      </c>
      <c r="C87" t="n">
        <v>7</v>
      </c>
      <c r="D87" t="inlineStr">
        <is>
          <t>Georgia Tech</t>
        </is>
      </c>
      <c r="E87" t="inlineStr">
        <is>
          <t>Virginia Tech</t>
        </is>
      </c>
      <c r="F87" t="inlineStr">
        <is>
          <t>Away</t>
        </is>
      </c>
      <c r="G87" t="n">
        <v>-2.17</v>
      </c>
      <c r="H87" t="n">
        <v>-9.75</v>
      </c>
      <c r="I87" t="n">
        <v>-8.5</v>
      </c>
      <c r="J87" t="n">
        <v>-7.58</v>
      </c>
      <c r="K87" t="inlineStr">
        <is>
          <t>Yes</t>
        </is>
      </c>
      <c r="L87" t="n">
        <v>1.25</v>
      </c>
      <c r="M87" t="inlineStr">
        <is>
          <t>Loss</t>
        </is>
      </c>
    </row>
    <row r="88">
      <c r="A88" t="inlineStr">
        <is>
          <t>open</t>
        </is>
      </c>
      <c r="B88" t="n">
        <v>2026</v>
      </c>
      <c r="C88" t="n">
        <v>7</v>
      </c>
      <c r="D88" t="inlineStr">
        <is>
          <t>Louisville</t>
        </is>
      </c>
      <c r="E88" t="inlineStr">
        <is>
          <t>Syracuse</t>
        </is>
      </c>
      <c r="F88" t="inlineStr">
        <is>
          <t>Away</t>
        </is>
      </c>
      <c r="G88" t="n">
        <v>18.45</v>
      </c>
      <c r="H88" t="n">
        <v>11.75</v>
      </c>
      <c r="I88" t="n">
        <v>14.5</v>
      </c>
      <c r="J88" t="n">
        <v>-6.7</v>
      </c>
      <c r="K88" t="inlineStr">
        <is>
          <t>Yes</t>
        </is>
      </c>
      <c r="L88" t="n">
        <v>2.75</v>
      </c>
      <c r="M88" t="inlineStr">
        <is>
          <t>Loss</t>
        </is>
      </c>
    </row>
    <row r="89">
      <c r="A89" t="inlineStr">
        <is>
          <t>open</t>
        </is>
      </c>
      <c r="B89" t="n">
        <v>2026</v>
      </c>
      <c r="C89" t="n">
        <v>7</v>
      </c>
      <c r="D89" t="inlineStr">
        <is>
          <t>North Carolina</t>
        </is>
      </c>
      <c r="E89" t="inlineStr">
        <is>
          <t>Duke</t>
        </is>
      </c>
      <c r="F89" t="inlineStr">
        <is>
          <t>Home</t>
        </is>
      </c>
      <c r="G89" t="n">
        <v>-13.09</v>
      </c>
      <c r="H89" t="n">
        <v>-4</v>
      </c>
      <c r="I89" t="n">
        <v>-3</v>
      </c>
      <c r="J89" t="n">
        <v>9.09</v>
      </c>
      <c r="K89" t="inlineStr">
        <is>
          <t>Yes</t>
        </is>
      </c>
      <c r="L89" t="n">
        <v>-1</v>
      </c>
      <c r="M89" t="inlineStr">
        <is>
          <t>Loss</t>
        </is>
      </c>
    </row>
    <row r="90">
      <c r="A90" t="inlineStr">
        <is>
          <t>open</t>
        </is>
      </c>
      <c r="B90" t="n">
        <v>2026</v>
      </c>
      <c r="C90" t="n">
        <v>7</v>
      </c>
      <c r="D90" t="inlineStr">
        <is>
          <t>Pittsburgh</t>
        </is>
      </c>
      <c r="E90" t="inlineStr">
        <is>
          <t>Boston College</t>
        </is>
      </c>
      <c r="F90" t="inlineStr">
        <is>
          <t>Away</t>
        </is>
      </c>
      <c r="G90" t="n">
        <v>7.68</v>
      </c>
      <c r="H90" t="n">
        <v>6.5</v>
      </c>
      <c r="I90" t="n">
        <v>6.5</v>
      </c>
      <c r="J90" t="n">
        <v>-1.18</v>
      </c>
      <c r="L90" t="n">
        <v>0</v>
      </c>
      <c r="M90" t="inlineStr">
        <is>
          <t>Loss</t>
        </is>
      </c>
    </row>
    <row r="91">
      <c r="A91" t="inlineStr">
        <is>
          <t>open</t>
        </is>
      </c>
      <c r="B91" t="n">
        <v>2026</v>
      </c>
      <c r="C91" t="n">
        <v>7</v>
      </c>
      <c r="D91" t="inlineStr">
        <is>
          <t>Virginia</t>
        </is>
      </c>
      <c r="E91" t="inlineStr">
        <is>
          <t>SMU</t>
        </is>
      </c>
      <c r="F91" t="inlineStr">
        <is>
          <t>Away</t>
        </is>
      </c>
      <c r="G91" t="n">
        <v>-4.68</v>
      </c>
      <c r="H91" t="n">
        <v>-8.25</v>
      </c>
      <c r="I91" t="n">
        <v>-10</v>
      </c>
      <c r="J91" t="n">
        <v>-3.57</v>
      </c>
      <c r="K91" t="inlineStr">
        <is>
          <t>Yes</t>
        </is>
      </c>
      <c r="L91" t="n">
        <v>-1.75</v>
      </c>
      <c r="M91" t="inlineStr">
        <is>
          <t>Loss</t>
        </is>
      </c>
    </row>
    <row r="92">
      <c r="A92" t="inlineStr">
        <is>
          <t>open</t>
        </is>
      </c>
      <c r="B92" t="n">
        <v>2026</v>
      </c>
      <c r="C92" t="n">
        <v>7</v>
      </c>
      <c r="D92" t="inlineStr">
        <is>
          <t>Wake Forest</t>
        </is>
      </c>
      <c r="E92" t="inlineStr">
        <is>
          <t>California</t>
        </is>
      </c>
      <c r="F92" t="inlineStr">
        <is>
          <t>Away</t>
        </is>
      </c>
      <c r="G92" t="n">
        <v>12.57</v>
      </c>
      <c r="H92" t="n">
        <v>8.75</v>
      </c>
      <c r="I92" t="n">
        <v>10</v>
      </c>
      <c r="J92" t="n">
        <v>-3.82</v>
      </c>
      <c r="K92" t="inlineStr">
        <is>
          <t>Yes</t>
        </is>
      </c>
      <c r="L92" t="n">
        <v>1.25</v>
      </c>
      <c r="M92" t="inlineStr">
        <is>
          <t>Win</t>
        </is>
      </c>
    </row>
    <row r="93">
      <c r="A93" t="inlineStr">
        <is>
          <t>open</t>
        </is>
      </c>
      <c r="B93" t="n">
        <v>2026</v>
      </c>
      <c r="C93" t="n">
        <v>7</v>
      </c>
      <c r="D93" t="inlineStr">
        <is>
          <t>Ohio State</t>
        </is>
      </c>
      <c r="E93" t="inlineStr">
        <is>
          <t>Indiana</t>
        </is>
      </c>
      <c r="F93" t="inlineStr">
        <is>
          <t>Home</t>
        </is>
      </c>
      <c r="G93" t="n">
        <v>-7.7</v>
      </c>
      <c r="H93" t="n">
        <v>2.75</v>
      </c>
      <c r="I93" t="n">
        <v>2.75</v>
      </c>
      <c r="J93" t="n">
        <v>10.45</v>
      </c>
      <c r="K93" t="inlineStr">
        <is>
          <t>Yes</t>
        </is>
      </c>
      <c r="L93" t="n">
        <v>0</v>
      </c>
      <c r="M93" t="inlineStr">
        <is>
          <t>Loss</t>
        </is>
      </c>
    </row>
    <row r="94">
      <c r="A94" t="inlineStr">
        <is>
          <t>open</t>
        </is>
      </c>
      <c r="B94" t="n">
        <v>2026</v>
      </c>
      <c r="C94" t="n">
        <v>7</v>
      </c>
      <c r="D94" t="inlineStr">
        <is>
          <t>Rutgers</t>
        </is>
      </c>
      <c r="E94" t="inlineStr">
        <is>
          <t>Maryland</t>
        </is>
      </c>
      <c r="F94" t="inlineStr">
        <is>
          <t>Home</t>
        </is>
      </c>
      <c r="G94" t="n">
        <v>-6.06</v>
      </c>
      <c r="H94" t="n">
        <v>-4.5</v>
      </c>
      <c r="I94" t="n">
        <v>-5.75</v>
      </c>
      <c r="J94" t="n">
        <v>1.56</v>
      </c>
      <c r="L94" t="n">
        <v>1.25</v>
      </c>
      <c r="M94" t="inlineStr">
        <is>
          <t>Loss</t>
        </is>
      </c>
    </row>
    <row r="95">
      <c r="A95" t="inlineStr">
        <is>
          <t>open</t>
        </is>
      </c>
      <c r="B95" t="n">
        <v>2026</v>
      </c>
      <c r="C95" t="n">
        <v>7</v>
      </c>
      <c r="D95" t="inlineStr">
        <is>
          <t>Penn State</t>
        </is>
      </c>
      <c r="E95" t="inlineStr">
        <is>
          <t>Michigan</t>
        </is>
      </c>
      <c r="F95" t="inlineStr">
        <is>
          <t>Away</t>
        </is>
      </c>
      <c r="G95" t="n">
        <v>-3.03</v>
      </c>
      <c r="H95" t="n">
        <v>-6.25</v>
      </c>
      <c r="I95" t="n">
        <v>-6</v>
      </c>
      <c r="J95" t="n">
        <v>-3.22</v>
      </c>
      <c r="K95" t="inlineStr">
        <is>
          <t>Yes</t>
        </is>
      </c>
      <c r="L95" t="n">
        <v>0.25</v>
      </c>
      <c r="M95" t="inlineStr">
        <is>
          <t>Win</t>
        </is>
      </c>
    </row>
    <row r="96">
      <c r="A96" t="inlineStr">
        <is>
          <t>open</t>
        </is>
      </c>
      <c r="B96" t="n">
        <v>2026</v>
      </c>
      <c r="C96" t="n">
        <v>7</v>
      </c>
      <c r="D96" t="inlineStr">
        <is>
          <t>Northwestern</t>
        </is>
      </c>
      <c r="E96" t="inlineStr">
        <is>
          <t>Michigan State</t>
        </is>
      </c>
      <c r="F96" t="inlineStr">
        <is>
          <t>Home</t>
        </is>
      </c>
      <c r="G96" t="n">
        <v>7.47</v>
      </c>
      <c r="H96" t="n">
        <v>8.5</v>
      </c>
      <c r="I96" t="n">
        <v>7.25</v>
      </c>
      <c r="J96" t="n">
        <v>1.03</v>
      </c>
      <c r="L96" t="n">
        <v>1.25</v>
      </c>
      <c r="M96" t="inlineStr">
        <is>
          <t>Win</t>
        </is>
      </c>
    </row>
    <row r="97">
      <c r="A97" t="inlineStr">
        <is>
          <t>open</t>
        </is>
      </c>
      <c r="B97" t="n">
        <v>2026</v>
      </c>
      <c r="C97" t="n">
        <v>7</v>
      </c>
      <c r="D97" t="inlineStr">
        <is>
          <t>Nebraska</t>
        </is>
      </c>
      <c r="E97" t="inlineStr">
        <is>
          <t>Oregon</t>
        </is>
      </c>
      <c r="F97" t="inlineStr">
        <is>
          <t>Away</t>
        </is>
      </c>
      <c r="G97" t="n">
        <v>-5.43</v>
      </c>
      <c r="H97" t="n">
        <v>-14</v>
      </c>
      <c r="I97" t="n">
        <v>-6.75</v>
      </c>
      <c r="J97" t="n">
        <v>-8.57</v>
      </c>
      <c r="K97" t="inlineStr">
        <is>
          <t>Yes</t>
        </is>
      </c>
      <c r="L97" t="n">
        <v>7.25</v>
      </c>
      <c r="M97" t="inlineStr">
        <is>
          <t>Win</t>
        </is>
      </c>
    </row>
    <row r="98">
      <c r="A98" t="inlineStr">
        <is>
          <t>open</t>
        </is>
      </c>
      <c r="B98" t="n">
        <v>2026</v>
      </c>
      <c r="C98" t="n">
        <v>7</v>
      </c>
      <c r="D98" t="inlineStr">
        <is>
          <t>Washington</t>
        </is>
      </c>
      <c r="E98" t="inlineStr">
        <is>
          <t>Purdue</t>
        </is>
      </c>
      <c r="F98" t="inlineStr">
        <is>
          <t>Away</t>
        </is>
      </c>
      <c r="G98" t="n">
        <v>5.9</v>
      </c>
      <c r="H98" t="n">
        <v>-2.75</v>
      </c>
      <c r="I98" t="n">
        <v>-3</v>
      </c>
      <c r="J98" t="n">
        <v>-8.65</v>
      </c>
      <c r="K98" t="inlineStr">
        <is>
          <t>Yes</t>
        </is>
      </c>
      <c r="L98" t="n">
        <v>-0.25</v>
      </c>
      <c r="M98" t="inlineStr">
        <is>
          <t>Win</t>
        </is>
      </c>
    </row>
    <row r="99">
      <c r="A99" t="inlineStr">
        <is>
          <t>open</t>
        </is>
      </c>
      <c r="B99" t="n">
        <v>2026</v>
      </c>
      <c r="C99" t="n">
        <v>7</v>
      </c>
      <c r="D99" t="inlineStr">
        <is>
          <t>Wisconsin</t>
        </is>
      </c>
      <c r="E99" t="inlineStr">
        <is>
          <t>UCLA</t>
        </is>
      </c>
      <c r="F99" t="inlineStr">
        <is>
          <t>Home</t>
        </is>
      </c>
      <c r="G99" t="n">
        <v>-3.88</v>
      </c>
      <c r="H99" t="n">
        <v>-3.25</v>
      </c>
      <c r="I99" t="n">
        <v>-2</v>
      </c>
      <c r="J99" t="n">
        <v>0.63</v>
      </c>
      <c r="L99" t="n">
        <v>-1.25</v>
      </c>
      <c r="M99" t="inlineStr">
        <is>
          <t>Win</t>
        </is>
      </c>
    </row>
    <row r="100">
      <c r="A100" t="inlineStr">
        <is>
          <t>open</t>
        </is>
      </c>
      <c r="B100" t="n">
        <v>2026</v>
      </c>
      <c r="C100" t="n">
        <v>7</v>
      </c>
      <c r="D100" t="inlineStr">
        <is>
          <t>Washington State</t>
        </is>
      </c>
      <c r="E100" t="inlineStr">
        <is>
          <t>Oregon State</t>
        </is>
      </c>
      <c r="F100" t="inlineStr">
        <is>
          <t>Away</t>
        </is>
      </c>
      <c r="G100" t="n">
        <v>-6.03</v>
      </c>
      <c r="H100" t="n">
        <v>-17.25</v>
      </c>
      <c r="I100" t="n">
        <v>-18.5</v>
      </c>
      <c r="J100" t="n">
        <v>-11.22</v>
      </c>
      <c r="K100" t="inlineStr">
        <is>
          <t>Yes</t>
        </is>
      </c>
      <c r="L100" t="n">
        <v>-1.25</v>
      </c>
      <c r="M100" t="inlineStr">
        <is>
          <t>Loss</t>
        </is>
      </c>
    </row>
    <row r="101">
      <c r="A101" t="inlineStr">
        <is>
          <t>open</t>
        </is>
      </c>
      <c r="B101" t="n">
        <v>2026</v>
      </c>
      <c r="C101" t="n">
        <v>7</v>
      </c>
      <c r="D101" t="inlineStr">
        <is>
          <t>Fresno State</t>
        </is>
      </c>
      <c r="E101" t="inlineStr">
        <is>
          <t>San Diego State</t>
        </is>
      </c>
      <c r="F101" t="inlineStr">
        <is>
          <t>Home</t>
        </is>
      </c>
      <c r="G101" t="n">
        <v>1.82</v>
      </c>
      <c r="H101" t="n">
        <v>8.25</v>
      </c>
      <c r="I101" t="n">
        <v>6.75</v>
      </c>
      <c r="J101" t="n">
        <v>6.43</v>
      </c>
      <c r="K101" t="inlineStr">
        <is>
          <t>Yes</t>
        </is>
      </c>
      <c r="L101" t="n">
        <v>1.5</v>
      </c>
      <c r="M101" t="inlineStr">
        <is>
          <t>Win</t>
        </is>
      </c>
    </row>
    <row r="102">
      <c r="A102" t="inlineStr">
        <is>
          <t>open</t>
        </is>
      </c>
      <c r="B102" t="n">
        <v>2026</v>
      </c>
      <c r="C102" t="n">
        <v>7</v>
      </c>
      <c r="D102" t="inlineStr">
        <is>
          <t>Colorado State</t>
        </is>
      </c>
      <c r="E102" t="inlineStr">
        <is>
          <t>Texas State</t>
        </is>
      </c>
      <c r="F102" t="inlineStr">
        <is>
          <t>Away</t>
        </is>
      </c>
      <c r="G102" t="n">
        <v>-11.6</v>
      </c>
      <c r="H102" t="n">
        <v>-12.75</v>
      </c>
      <c r="I102" t="n">
        <v>-15.25</v>
      </c>
      <c r="J102" t="n">
        <v>-1.15</v>
      </c>
      <c r="L102" t="n">
        <v>-2.5</v>
      </c>
      <c r="M102" t="inlineStr">
        <is>
          <t>Loss</t>
        </is>
      </c>
    </row>
    <row r="103">
      <c r="A103" t="inlineStr">
        <is>
          <t>open</t>
        </is>
      </c>
      <c r="B103" t="n">
        <v>2026</v>
      </c>
      <c r="C103" t="n">
        <v>7</v>
      </c>
      <c r="D103" t="inlineStr">
        <is>
          <t>East Carolina</t>
        </is>
      </c>
      <c r="E103" t="inlineStr">
        <is>
          <t>UAB</t>
        </is>
      </c>
      <c r="F103" t="inlineStr">
        <is>
          <t>Away</t>
        </is>
      </c>
      <c r="G103" t="n">
        <v>9.06</v>
      </c>
      <c r="H103" t="n">
        <v>5.5</v>
      </c>
      <c r="I103" t="n">
        <v>5.25</v>
      </c>
      <c r="J103" t="n">
        <v>-3.56</v>
      </c>
      <c r="K103" t="inlineStr">
        <is>
          <t>Yes</t>
        </is>
      </c>
      <c r="L103" t="n">
        <v>-0.25</v>
      </c>
      <c r="M103" t="inlineStr">
        <is>
          <t>Loss</t>
        </is>
      </c>
    </row>
    <row r="104">
      <c r="A104" t="inlineStr">
        <is>
          <t>open</t>
        </is>
      </c>
      <c r="B104" t="n">
        <v>2026</v>
      </c>
      <c r="C104" t="n">
        <v>7</v>
      </c>
      <c r="D104" t="inlineStr">
        <is>
          <t>Memphis</t>
        </is>
      </c>
      <c r="E104" t="inlineStr">
        <is>
          <t>Tulane</t>
        </is>
      </c>
      <c r="F104" t="inlineStr">
        <is>
          <t>Home</t>
        </is>
      </c>
      <c r="G104" t="n">
        <v>2.26</v>
      </c>
      <c r="H104" t="n">
        <v>7</v>
      </c>
      <c r="I104" t="n">
        <v>6.5</v>
      </c>
      <c r="J104" t="n">
        <v>4.74</v>
      </c>
      <c r="K104" t="inlineStr">
        <is>
          <t>Yes</t>
        </is>
      </c>
      <c r="L104" t="n">
        <v>0.5</v>
      </c>
      <c r="M104" t="inlineStr">
        <is>
          <t>Win</t>
        </is>
      </c>
    </row>
    <row r="105">
      <c r="A105" t="inlineStr">
        <is>
          <t>open</t>
        </is>
      </c>
      <c r="B105" t="n">
        <v>2026</v>
      </c>
      <c r="C105" t="n">
        <v>7</v>
      </c>
      <c r="D105" t="inlineStr">
        <is>
          <t>Florida Atlantic</t>
        </is>
      </c>
      <c r="E105" t="inlineStr">
        <is>
          <t>Army</t>
        </is>
      </c>
      <c r="F105" t="inlineStr">
        <is>
          <t>Home</t>
        </is>
      </c>
      <c r="G105" t="n">
        <v>-9.5</v>
      </c>
      <c r="H105" t="n">
        <v>-3</v>
      </c>
      <c r="I105" t="n">
        <v>-2.25</v>
      </c>
      <c r="J105" t="n">
        <v>6.5</v>
      </c>
      <c r="K105" t="inlineStr">
        <is>
          <t>Yes</t>
        </is>
      </c>
      <c r="L105" t="n">
        <v>-0.75</v>
      </c>
      <c r="M105" t="inlineStr">
        <is>
          <t>Win</t>
        </is>
      </c>
    </row>
    <row r="106">
      <c r="A106" t="inlineStr">
        <is>
          <t>open</t>
        </is>
      </c>
      <c r="B106" t="n">
        <v>2026</v>
      </c>
      <c r="C106" t="n">
        <v>7</v>
      </c>
      <c r="D106" t="inlineStr">
        <is>
          <t>Charlotte</t>
        </is>
      </c>
      <c r="E106" t="inlineStr">
        <is>
          <t>Temple</t>
        </is>
      </c>
      <c r="F106" t="inlineStr">
        <is>
          <t>Away</t>
        </is>
      </c>
      <c r="G106" t="n">
        <v>-12.12</v>
      </c>
      <c r="H106" t="n">
        <v>-23.25</v>
      </c>
      <c r="I106" t="n">
        <v>-18.5</v>
      </c>
      <c r="J106" t="n">
        <v>-11.13</v>
      </c>
      <c r="K106" t="inlineStr">
        <is>
          <t>Yes</t>
        </is>
      </c>
      <c r="L106" t="n">
        <v>4.75</v>
      </c>
      <c r="M106" t="inlineStr">
        <is>
          <t>Win</t>
        </is>
      </c>
    </row>
    <row r="107">
      <c r="A107" t="inlineStr">
        <is>
          <t>open</t>
        </is>
      </c>
      <c r="B107" t="n">
        <v>2026</v>
      </c>
      <c r="C107" t="n">
        <v>7</v>
      </c>
      <c r="D107" t="inlineStr">
        <is>
          <t>Navy</t>
        </is>
      </c>
      <c r="E107" t="inlineStr">
        <is>
          <t>UTSA</t>
        </is>
      </c>
      <c r="F107" t="inlineStr">
        <is>
          <t>Away</t>
        </is>
      </c>
      <c r="G107" t="n">
        <v>-3.31</v>
      </c>
      <c r="H107" t="n">
        <v>-6.75</v>
      </c>
      <c r="I107" t="n">
        <v>-6.25</v>
      </c>
      <c r="J107" t="n">
        <v>-3.44</v>
      </c>
      <c r="K107" t="inlineStr">
        <is>
          <t>Yes</t>
        </is>
      </c>
      <c r="L107" t="n">
        <v>0.5</v>
      </c>
      <c r="M107" t="inlineStr">
        <is>
          <t>Win</t>
        </is>
      </c>
    </row>
    <row r="108">
      <c r="A108" t="inlineStr">
        <is>
          <t>open</t>
        </is>
      </c>
      <c r="B108" t="n">
        <v>2026</v>
      </c>
      <c r="C108" t="n">
        <v>7</v>
      </c>
      <c r="D108" t="inlineStr">
        <is>
          <t>Tulsa</t>
        </is>
      </c>
      <c r="E108" t="inlineStr">
        <is>
          <t>Rice</t>
        </is>
      </c>
      <c r="F108" t="inlineStr">
        <is>
          <t>Away</t>
        </is>
      </c>
      <c r="G108" t="n">
        <v>2.95</v>
      </c>
      <c r="H108" t="n">
        <v>3.5</v>
      </c>
      <c r="I108" t="n">
        <v>4</v>
      </c>
      <c r="J108" t="n">
        <v>0.55</v>
      </c>
      <c r="L108" t="n">
        <v>0.5</v>
      </c>
      <c r="M108" t="inlineStr">
        <is>
          <t>Win</t>
        </is>
      </c>
    </row>
    <row r="109">
      <c r="A109" t="inlineStr">
        <is>
          <t>open</t>
        </is>
      </c>
      <c r="B109" t="n">
        <v>2026</v>
      </c>
      <c r="C109" t="n">
        <v>7</v>
      </c>
      <c r="D109" t="inlineStr">
        <is>
          <t>Kent State</t>
        </is>
      </c>
      <c r="E109" t="inlineStr">
        <is>
          <t>South Florida</t>
        </is>
      </c>
      <c r="F109" t="inlineStr">
        <is>
          <t>Home</t>
        </is>
      </c>
      <c r="G109" t="n">
        <v>-19.66</v>
      </c>
      <c r="H109" t="n">
        <v>-19.25</v>
      </c>
      <c r="I109" t="n">
        <v>-20.5</v>
      </c>
      <c r="J109" t="n">
        <v>0.41</v>
      </c>
      <c r="L109" t="n">
        <v>1.25</v>
      </c>
      <c r="M109" t="inlineStr">
        <is>
          <t>Win</t>
        </is>
      </c>
    </row>
    <row r="110">
      <c r="A110" t="inlineStr">
        <is>
          <t>open</t>
        </is>
      </c>
      <c r="B110" t="n">
        <v>2026</v>
      </c>
      <c r="C110" t="n">
        <v>7</v>
      </c>
      <c r="D110" t="inlineStr">
        <is>
          <t>Nevada</t>
        </is>
      </c>
      <c r="E110" t="inlineStr">
        <is>
          <t>North Dakota State</t>
        </is>
      </c>
      <c r="F110" t="inlineStr">
        <is>
          <t>Home</t>
        </is>
      </c>
      <c r="G110" t="n">
        <v>-24.89</v>
      </c>
      <c r="H110" t="n">
        <v>-15</v>
      </c>
      <c r="I110" t="n">
        <v>-14.25</v>
      </c>
      <c r="J110" t="n">
        <v>9.890000000000001</v>
      </c>
      <c r="K110" t="inlineStr">
        <is>
          <t>Yes</t>
        </is>
      </c>
      <c r="L110" t="n">
        <v>-0.75</v>
      </c>
      <c r="M110" t="inlineStr">
        <is>
          <t>Loss</t>
        </is>
      </c>
    </row>
    <row r="111">
      <c r="A111" t="inlineStr">
        <is>
          <t>open</t>
        </is>
      </c>
      <c r="B111" t="n">
        <v>2026</v>
      </c>
      <c r="C111" t="n">
        <v>7</v>
      </c>
      <c r="D111" t="inlineStr">
        <is>
          <t>New Mexico</t>
        </is>
      </c>
      <c r="E111" t="inlineStr">
        <is>
          <t>Hawai'i</t>
        </is>
      </c>
      <c r="F111" t="inlineStr">
        <is>
          <t>Home</t>
        </is>
      </c>
      <c r="G111" t="n">
        <v>10.3</v>
      </c>
      <c r="H111" t="n">
        <v>14.75</v>
      </c>
      <c r="I111" t="n">
        <v>14.5</v>
      </c>
      <c r="J111" t="n">
        <v>4.45</v>
      </c>
      <c r="K111" t="inlineStr">
        <is>
          <t>Yes</t>
        </is>
      </c>
      <c r="L111" t="n">
        <v>0.25</v>
      </c>
      <c r="M111" t="inlineStr">
        <is>
          <t>Win</t>
        </is>
      </c>
    </row>
    <row r="112">
      <c r="A112" t="inlineStr">
        <is>
          <t>open</t>
        </is>
      </c>
      <c r="B112" t="n">
        <v>2026</v>
      </c>
      <c r="C112" t="n">
        <v>7</v>
      </c>
      <c r="D112" t="inlineStr">
        <is>
          <t>Northern Illinois</t>
        </is>
      </c>
      <c r="E112" t="inlineStr">
        <is>
          <t>Wyoming</t>
        </is>
      </c>
      <c r="F112" t="inlineStr">
        <is>
          <t>Home</t>
        </is>
      </c>
      <c r="G112" t="n">
        <v>-11.71</v>
      </c>
      <c r="H112" t="n">
        <v>-7.25</v>
      </c>
      <c r="I112" t="n">
        <v>-7.5</v>
      </c>
      <c r="J112" t="n">
        <v>4.46</v>
      </c>
      <c r="K112" t="inlineStr">
        <is>
          <t>Yes</t>
        </is>
      </c>
      <c r="L112" t="n">
        <v>0.25</v>
      </c>
      <c r="M112" t="inlineStr">
        <is>
          <t>Win</t>
        </is>
      </c>
    </row>
    <row r="113">
      <c r="A113" t="inlineStr">
        <is>
          <t>open</t>
        </is>
      </c>
      <c r="B113" t="n">
        <v>2026</v>
      </c>
      <c r="C113" t="n">
        <v>7</v>
      </c>
      <c r="D113" t="inlineStr">
        <is>
          <t>San José State</t>
        </is>
      </c>
      <c r="E113" t="inlineStr">
        <is>
          <t>UTEP</t>
        </is>
      </c>
      <c r="F113" t="inlineStr">
        <is>
          <t>Home</t>
        </is>
      </c>
      <c r="G113" t="n">
        <v>0.91</v>
      </c>
      <c r="H113" t="n">
        <v>9.5</v>
      </c>
      <c r="I113" t="n">
        <v>6.75</v>
      </c>
      <c r="J113" t="n">
        <v>8.59</v>
      </c>
      <c r="K113" t="inlineStr">
        <is>
          <t>Yes</t>
        </is>
      </c>
      <c r="L113" t="n">
        <v>2.75</v>
      </c>
      <c r="M113" t="inlineStr">
        <is>
          <t>Loss</t>
        </is>
      </c>
    </row>
    <row r="114">
      <c r="A114" t="inlineStr">
        <is>
          <t>open</t>
        </is>
      </c>
      <c r="B114" t="n">
        <v>2026</v>
      </c>
      <c r="C114" t="n">
        <v>7</v>
      </c>
      <c r="D114" t="inlineStr">
        <is>
          <t>UNLV</t>
        </is>
      </c>
      <c r="E114" t="inlineStr">
        <is>
          <t>Air Force</t>
        </is>
      </c>
      <c r="F114" t="inlineStr">
        <is>
          <t>Away</t>
        </is>
      </c>
      <c r="G114" t="n">
        <v>3.71</v>
      </c>
      <c r="H114" t="n">
        <v>2</v>
      </c>
      <c r="I114" t="n">
        <v>-0.25</v>
      </c>
      <c r="J114" t="n">
        <v>-1.71</v>
      </c>
      <c r="L114" t="n">
        <v>-2.25</v>
      </c>
      <c r="M114" t="inlineStr">
        <is>
          <t>Loss</t>
        </is>
      </c>
    </row>
    <row r="115">
      <c r="A115" t="inlineStr">
        <is>
          <t>open</t>
        </is>
      </c>
      <c r="B115" t="n">
        <v>2026</v>
      </c>
      <c r="C115" t="n">
        <v>7</v>
      </c>
      <c r="D115" t="inlineStr">
        <is>
          <t>Ball State</t>
        </is>
      </c>
      <c r="E115" t="inlineStr">
        <is>
          <t>Bowling Green</t>
        </is>
      </c>
      <c r="F115" t="inlineStr">
        <is>
          <t>Home</t>
        </is>
      </c>
      <c r="G115" t="n">
        <v>-11.32</v>
      </c>
      <c r="H115" t="n">
        <v>-7.75</v>
      </c>
      <c r="I115" t="n">
        <v>-6.25</v>
      </c>
      <c r="J115" t="n">
        <v>3.57</v>
      </c>
      <c r="K115" t="inlineStr">
        <is>
          <t>Yes</t>
        </is>
      </c>
      <c r="L115" t="n">
        <v>-1.5</v>
      </c>
      <c r="M115" t="inlineStr">
        <is>
          <t>Loss</t>
        </is>
      </c>
    </row>
    <row r="116">
      <c r="A116" t="inlineStr">
        <is>
          <t>open</t>
        </is>
      </c>
      <c r="B116" t="n">
        <v>2026</v>
      </c>
      <c r="C116" t="n">
        <v>7</v>
      </c>
      <c r="D116" t="inlineStr">
        <is>
          <t>Massachusetts</t>
        </is>
      </c>
      <c r="E116" t="inlineStr">
        <is>
          <t>Buffalo</t>
        </is>
      </c>
      <c r="F116" t="inlineStr">
        <is>
          <t>Home</t>
        </is>
      </c>
      <c r="G116" t="n">
        <v>-12.3</v>
      </c>
      <c r="H116" t="n">
        <v>-3.25</v>
      </c>
      <c r="I116" t="n">
        <v>-6.75</v>
      </c>
      <c r="J116" t="n">
        <v>9.050000000000001</v>
      </c>
      <c r="K116" t="inlineStr">
        <is>
          <t>Yes</t>
        </is>
      </c>
      <c r="L116" t="n">
        <v>3.5</v>
      </c>
      <c r="M116" t="inlineStr">
        <is>
          <t>Win</t>
        </is>
      </c>
    </row>
    <row r="117">
      <c r="A117" t="inlineStr">
        <is>
          <t>open</t>
        </is>
      </c>
      <c r="B117" t="n">
        <v>2026</v>
      </c>
      <c r="C117" t="n">
        <v>7</v>
      </c>
      <c r="D117" t="inlineStr">
        <is>
          <t>Western Michigan</t>
        </is>
      </c>
      <c r="E117" t="inlineStr">
        <is>
          <t>Central Michigan</t>
        </is>
      </c>
      <c r="F117" t="inlineStr">
        <is>
          <t>Away</t>
        </is>
      </c>
      <c r="G117" t="n">
        <v>8.34</v>
      </c>
      <c r="H117" t="n">
        <v>7</v>
      </c>
      <c r="I117" t="n">
        <v>7.5</v>
      </c>
      <c r="J117" t="n">
        <v>-1.34</v>
      </c>
      <c r="L117" t="n">
        <v>0.5</v>
      </c>
      <c r="M117" t="inlineStr">
        <is>
          <t>Push</t>
        </is>
      </c>
    </row>
    <row r="118">
      <c r="A118" t="inlineStr">
        <is>
          <t>open</t>
        </is>
      </c>
      <c r="B118" t="n">
        <v>2026</v>
      </c>
      <c r="C118" t="n">
        <v>7</v>
      </c>
      <c r="D118" t="inlineStr">
        <is>
          <t>Toledo</t>
        </is>
      </c>
      <c r="E118" t="inlineStr">
        <is>
          <t>Eastern Michigan</t>
        </is>
      </c>
      <c r="F118" t="inlineStr">
        <is>
          <t>Away</t>
        </is>
      </c>
      <c r="G118" t="n">
        <v>11.1</v>
      </c>
      <c r="H118" t="n">
        <v>5.75</v>
      </c>
      <c r="I118" t="n">
        <v>7.25</v>
      </c>
      <c r="J118" t="n">
        <v>-5.35</v>
      </c>
      <c r="K118" t="inlineStr">
        <is>
          <t>Yes</t>
        </is>
      </c>
      <c r="L118" t="n">
        <v>1.5</v>
      </c>
      <c r="M118" t="inlineStr">
        <is>
          <t>Win</t>
        </is>
      </c>
    </row>
    <row r="119">
      <c r="A119" t="inlineStr">
        <is>
          <t>open</t>
        </is>
      </c>
      <c r="B119" t="n">
        <v>2026</v>
      </c>
      <c r="C119" t="n">
        <v>7</v>
      </c>
      <c r="D119" t="inlineStr">
        <is>
          <t>Ohio</t>
        </is>
      </c>
      <c r="E119" t="inlineStr">
        <is>
          <t>Sacramento State</t>
        </is>
      </c>
      <c r="F119" t="inlineStr">
        <is>
          <t>Away</t>
        </is>
      </c>
      <c r="G119" t="n">
        <v>19.58</v>
      </c>
      <c r="H119" t="n">
        <v>14</v>
      </c>
      <c r="I119" t="n">
        <v>16.5</v>
      </c>
      <c r="J119" t="n">
        <v>-5.58</v>
      </c>
      <c r="K119" t="inlineStr">
        <is>
          <t>Yes</t>
        </is>
      </c>
      <c r="L119" t="n">
        <v>2.5</v>
      </c>
      <c r="M119" t="inlineStr">
        <is>
          <t>Win</t>
        </is>
      </c>
    </row>
    <row r="120">
      <c r="A120" t="inlineStr">
        <is>
          <t>open</t>
        </is>
      </c>
      <c r="B120" t="n">
        <v>2026</v>
      </c>
      <c r="C120" t="n">
        <v>7</v>
      </c>
      <c r="D120" t="inlineStr">
        <is>
          <t>Akron</t>
        </is>
      </c>
      <c r="E120" t="inlineStr">
        <is>
          <t>Miami (OH)</t>
        </is>
      </c>
      <c r="F120" t="inlineStr">
        <is>
          <t>Away</t>
        </is>
      </c>
      <c r="G120" t="n">
        <v>-7.86</v>
      </c>
      <c r="H120" t="n">
        <v>-9.75</v>
      </c>
      <c r="I120" t="n">
        <v>-9.5</v>
      </c>
      <c r="J120" t="n">
        <v>-1.89</v>
      </c>
      <c r="L120" t="n">
        <v>0.25</v>
      </c>
      <c r="M120" t="inlineStr">
        <is>
          <t>Loss</t>
        </is>
      </c>
    </row>
    <row r="121">
      <c r="A121" t="inlineStr">
        <is>
          <t>open</t>
        </is>
      </c>
      <c r="B121" t="n">
        <v>2026</v>
      </c>
      <c r="C121" t="n">
        <v>7</v>
      </c>
      <c r="D121" t="inlineStr">
        <is>
          <t>App State</t>
        </is>
      </c>
      <c r="E121" t="inlineStr">
        <is>
          <t>Coastal Carolina</t>
        </is>
      </c>
      <c r="F121" t="inlineStr">
        <is>
          <t>Home</t>
        </is>
      </c>
      <c r="G121" t="n">
        <v>-2.31</v>
      </c>
      <c r="H121" t="n">
        <v>1.25</v>
      </c>
      <c r="I121" t="n">
        <v>1.25</v>
      </c>
      <c r="J121" t="n">
        <v>3.56</v>
      </c>
      <c r="K121" t="inlineStr">
        <is>
          <t>Yes</t>
        </is>
      </c>
      <c r="L121" t="n">
        <v>0</v>
      </c>
      <c r="M121" t="inlineStr">
        <is>
          <t>Loss</t>
        </is>
      </c>
    </row>
    <row r="122">
      <c r="A122" t="inlineStr">
        <is>
          <t>open</t>
        </is>
      </c>
      <c r="B122" t="n">
        <v>2026</v>
      </c>
      <c r="C122" t="n">
        <v>7</v>
      </c>
      <c r="D122" t="inlineStr">
        <is>
          <t>Arkansas State</t>
        </is>
      </c>
      <c r="E122" t="inlineStr">
        <is>
          <t>Southern Miss</t>
        </is>
      </c>
      <c r="F122" t="inlineStr">
        <is>
          <t>Home</t>
        </is>
      </c>
      <c r="G122" t="n">
        <v>1.94</v>
      </c>
      <c r="H122" t="n">
        <v>7</v>
      </c>
      <c r="I122" t="n">
        <v>6</v>
      </c>
      <c r="J122" t="n">
        <v>5.06</v>
      </c>
      <c r="K122" t="inlineStr">
        <is>
          <t>Yes</t>
        </is>
      </c>
      <c r="L122" t="n">
        <v>1</v>
      </c>
      <c r="M122" t="inlineStr">
        <is>
          <t>Loss</t>
        </is>
      </c>
    </row>
    <row r="123">
      <c r="A123" t="inlineStr">
        <is>
          <t>open</t>
        </is>
      </c>
      <c r="B123" t="n">
        <v>2026</v>
      </c>
      <c r="C123" t="n">
        <v>7</v>
      </c>
      <c r="D123" t="inlineStr">
        <is>
          <t>Georgia Southern</t>
        </is>
      </c>
      <c r="E123" t="inlineStr">
        <is>
          <t>Old Dominion</t>
        </is>
      </c>
      <c r="F123" t="inlineStr">
        <is>
          <t>Home</t>
        </is>
      </c>
      <c r="G123" t="n">
        <v>-12.2</v>
      </c>
      <c r="H123" t="n">
        <v>3</v>
      </c>
      <c r="I123" t="n">
        <v>3</v>
      </c>
      <c r="J123" t="n">
        <v>15.2</v>
      </c>
      <c r="K123" t="inlineStr">
        <is>
          <t>Yes</t>
        </is>
      </c>
      <c r="L123" t="n">
        <v>0</v>
      </c>
      <c r="M123" t="inlineStr">
        <is>
          <t>Loss</t>
        </is>
      </c>
    </row>
    <row r="124">
      <c r="A124" t="inlineStr">
        <is>
          <t>open</t>
        </is>
      </c>
      <c r="B124" t="n">
        <v>2026</v>
      </c>
      <c r="C124" t="n">
        <v>7</v>
      </c>
      <c r="D124" t="inlineStr">
        <is>
          <t>Georgia State</t>
        </is>
      </c>
      <c r="E124" t="inlineStr">
        <is>
          <t>James Madison</t>
        </is>
      </c>
      <c r="F124" t="inlineStr">
        <is>
          <t>Home</t>
        </is>
      </c>
      <c r="G124" t="n">
        <v>-18.31</v>
      </c>
      <c r="H124" t="n">
        <v>-12.25</v>
      </c>
      <c r="I124" t="n">
        <v>-7.75</v>
      </c>
      <c r="J124" t="n">
        <v>6.06</v>
      </c>
      <c r="K124" t="inlineStr">
        <is>
          <t>Yes</t>
        </is>
      </c>
      <c r="L124" t="n">
        <v>-4.5</v>
      </c>
      <c r="M124" t="inlineStr">
        <is>
          <t>Win</t>
        </is>
      </c>
    </row>
    <row r="125">
      <c r="A125" t="inlineStr">
        <is>
          <t>open</t>
        </is>
      </c>
      <c r="B125" t="n">
        <v>2026</v>
      </c>
      <c r="C125" t="n">
        <v>7</v>
      </c>
      <c r="D125" t="inlineStr">
        <is>
          <t>Troy</t>
        </is>
      </c>
      <c r="E125" t="inlineStr">
        <is>
          <t>Louisiana</t>
        </is>
      </c>
      <c r="F125" t="inlineStr">
        <is>
          <t>Home</t>
        </is>
      </c>
      <c r="G125" t="n">
        <v>-4.17</v>
      </c>
      <c r="H125" t="n">
        <v>-4</v>
      </c>
      <c r="I125" t="n">
        <v>-3</v>
      </c>
      <c r="J125" t="n">
        <v>0.17</v>
      </c>
      <c r="L125" t="n">
        <v>-1</v>
      </c>
      <c r="M125" t="inlineStr">
        <is>
          <t>Win</t>
        </is>
      </c>
    </row>
    <row r="126">
      <c r="A126" t="inlineStr">
        <is>
          <t>open</t>
        </is>
      </c>
      <c r="B126" t="n">
        <v>2026</v>
      </c>
      <c r="C126" t="n">
        <v>7</v>
      </c>
      <c r="D126" t="inlineStr">
        <is>
          <t>Florida International</t>
        </is>
      </c>
      <c r="E126" t="inlineStr">
        <is>
          <t>Jacksonville State</t>
        </is>
      </c>
      <c r="F126" t="inlineStr">
        <is>
          <t>Home</t>
        </is>
      </c>
      <c r="G126" t="n">
        <v>-3.98</v>
      </c>
      <c r="H126" t="n">
        <v>-3</v>
      </c>
      <c r="I126" t="n">
        <v>-3</v>
      </c>
      <c r="J126" t="n">
        <v>0.98</v>
      </c>
      <c r="L126" t="n">
        <v>0</v>
      </c>
      <c r="M126" t="inlineStr">
        <is>
          <t>Push</t>
        </is>
      </c>
    </row>
    <row r="127">
      <c r="A127" t="inlineStr">
        <is>
          <t>open</t>
        </is>
      </c>
      <c r="B127" t="n">
        <v>2026</v>
      </c>
      <c r="C127" t="n">
        <v>7</v>
      </c>
      <c r="D127" t="inlineStr">
        <is>
          <t>Kennesaw State</t>
        </is>
      </c>
      <c r="E127" t="inlineStr">
        <is>
          <t>Missouri State</t>
        </is>
      </c>
      <c r="F127" t="inlineStr">
        <is>
          <t>Home</t>
        </is>
      </c>
      <c r="G127" t="n">
        <v>-0.68</v>
      </c>
      <c r="H127" t="n">
        <v>3</v>
      </c>
      <c r="I127" t="n">
        <v>2.5</v>
      </c>
      <c r="J127" t="n">
        <v>3.68</v>
      </c>
      <c r="K127" t="inlineStr">
        <is>
          <t>Yes</t>
        </is>
      </c>
      <c r="L127" t="n">
        <v>0.5</v>
      </c>
      <c r="M127" t="inlineStr">
        <is>
          <t>Win</t>
        </is>
      </c>
    </row>
    <row r="128">
      <c r="A128" t="inlineStr">
        <is>
          <t>open</t>
        </is>
      </c>
      <c r="B128" t="n">
        <v>2026</v>
      </c>
      <c r="C128" t="n">
        <v>7</v>
      </c>
      <c r="D128" t="inlineStr">
        <is>
          <t>Delaware</t>
        </is>
      </c>
      <c r="E128" t="inlineStr">
        <is>
          <t>Middle Tennessee</t>
        </is>
      </c>
      <c r="F128" t="inlineStr">
        <is>
          <t>Home</t>
        </is>
      </c>
      <c r="G128" t="n">
        <v>-1.3</v>
      </c>
      <c r="H128" t="n">
        <v>2</v>
      </c>
      <c r="I128" t="n">
        <v>1.25</v>
      </c>
      <c r="J128" t="n">
        <v>3.3</v>
      </c>
      <c r="K128" t="inlineStr">
        <is>
          <t>Yes</t>
        </is>
      </c>
      <c r="L128" t="n">
        <v>0.75</v>
      </c>
      <c r="M128" t="inlineStr">
        <is>
          <t>Win</t>
        </is>
      </c>
    </row>
    <row r="129">
      <c r="A129" t="inlineStr">
        <is>
          <t>open</t>
        </is>
      </c>
      <c r="B129" t="n">
        <v>2026</v>
      </c>
      <c r="C129" t="n">
        <v>7</v>
      </c>
      <c r="D129" t="inlineStr">
        <is>
          <t>Western Kentucky</t>
        </is>
      </c>
      <c r="E129" t="inlineStr">
        <is>
          <t>Sam Houston</t>
        </is>
      </c>
      <c r="F129" t="inlineStr">
        <is>
          <t>Away</t>
        </is>
      </c>
      <c r="G129" t="n">
        <v>10.1</v>
      </c>
      <c r="H129" t="n">
        <v>1.25</v>
      </c>
      <c r="I129" t="n">
        <v>1.25</v>
      </c>
      <c r="J129" t="n">
        <v>-8.85</v>
      </c>
      <c r="K129" t="inlineStr">
        <is>
          <t>Yes</t>
        </is>
      </c>
      <c r="L129" t="n">
        <v>0</v>
      </c>
      <c r="M129" t="inlineStr">
        <is>
          <t>Win</t>
        </is>
      </c>
    </row>
    <row r="130">
      <c r="A130" t="inlineStr">
        <is>
          <t>open</t>
        </is>
      </c>
      <c r="B130" t="n">
        <v>2026</v>
      </c>
      <c r="C130" t="n">
        <v>7</v>
      </c>
      <c r="D130" t="inlineStr">
        <is>
          <t>Louisiana Tech</t>
        </is>
      </c>
      <c r="E130" t="inlineStr">
        <is>
          <t>UL Monroe</t>
        </is>
      </c>
      <c r="F130" t="inlineStr">
        <is>
          <t>Away</t>
        </is>
      </c>
      <c r="G130" t="n">
        <v>16.2</v>
      </c>
      <c r="H130" t="n">
        <v>14.5</v>
      </c>
      <c r="I130" t="n">
        <v>14.5</v>
      </c>
      <c r="J130" t="n">
        <v>-1.7</v>
      </c>
      <c r="L130" t="n">
        <v>0</v>
      </c>
      <c r="M130" t="inlineStr">
        <is>
          <t>Win</t>
        </is>
      </c>
    </row>
    <row r="131">
      <c r="A131" t="inlineStr">
        <is>
          <t>open</t>
        </is>
      </c>
      <c r="B131" t="n">
        <v>2026</v>
      </c>
      <c r="C131" t="n">
        <v>6</v>
      </c>
      <c r="D131" t="inlineStr">
        <is>
          <t>Georgia</t>
        </is>
      </c>
      <c r="E131" t="inlineStr">
        <is>
          <t>Alabama</t>
        </is>
      </c>
      <c r="F131" t="inlineStr">
        <is>
          <t>Home</t>
        </is>
      </c>
      <c r="G131" t="n">
        <v>-0.17</v>
      </c>
      <c r="H131" t="n">
        <v>2</v>
      </c>
      <c r="I131" t="n">
        <v>-2.5</v>
      </c>
      <c r="J131" t="n">
        <v>2.17</v>
      </c>
      <c r="K131" t="inlineStr">
        <is>
          <t>Yes</t>
        </is>
      </c>
      <c r="L131" t="n">
        <v>4.5</v>
      </c>
      <c r="M131" t="inlineStr">
        <is>
          <t>Loss</t>
        </is>
      </c>
    </row>
    <row r="132">
      <c r="A132" t="inlineStr">
        <is>
          <t>open</t>
        </is>
      </c>
      <c r="B132" t="n">
        <v>2026</v>
      </c>
      <c r="C132" t="n">
        <v>6</v>
      </c>
      <c r="D132" t="inlineStr">
        <is>
          <t>Tennessee</t>
        </is>
      </c>
      <c r="E132" t="inlineStr">
        <is>
          <t>Arkansas</t>
        </is>
      </c>
      <c r="F132" t="inlineStr">
        <is>
          <t>Home</t>
        </is>
      </c>
      <c r="G132" t="n">
        <v>11.53</v>
      </c>
      <c r="H132" t="n">
        <v>13.5</v>
      </c>
      <c r="I132" t="n">
        <v>13.75</v>
      </c>
      <c r="J132" t="n">
        <v>1.97</v>
      </c>
      <c r="L132" t="n">
        <v>-0.25</v>
      </c>
      <c r="M132" t="inlineStr">
        <is>
          <t>Win</t>
        </is>
      </c>
    </row>
    <row r="133">
      <c r="A133" t="inlineStr">
        <is>
          <t>open</t>
        </is>
      </c>
      <c r="B133" t="n">
        <v>2026</v>
      </c>
      <c r="C133" t="n">
        <v>6</v>
      </c>
      <c r="D133" t="inlineStr">
        <is>
          <t>South Carolina</t>
        </is>
      </c>
      <c r="E133" t="inlineStr">
        <is>
          <t>Florida</t>
        </is>
      </c>
      <c r="F133" t="inlineStr">
        <is>
          <t>Away</t>
        </is>
      </c>
      <c r="G133" t="n">
        <v>-10.47</v>
      </c>
      <c r="H133" t="n">
        <v>-14.25</v>
      </c>
      <c r="I133" t="n">
        <v>-10.5</v>
      </c>
      <c r="J133" t="n">
        <v>-3.78</v>
      </c>
      <c r="K133" t="inlineStr">
        <is>
          <t>Yes</t>
        </is>
      </c>
      <c r="L133" t="n">
        <v>3.75</v>
      </c>
      <c r="M133" t="inlineStr">
        <is>
          <t>Win</t>
        </is>
      </c>
    </row>
    <row r="134">
      <c r="A134" t="inlineStr">
        <is>
          <t>open</t>
        </is>
      </c>
      <c r="B134" t="n">
        <v>2026</v>
      </c>
      <c r="C134" t="n">
        <v>6</v>
      </c>
      <c r="D134" t="inlineStr">
        <is>
          <t>LSU</t>
        </is>
      </c>
      <c r="E134" t="inlineStr">
        <is>
          <t>Kentucky</t>
        </is>
      </c>
      <c r="F134" t="inlineStr">
        <is>
          <t>Home</t>
        </is>
      </c>
      <c r="G134" t="n">
        <v>7.26</v>
      </c>
      <c r="H134" t="n">
        <v>10.25</v>
      </c>
      <c r="I134" t="n">
        <v>9.25</v>
      </c>
      <c r="J134" t="n">
        <v>2.99</v>
      </c>
      <c r="K134" t="inlineStr">
        <is>
          <t>Yes</t>
        </is>
      </c>
      <c r="L134" t="n">
        <v>1</v>
      </c>
      <c r="M134" t="inlineStr">
        <is>
          <t>Win</t>
        </is>
      </c>
    </row>
    <row r="135">
      <c r="A135" t="inlineStr">
        <is>
          <t>open</t>
        </is>
      </c>
      <c r="B135" t="n">
        <v>2026</v>
      </c>
      <c r="C135" t="n">
        <v>6</v>
      </c>
      <c r="D135" t="inlineStr">
        <is>
          <t>Texas A&amp;M</t>
        </is>
      </c>
      <c r="E135" t="inlineStr">
        <is>
          <t>Missouri</t>
        </is>
      </c>
      <c r="F135" t="inlineStr">
        <is>
          <t>Away</t>
        </is>
      </c>
      <c r="G135" t="n">
        <v>-0.88</v>
      </c>
      <c r="H135" t="n">
        <v>-3.25</v>
      </c>
      <c r="I135" t="n">
        <v>-4.5</v>
      </c>
      <c r="J135" t="n">
        <v>-2.37</v>
      </c>
      <c r="K135" t="inlineStr">
        <is>
          <t>Yes</t>
        </is>
      </c>
      <c r="L135" t="n">
        <v>-1.25</v>
      </c>
      <c r="M135" t="inlineStr">
        <is>
          <t>Loss</t>
        </is>
      </c>
    </row>
    <row r="136">
      <c r="A136" t="inlineStr">
        <is>
          <t>open</t>
        </is>
      </c>
      <c r="B136" t="n">
        <v>2026</v>
      </c>
      <c r="C136" t="n">
        <v>6</v>
      </c>
      <c r="D136" t="inlineStr">
        <is>
          <t>Texas</t>
        </is>
      </c>
      <c r="E136" t="inlineStr">
        <is>
          <t>Oklahoma</t>
        </is>
      </c>
      <c r="F136" t="inlineStr">
        <is>
          <t>Away</t>
        </is>
      </c>
      <c r="G136" t="n">
        <v>8.65</v>
      </c>
      <c r="H136" t="n">
        <v>7</v>
      </c>
      <c r="I136" t="n">
        <v>7.75</v>
      </c>
      <c r="J136" t="n">
        <v>-1.65</v>
      </c>
      <c r="L136" t="n">
        <v>0.75</v>
      </c>
      <c r="M136" t="inlineStr">
        <is>
          <t>Loss</t>
        </is>
      </c>
    </row>
    <row r="137">
      <c r="A137" t="inlineStr">
        <is>
          <t>open</t>
        </is>
      </c>
      <c r="B137" t="n">
        <v>2026</v>
      </c>
      <c r="C137" t="n">
        <v>6</v>
      </c>
      <c r="D137" t="inlineStr">
        <is>
          <t>Ole Miss</t>
        </is>
      </c>
      <c r="E137" t="inlineStr">
        <is>
          <t>Vanderbilt</t>
        </is>
      </c>
      <c r="F137" t="inlineStr">
        <is>
          <t>Home</t>
        </is>
      </c>
      <c r="G137" t="n">
        <v>8.25</v>
      </c>
      <c r="H137" t="n">
        <v>10</v>
      </c>
      <c r="I137" t="n">
        <v>9.25</v>
      </c>
      <c r="J137" t="n">
        <v>1.75</v>
      </c>
      <c r="L137" t="n">
        <v>0.75</v>
      </c>
      <c r="M137" t="inlineStr">
        <is>
          <t>Loss</t>
        </is>
      </c>
    </row>
    <row r="138">
      <c r="A138" t="inlineStr">
        <is>
          <t>open</t>
        </is>
      </c>
      <c r="B138" t="n">
        <v>2026</v>
      </c>
      <c r="C138" t="n">
        <v>6</v>
      </c>
      <c r="D138" t="inlineStr">
        <is>
          <t>Hawai'i</t>
        </is>
      </c>
      <c r="E138" t="inlineStr">
        <is>
          <t>Arizona State</t>
        </is>
      </c>
      <c r="F138" t="inlineStr">
        <is>
          <t>Away</t>
        </is>
      </c>
      <c r="G138" t="n">
        <v>-17.33</v>
      </c>
      <c r="H138" t="n">
        <v>-21.25</v>
      </c>
      <c r="I138" t="n">
        <v>-20.75</v>
      </c>
      <c r="J138" t="n">
        <v>-3.92</v>
      </c>
      <c r="K138" t="inlineStr">
        <is>
          <t>Yes</t>
        </is>
      </c>
      <c r="L138" t="n">
        <v>0.5</v>
      </c>
      <c r="M138" t="inlineStr">
        <is>
          <t>Win</t>
        </is>
      </c>
    </row>
    <row r="139">
      <c r="A139" t="inlineStr">
        <is>
          <t>open</t>
        </is>
      </c>
      <c r="B139" t="n">
        <v>2026</v>
      </c>
      <c r="C139" t="n">
        <v>6</v>
      </c>
      <c r="D139" t="inlineStr">
        <is>
          <t>Arizona</t>
        </is>
      </c>
      <c r="E139" t="inlineStr">
        <is>
          <t>West Virginia</t>
        </is>
      </c>
      <c r="F139" t="inlineStr">
        <is>
          <t>Away</t>
        </is>
      </c>
      <c r="G139" t="n">
        <v>5.15</v>
      </c>
      <c r="H139" t="n">
        <v>3</v>
      </c>
      <c r="I139" t="n">
        <v>3.5</v>
      </c>
      <c r="J139" t="n">
        <v>-2.15</v>
      </c>
      <c r="K139" t="inlineStr">
        <is>
          <t>Yes</t>
        </is>
      </c>
      <c r="L139" t="n">
        <v>0.5</v>
      </c>
      <c r="M139" t="inlineStr">
        <is>
          <t>Win</t>
        </is>
      </c>
    </row>
    <row r="140">
      <c r="A140" t="inlineStr">
        <is>
          <t>open</t>
        </is>
      </c>
      <c r="B140" t="n">
        <v>2026</v>
      </c>
      <c r="C140" t="n">
        <v>6</v>
      </c>
      <c r="D140" t="inlineStr">
        <is>
          <t>UCF</t>
        </is>
      </c>
      <c r="E140" t="inlineStr">
        <is>
          <t>Oklahoma State</t>
        </is>
      </c>
      <c r="F140" t="inlineStr">
        <is>
          <t>Away</t>
        </is>
      </c>
      <c r="G140" t="n">
        <v>1.97</v>
      </c>
      <c r="H140" t="n">
        <v>-10</v>
      </c>
      <c r="I140" t="n">
        <v>-10.25</v>
      </c>
      <c r="J140" t="n">
        <v>-11.97</v>
      </c>
      <c r="K140" t="inlineStr">
        <is>
          <t>Yes</t>
        </is>
      </c>
      <c r="L140" t="n">
        <v>-0.25</v>
      </c>
      <c r="M140" t="inlineStr">
        <is>
          <t>Loss</t>
        </is>
      </c>
    </row>
    <row r="141">
      <c r="A141" t="inlineStr">
        <is>
          <t>open</t>
        </is>
      </c>
      <c r="B141" t="n">
        <v>2026</v>
      </c>
      <c r="C141" t="n">
        <v>6</v>
      </c>
      <c r="D141" t="inlineStr">
        <is>
          <t>Houston</t>
        </is>
      </c>
      <c r="E141" t="inlineStr">
        <is>
          <t>Kansas State</t>
        </is>
      </c>
      <c r="F141" t="inlineStr">
        <is>
          <t>Home</t>
        </is>
      </c>
      <c r="G141" t="n">
        <v>-5.59</v>
      </c>
      <c r="H141" t="n">
        <v>-2.5</v>
      </c>
      <c r="I141" t="n">
        <v>-2.5</v>
      </c>
      <c r="J141" t="n">
        <v>3.09</v>
      </c>
      <c r="K141" t="inlineStr">
        <is>
          <t>Yes</t>
        </is>
      </c>
      <c r="L141" t="n">
        <v>0</v>
      </c>
      <c r="M141" t="inlineStr">
        <is>
          <t>Loss</t>
        </is>
      </c>
    </row>
    <row r="142">
      <c r="A142" t="inlineStr">
        <is>
          <t>open</t>
        </is>
      </c>
      <c r="B142" t="n">
        <v>2026</v>
      </c>
      <c r="C142" t="n">
        <v>6</v>
      </c>
      <c r="D142" t="inlineStr">
        <is>
          <t>Iowa State</t>
        </is>
      </c>
      <c r="E142" t="inlineStr">
        <is>
          <t>BYU</t>
        </is>
      </c>
      <c r="F142" t="inlineStr">
        <is>
          <t>Away</t>
        </is>
      </c>
      <c r="G142" t="n">
        <v>-9.31</v>
      </c>
      <c r="H142" t="n">
        <v>-12.75</v>
      </c>
      <c r="I142" t="n">
        <v>-11.25</v>
      </c>
      <c r="J142" t="n">
        <v>-3.44</v>
      </c>
      <c r="K142" t="inlineStr">
        <is>
          <t>Yes</t>
        </is>
      </c>
      <c r="L142" t="n">
        <v>1.5</v>
      </c>
      <c r="M142" t="inlineStr">
        <is>
          <t>Loss</t>
        </is>
      </c>
    </row>
    <row r="143">
      <c r="A143" t="inlineStr">
        <is>
          <t>open</t>
        </is>
      </c>
      <c r="B143" t="n">
        <v>2026</v>
      </c>
      <c r="C143" t="n">
        <v>6</v>
      </c>
      <c r="D143" t="inlineStr">
        <is>
          <t>Kansas</t>
        </is>
      </c>
      <c r="E143" t="inlineStr">
        <is>
          <t>Utah</t>
        </is>
      </c>
      <c r="F143" t="inlineStr">
        <is>
          <t>Home</t>
        </is>
      </c>
      <c r="G143" t="n">
        <v>-24.07</v>
      </c>
      <c r="H143" t="n">
        <v>-15.5</v>
      </c>
      <c r="I143" t="n">
        <v>-15.75</v>
      </c>
      <c r="J143" t="n">
        <v>8.57</v>
      </c>
      <c r="K143" t="inlineStr">
        <is>
          <t>Yes</t>
        </is>
      </c>
      <c r="L143" t="n">
        <v>0.25</v>
      </c>
      <c r="M143" t="inlineStr">
        <is>
          <t>Win</t>
        </is>
      </c>
    </row>
    <row r="144">
      <c r="A144" t="inlineStr">
        <is>
          <t>open</t>
        </is>
      </c>
      <c r="B144" t="n">
        <v>2026</v>
      </c>
      <c r="C144" t="n">
        <v>6</v>
      </c>
      <c r="D144" t="inlineStr">
        <is>
          <t>Florida State</t>
        </is>
      </c>
      <c r="E144" t="inlineStr">
        <is>
          <t>Louisville</t>
        </is>
      </c>
      <c r="F144" t="inlineStr">
        <is>
          <t>Away</t>
        </is>
      </c>
      <c r="G144" t="n">
        <v>0.21</v>
      </c>
      <c r="H144" t="n">
        <v>-4.75</v>
      </c>
      <c r="I144" t="n">
        <v>-4.25</v>
      </c>
      <c r="J144" t="n">
        <v>-4.96</v>
      </c>
      <c r="K144" t="inlineStr">
        <is>
          <t>Yes</t>
        </is>
      </c>
      <c r="L144" t="n">
        <v>0.5</v>
      </c>
      <c r="M144" t="inlineStr">
        <is>
          <t>Loss</t>
        </is>
      </c>
    </row>
    <row r="145">
      <c r="A145" t="inlineStr">
        <is>
          <t>open</t>
        </is>
      </c>
      <c r="B145" t="n">
        <v>2026</v>
      </c>
      <c r="C145" t="n">
        <v>6</v>
      </c>
      <c r="D145" t="inlineStr">
        <is>
          <t>Duke</t>
        </is>
      </c>
      <c r="E145" t="inlineStr">
        <is>
          <t>Georgia Tech</t>
        </is>
      </c>
      <c r="F145" t="inlineStr">
        <is>
          <t>Away</t>
        </is>
      </c>
      <c r="G145" t="n">
        <v>7.43</v>
      </c>
      <c r="H145" t="n">
        <v>7</v>
      </c>
      <c r="I145" t="n">
        <v>4.5</v>
      </c>
      <c r="J145" t="n">
        <v>-0.43</v>
      </c>
      <c r="L145" t="n">
        <v>-2.5</v>
      </c>
      <c r="M145" t="inlineStr">
        <is>
          <t>Loss</t>
        </is>
      </c>
    </row>
    <row r="146">
      <c r="A146" t="inlineStr">
        <is>
          <t>open</t>
        </is>
      </c>
      <c r="B146" t="n">
        <v>2026</v>
      </c>
      <c r="C146" t="n">
        <v>6</v>
      </c>
      <c r="D146" t="inlineStr">
        <is>
          <t>North Carolina</t>
        </is>
      </c>
      <c r="E146" t="inlineStr">
        <is>
          <t>Pittsburgh</t>
        </is>
      </c>
      <c r="F146" t="inlineStr">
        <is>
          <t>Home</t>
        </is>
      </c>
      <c r="G146" t="n">
        <v>-6.78</v>
      </c>
      <c r="H146" t="n">
        <v>-3.75</v>
      </c>
      <c r="I146" t="n">
        <v>-3.5</v>
      </c>
      <c r="J146" t="n">
        <v>3.03</v>
      </c>
      <c r="K146" t="inlineStr">
        <is>
          <t>Yes</t>
        </is>
      </c>
      <c r="L146" t="n">
        <v>-0.25</v>
      </c>
      <c r="M146" t="inlineStr">
        <is>
          <t>Loss</t>
        </is>
      </c>
    </row>
    <row r="147">
      <c r="A147" t="inlineStr">
        <is>
          <t>open</t>
        </is>
      </c>
      <c r="B147" t="n">
        <v>2026</v>
      </c>
      <c r="C147" t="n">
        <v>6</v>
      </c>
      <c r="D147" t="inlineStr">
        <is>
          <t>Stanford</t>
        </is>
      </c>
      <c r="E147" t="inlineStr">
        <is>
          <t>Notre Dame</t>
        </is>
      </c>
      <c r="F147" t="inlineStr">
        <is>
          <t>Away</t>
        </is>
      </c>
      <c r="G147" t="n">
        <v>-29.75</v>
      </c>
      <c r="H147" t="n">
        <v>-38.25</v>
      </c>
      <c r="I147" t="n">
        <v>-40</v>
      </c>
      <c r="J147" t="n">
        <v>-8.5</v>
      </c>
      <c r="K147" t="inlineStr">
        <is>
          <t>Yes</t>
        </is>
      </c>
      <c r="L147" t="n">
        <v>-1.75</v>
      </c>
      <c r="M147" t="inlineStr">
        <is>
          <t>Loss</t>
        </is>
      </c>
    </row>
    <row r="148">
      <c r="A148" t="inlineStr">
        <is>
          <t>open</t>
        </is>
      </c>
      <c r="B148" t="n">
        <v>2026</v>
      </c>
      <c r="C148" t="n">
        <v>6</v>
      </c>
      <c r="D148" t="inlineStr">
        <is>
          <t>Syracuse</t>
        </is>
      </c>
      <c r="E148" t="inlineStr">
        <is>
          <t>Virginia</t>
        </is>
      </c>
      <c r="F148" t="inlineStr">
        <is>
          <t>Home</t>
        </is>
      </c>
      <c r="G148" t="n">
        <v>-20.51</v>
      </c>
      <c r="H148" t="n">
        <v>-9.5</v>
      </c>
      <c r="I148" t="n">
        <v>-14</v>
      </c>
      <c r="J148" t="n">
        <v>11.01</v>
      </c>
      <c r="K148" t="inlineStr">
        <is>
          <t>Yes</t>
        </is>
      </c>
      <c r="L148" t="n">
        <v>4.5</v>
      </c>
      <c r="M148" t="inlineStr">
        <is>
          <t>Loss</t>
        </is>
      </c>
    </row>
    <row r="149">
      <c r="A149" t="inlineStr">
        <is>
          <t>open</t>
        </is>
      </c>
      <c r="B149" t="n">
        <v>2026</v>
      </c>
      <c r="C149" t="n">
        <v>6</v>
      </c>
      <c r="D149" t="inlineStr">
        <is>
          <t>Virginia Tech</t>
        </is>
      </c>
      <c r="E149" t="inlineStr">
        <is>
          <t>California</t>
        </is>
      </c>
      <c r="F149" t="inlineStr">
        <is>
          <t>Home</t>
        </is>
      </c>
      <c r="G149" t="n">
        <v>5.33</v>
      </c>
      <c r="H149" t="n">
        <v>9.5</v>
      </c>
      <c r="I149" t="n">
        <v>10.75</v>
      </c>
      <c r="J149" t="n">
        <v>4.17</v>
      </c>
      <c r="K149" t="inlineStr">
        <is>
          <t>Yes</t>
        </is>
      </c>
      <c r="L149" t="n">
        <v>-1.25</v>
      </c>
      <c r="M149" t="inlineStr">
        <is>
          <t>Win</t>
        </is>
      </c>
    </row>
    <row r="150">
      <c r="A150" t="inlineStr">
        <is>
          <t>open</t>
        </is>
      </c>
      <c r="B150" t="n">
        <v>2026</v>
      </c>
      <c r="C150" t="n">
        <v>6</v>
      </c>
      <c r="D150" t="inlineStr">
        <is>
          <t>Wake Forest</t>
        </is>
      </c>
      <c r="E150" t="inlineStr">
        <is>
          <t>NC State</t>
        </is>
      </c>
      <c r="F150" t="inlineStr">
        <is>
          <t>Away</t>
        </is>
      </c>
      <c r="G150" t="n">
        <v>3.8</v>
      </c>
      <c r="H150" t="n">
        <v>3.75</v>
      </c>
      <c r="I150" t="n">
        <v>3.75</v>
      </c>
      <c r="J150" t="n">
        <v>-0.05</v>
      </c>
      <c r="L150" t="n">
        <v>0</v>
      </c>
      <c r="M150" t="inlineStr">
        <is>
          <t>Win</t>
        </is>
      </c>
    </row>
    <row r="151">
      <c r="A151" t="inlineStr">
        <is>
          <t>open</t>
        </is>
      </c>
      <c r="B151" t="n">
        <v>2026</v>
      </c>
      <c r="C151" t="n">
        <v>6</v>
      </c>
      <c r="D151" t="inlineStr">
        <is>
          <t>Illinois</t>
        </is>
      </c>
      <c r="E151" t="inlineStr">
        <is>
          <t>Michigan State</t>
        </is>
      </c>
      <c r="F151" t="inlineStr">
        <is>
          <t>Home</t>
        </is>
      </c>
      <c r="G151" t="n">
        <v>1.2</v>
      </c>
      <c r="H151" t="n">
        <v>3</v>
      </c>
      <c r="I151" t="n">
        <v>2.5</v>
      </c>
      <c r="J151" t="n">
        <v>1.8</v>
      </c>
      <c r="L151" t="n">
        <v>0.5</v>
      </c>
      <c r="M151" t="inlineStr">
        <is>
          <t>Win</t>
        </is>
      </c>
    </row>
    <row r="152">
      <c r="A152" t="inlineStr">
        <is>
          <t>open</t>
        </is>
      </c>
      <c r="B152" t="n">
        <v>2026</v>
      </c>
      <c r="C152" t="n">
        <v>6</v>
      </c>
      <c r="D152" t="inlineStr">
        <is>
          <t>Indiana</t>
        </is>
      </c>
      <c r="E152" t="inlineStr">
        <is>
          <t>Nebraska</t>
        </is>
      </c>
      <c r="F152" t="inlineStr">
        <is>
          <t>Away</t>
        </is>
      </c>
      <c r="G152" t="n">
        <v>14.62</v>
      </c>
      <c r="H152" t="n">
        <v>9</v>
      </c>
      <c r="I152" t="n">
        <v>9</v>
      </c>
      <c r="J152" t="n">
        <v>-5.62</v>
      </c>
      <c r="K152" t="inlineStr">
        <is>
          <t>Yes</t>
        </is>
      </c>
      <c r="L152" t="n">
        <v>0</v>
      </c>
      <c r="M152" t="inlineStr">
        <is>
          <t>Loss</t>
        </is>
      </c>
    </row>
    <row r="153">
      <c r="A153" t="inlineStr">
        <is>
          <t>open</t>
        </is>
      </c>
      <c r="B153" t="n">
        <v>2026</v>
      </c>
      <c r="C153" t="n">
        <v>6</v>
      </c>
      <c r="D153" t="inlineStr">
        <is>
          <t>Ball State</t>
        </is>
      </c>
      <c r="E153" t="inlineStr">
        <is>
          <t>Northwestern</t>
        </is>
      </c>
      <c r="F153" t="inlineStr">
        <is>
          <t>Away</t>
        </is>
      </c>
      <c r="G153" t="n">
        <v>-34.59</v>
      </c>
      <c r="H153" t="n">
        <v>-36.25</v>
      </c>
      <c r="I153" t="n">
        <v>-34.75</v>
      </c>
      <c r="J153" t="n">
        <v>-1.66</v>
      </c>
      <c r="L153" t="n">
        <v>1.5</v>
      </c>
      <c r="M153" t="inlineStr">
        <is>
          <t>Win</t>
        </is>
      </c>
    </row>
    <row r="154">
      <c r="A154" t="inlineStr">
        <is>
          <t>open</t>
        </is>
      </c>
      <c r="B154" t="n">
        <v>2026</v>
      </c>
      <c r="C154" t="n">
        <v>6</v>
      </c>
      <c r="D154" t="inlineStr">
        <is>
          <t>Maryland</t>
        </is>
      </c>
      <c r="E154" t="inlineStr">
        <is>
          <t>Ohio State</t>
        </is>
      </c>
      <c r="F154" t="inlineStr">
        <is>
          <t>Home</t>
        </is>
      </c>
      <c r="G154" t="n">
        <v>-35.89</v>
      </c>
      <c r="H154" t="n">
        <v>-34.75</v>
      </c>
      <c r="I154" t="n">
        <v>-31.25</v>
      </c>
      <c r="J154" t="n">
        <v>1.14</v>
      </c>
      <c r="L154" t="n">
        <v>-3.5</v>
      </c>
      <c r="M154" t="inlineStr">
        <is>
          <t>Loss</t>
        </is>
      </c>
    </row>
    <row r="155">
      <c r="A155" t="inlineStr">
        <is>
          <t>open</t>
        </is>
      </c>
      <c r="B155" t="n">
        <v>2026</v>
      </c>
      <c r="C155" t="n">
        <v>6</v>
      </c>
      <c r="D155" t="inlineStr">
        <is>
          <t>UCLA</t>
        </is>
      </c>
      <c r="E155" t="inlineStr">
        <is>
          <t>Oregon</t>
        </is>
      </c>
      <c r="F155" t="inlineStr">
        <is>
          <t>Away</t>
        </is>
      </c>
      <c r="G155" t="n">
        <v>-10.2</v>
      </c>
      <c r="H155" t="n">
        <v>-12</v>
      </c>
      <c r="I155" t="n">
        <v>-10.25</v>
      </c>
      <c r="J155" t="n">
        <v>-1.8</v>
      </c>
      <c r="L155" t="n">
        <v>1.75</v>
      </c>
      <c r="M155" t="inlineStr">
        <is>
          <t>Win</t>
        </is>
      </c>
    </row>
    <row r="156">
      <c r="A156" t="inlineStr">
        <is>
          <t>open</t>
        </is>
      </c>
      <c r="B156" t="n">
        <v>2026</v>
      </c>
      <c r="C156" t="n">
        <v>6</v>
      </c>
      <c r="D156" t="inlineStr">
        <is>
          <t>USC</t>
        </is>
      </c>
      <c r="E156" t="inlineStr">
        <is>
          <t>Penn State</t>
        </is>
      </c>
      <c r="F156" t="inlineStr">
        <is>
          <t>Home</t>
        </is>
      </c>
      <c r="G156" t="n">
        <v>-5.12</v>
      </c>
      <c r="H156" t="n">
        <v>-0.25</v>
      </c>
      <c r="I156" t="n">
        <v>0.25</v>
      </c>
      <c r="J156" t="n">
        <v>4.87</v>
      </c>
      <c r="K156" t="inlineStr">
        <is>
          <t>Yes</t>
        </is>
      </c>
      <c r="L156" t="n">
        <v>-0.5</v>
      </c>
      <c r="M156" t="inlineStr">
        <is>
          <t>Loss</t>
        </is>
      </c>
    </row>
    <row r="157">
      <c r="A157" t="inlineStr">
        <is>
          <t>open</t>
        </is>
      </c>
      <c r="B157" t="n">
        <v>2026</v>
      </c>
      <c r="C157" t="n">
        <v>6</v>
      </c>
      <c r="D157" t="inlineStr">
        <is>
          <t>Minnesota</t>
        </is>
      </c>
      <c r="E157" t="inlineStr">
        <is>
          <t>Purdue</t>
        </is>
      </c>
      <c r="F157" t="inlineStr">
        <is>
          <t>Away</t>
        </is>
      </c>
      <c r="G157" t="n">
        <v>7.92</v>
      </c>
      <c r="H157" t="n">
        <v>2.25</v>
      </c>
      <c r="I157" t="n">
        <v>2.75</v>
      </c>
      <c r="J157" t="n">
        <v>-5.67</v>
      </c>
      <c r="K157" t="inlineStr">
        <is>
          <t>Yes</t>
        </is>
      </c>
      <c r="L157" t="n">
        <v>0.5</v>
      </c>
      <c r="M157" t="inlineStr">
        <is>
          <t>Loss</t>
        </is>
      </c>
    </row>
    <row r="158">
      <c r="A158" t="inlineStr">
        <is>
          <t>open</t>
        </is>
      </c>
      <c r="B158" t="n">
        <v>2026</v>
      </c>
      <c r="C158" t="n">
        <v>6</v>
      </c>
      <c r="D158" t="inlineStr">
        <is>
          <t>Iowa</t>
        </is>
      </c>
      <c r="E158" t="inlineStr">
        <is>
          <t>Washington</t>
        </is>
      </c>
      <c r="F158" t="inlineStr">
        <is>
          <t>Home</t>
        </is>
      </c>
      <c r="G158" t="n">
        <v>-1.12</v>
      </c>
      <c r="H158" t="n">
        <v>-2</v>
      </c>
      <c r="I158" t="n">
        <v>-3</v>
      </c>
      <c r="J158" t="n">
        <v>-0.88</v>
      </c>
      <c r="L158" t="n">
        <v>1</v>
      </c>
      <c r="M158" t="inlineStr">
        <is>
          <t>Loss</t>
        </is>
      </c>
    </row>
    <row r="159">
      <c r="A159" t="inlineStr">
        <is>
          <t>open</t>
        </is>
      </c>
      <c r="B159" t="n">
        <v>2026</v>
      </c>
      <c r="C159" t="n">
        <v>6</v>
      </c>
      <c r="D159" t="inlineStr">
        <is>
          <t>Boise State</t>
        </is>
      </c>
      <c r="E159" t="inlineStr">
        <is>
          <t>Fresno State</t>
        </is>
      </c>
      <c r="F159" t="inlineStr">
        <is>
          <t>Away</t>
        </is>
      </c>
      <c r="G159" t="n">
        <v>6.79</v>
      </c>
      <c r="H159" t="n">
        <v>6.5</v>
      </c>
      <c r="I159" t="n">
        <v>9</v>
      </c>
      <c r="J159" t="n">
        <v>-0.29</v>
      </c>
      <c r="L159" t="n">
        <v>2.5</v>
      </c>
      <c r="M159" t="inlineStr">
        <is>
          <t>Win</t>
        </is>
      </c>
    </row>
    <row r="160">
      <c r="A160" t="inlineStr">
        <is>
          <t>open</t>
        </is>
      </c>
      <c r="B160" t="n">
        <v>2026</v>
      </c>
      <c r="C160" t="n">
        <v>6</v>
      </c>
      <c r="D160" t="inlineStr">
        <is>
          <t>San Diego State</t>
        </is>
      </c>
      <c r="E160" t="inlineStr">
        <is>
          <t>Oregon State</t>
        </is>
      </c>
      <c r="F160" t="inlineStr">
        <is>
          <t>Away</t>
        </is>
      </c>
      <c r="G160" t="n">
        <v>-6.67</v>
      </c>
      <c r="H160" t="n">
        <v>-14.25</v>
      </c>
      <c r="I160" t="n">
        <v>-14.5</v>
      </c>
      <c r="J160" t="n">
        <v>-7.58</v>
      </c>
      <c r="K160" t="inlineStr">
        <is>
          <t>Yes</t>
        </is>
      </c>
      <c r="L160" t="n">
        <v>-0.25</v>
      </c>
      <c r="M160" t="inlineStr">
        <is>
          <t>Loss</t>
        </is>
      </c>
    </row>
    <row r="161">
      <c r="A161" t="inlineStr">
        <is>
          <t>open</t>
        </is>
      </c>
      <c r="B161" t="n">
        <v>2026</v>
      </c>
      <c r="C161" t="n">
        <v>6</v>
      </c>
      <c r="D161" t="inlineStr">
        <is>
          <t>Washington State</t>
        </is>
      </c>
      <c r="E161" t="inlineStr">
        <is>
          <t>Utah State</t>
        </is>
      </c>
      <c r="F161" t="inlineStr">
        <is>
          <t>Away</t>
        </is>
      </c>
      <c r="G161" t="n">
        <v>-1.48</v>
      </c>
      <c r="H161" t="n">
        <v>-4.75</v>
      </c>
      <c r="I161" t="n">
        <v>-4</v>
      </c>
      <c r="J161" t="n">
        <v>-3.27</v>
      </c>
      <c r="K161" t="inlineStr">
        <is>
          <t>Yes</t>
        </is>
      </c>
      <c r="L161" t="n">
        <v>0.75</v>
      </c>
      <c r="M161" t="inlineStr">
        <is>
          <t>Win</t>
        </is>
      </c>
    </row>
    <row r="162">
      <c r="A162" t="inlineStr">
        <is>
          <t>open</t>
        </is>
      </c>
      <c r="B162" t="n">
        <v>2026</v>
      </c>
      <c r="C162" t="n">
        <v>6</v>
      </c>
      <c r="D162" t="inlineStr">
        <is>
          <t>UConn</t>
        </is>
      </c>
      <c r="E162" t="inlineStr">
        <is>
          <t>Temple</t>
        </is>
      </c>
      <c r="F162" t="inlineStr">
        <is>
          <t>Home</t>
        </is>
      </c>
      <c r="G162" t="n">
        <v>-8.800000000000001</v>
      </c>
      <c r="H162" t="n">
        <v>-3.75</v>
      </c>
      <c r="I162" t="n">
        <v>-3.75</v>
      </c>
      <c r="J162" t="n">
        <v>5.05</v>
      </c>
      <c r="K162" t="inlineStr">
        <is>
          <t>Yes</t>
        </is>
      </c>
      <c r="L162" t="n">
        <v>0</v>
      </c>
      <c r="M162" t="inlineStr">
        <is>
          <t>Loss</t>
        </is>
      </c>
    </row>
    <row r="163">
      <c r="A163" t="inlineStr">
        <is>
          <t>open</t>
        </is>
      </c>
      <c r="B163" t="n">
        <v>2026</v>
      </c>
      <c r="C163" t="n">
        <v>6</v>
      </c>
      <c r="D163" t="inlineStr">
        <is>
          <t>South Florida</t>
        </is>
      </c>
      <c r="E163" t="inlineStr">
        <is>
          <t>UTSA</t>
        </is>
      </c>
      <c r="F163" t="inlineStr">
        <is>
          <t>Away</t>
        </is>
      </c>
      <c r="G163" t="n">
        <v>-3.05</v>
      </c>
      <c r="H163" t="n">
        <v>-6.75</v>
      </c>
      <c r="I163" t="n">
        <v>-5.5</v>
      </c>
      <c r="J163" t="n">
        <v>-3.7</v>
      </c>
      <c r="K163" t="inlineStr">
        <is>
          <t>Yes</t>
        </is>
      </c>
      <c r="L163" t="n">
        <v>1.25</v>
      </c>
      <c r="M163" t="inlineStr">
        <is>
          <t>Loss</t>
        </is>
      </c>
    </row>
    <row r="164">
      <c r="A164" t="inlineStr">
        <is>
          <t>open</t>
        </is>
      </c>
      <c r="B164" t="n">
        <v>2026</v>
      </c>
      <c r="C164" t="n">
        <v>6</v>
      </c>
      <c r="D164" t="inlineStr">
        <is>
          <t>Tulane</t>
        </is>
      </c>
      <c r="E164" t="inlineStr">
        <is>
          <t>Army</t>
        </is>
      </c>
      <c r="F164" t="inlineStr">
        <is>
          <t>Home</t>
        </is>
      </c>
      <c r="G164" t="n">
        <v>-4.02</v>
      </c>
      <c r="H164" t="n">
        <v>-3</v>
      </c>
      <c r="I164" t="n">
        <v>-5.5</v>
      </c>
      <c r="J164" t="n">
        <v>1.02</v>
      </c>
      <c r="L164" t="n">
        <v>2.5</v>
      </c>
      <c r="M164" t="inlineStr">
        <is>
          <t>Push</t>
        </is>
      </c>
    </row>
    <row r="165">
      <c r="A165" t="inlineStr">
        <is>
          <t>open</t>
        </is>
      </c>
      <c r="B165" t="n">
        <v>2026</v>
      </c>
      <c r="C165" t="n">
        <v>6</v>
      </c>
      <c r="D165" t="inlineStr">
        <is>
          <t>Charlotte</t>
        </is>
      </c>
      <c r="E165" t="inlineStr">
        <is>
          <t>North Texas</t>
        </is>
      </c>
      <c r="F165" t="inlineStr">
        <is>
          <t>Away</t>
        </is>
      </c>
      <c r="G165" t="n">
        <v>-24.67</v>
      </c>
      <c r="H165" t="n">
        <v>-27.75</v>
      </c>
      <c r="I165" t="n">
        <v>-27.75</v>
      </c>
      <c r="J165" t="n">
        <v>-3.08</v>
      </c>
      <c r="K165" t="inlineStr">
        <is>
          <t>Yes</t>
        </is>
      </c>
      <c r="L165" t="n">
        <v>0</v>
      </c>
      <c r="M165" t="inlineStr">
        <is>
          <t>Loss</t>
        </is>
      </c>
    </row>
    <row r="166">
      <c r="A166" t="inlineStr">
        <is>
          <t>open</t>
        </is>
      </c>
      <c r="B166" t="n">
        <v>2026</v>
      </c>
      <c r="C166" t="n">
        <v>6</v>
      </c>
      <c r="D166" t="inlineStr">
        <is>
          <t>Rice</t>
        </is>
      </c>
      <c r="E166" t="inlineStr">
        <is>
          <t>East Carolina</t>
        </is>
      </c>
      <c r="F166" t="inlineStr">
        <is>
          <t>Home</t>
        </is>
      </c>
      <c r="G166" t="n">
        <v>-16.58</v>
      </c>
      <c r="H166" t="n">
        <v>-10</v>
      </c>
      <c r="I166" t="n">
        <v>-10</v>
      </c>
      <c r="J166" t="n">
        <v>6.58</v>
      </c>
      <c r="K166" t="inlineStr">
        <is>
          <t>Yes</t>
        </is>
      </c>
      <c r="L166" t="n">
        <v>0</v>
      </c>
      <c r="M166" t="inlineStr">
        <is>
          <t>Win</t>
        </is>
      </c>
    </row>
    <row r="167">
      <c r="A167" t="inlineStr">
        <is>
          <t>open</t>
        </is>
      </c>
      <c r="B167" t="n">
        <v>2026</v>
      </c>
      <c r="C167" t="n">
        <v>6</v>
      </c>
      <c r="D167" t="inlineStr">
        <is>
          <t>UAB</t>
        </is>
      </c>
      <c r="E167" t="inlineStr">
        <is>
          <t>Memphis</t>
        </is>
      </c>
      <c r="F167" t="inlineStr">
        <is>
          <t>Home</t>
        </is>
      </c>
      <c r="G167" t="n">
        <v>-14.83</v>
      </c>
      <c r="H167" t="n">
        <v>-14.25</v>
      </c>
      <c r="I167" t="n">
        <v>-15.25</v>
      </c>
      <c r="J167" t="n">
        <v>0.58</v>
      </c>
      <c r="L167" t="n">
        <v>1</v>
      </c>
      <c r="M167" t="inlineStr">
        <is>
          <t>Win</t>
        </is>
      </c>
    </row>
    <row r="168">
      <c r="A168" t="inlineStr">
        <is>
          <t>open</t>
        </is>
      </c>
      <c r="B168" t="n">
        <v>2026</v>
      </c>
      <c r="C168" t="n">
        <v>6</v>
      </c>
      <c r="D168" t="inlineStr">
        <is>
          <t>Tulsa</t>
        </is>
      </c>
      <c r="E168" t="inlineStr">
        <is>
          <t>Navy</t>
        </is>
      </c>
      <c r="F168" t="inlineStr">
        <is>
          <t>Home</t>
        </is>
      </c>
      <c r="G168" t="n">
        <v>-14.57</v>
      </c>
      <c r="H168" t="n">
        <v>-2.5</v>
      </c>
      <c r="I168" t="n">
        <v>-3</v>
      </c>
      <c r="J168" t="n">
        <v>12.07</v>
      </c>
      <c r="K168" t="inlineStr">
        <is>
          <t>Yes</t>
        </is>
      </c>
      <c r="L168" t="n">
        <v>0.5</v>
      </c>
      <c r="M168" t="inlineStr">
        <is>
          <t>Win</t>
        </is>
      </c>
    </row>
    <row r="169">
      <c r="A169" t="inlineStr">
        <is>
          <t>open</t>
        </is>
      </c>
      <c r="B169" t="n">
        <v>2026</v>
      </c>
      <c r="C169" t="n">
        <v>6</v>
      </c>
      <c r="D169" t="inlineStr">
        <is>
          <t>Air Force</t>
        </is>
      </c>
      <c r="E169" t="inlineStr">
        <is>
          <t>Northern Illinois</t>
        </is>
      </c>
      <c r="F169" t="inlineStr">
        <is>
          <t>Away</t>
        </is>
      </c>
      <c r="G169" t="n">
        <v>9.289999999999999</v>
      </c>
      <c r="H169" t="n">
        <v>9.5</v>
      </c>
      <c r="I169" t="n">
        <v>7</v>
      </c>
      <c r="J169" t="n">
        <v>0.21</v>
      </c>
      <c r="L169" t="n">
        <v>-2.5</v>
      </c>
      <c r="M169" t="inlineStr">
        <is>
          <t>Win</t>
        </is>
      </c>
    </row>
    <row r="170">
      <c r="A170" t="inlineStr">
        <is>
          <t>open</t>
        </is>
      </c>
      <c r="B170" t="n">
        <v>2026</v>
      </c>
      <c r="C170" t="n">
        <v>6</v>
      </c>
      <c r="D170" t="inlineStr">
        <is>
          <t>Nevada</t>
        </is>
      </c>
      <c r="E170" t="inlineStr">
        <is>
          <t>UTEP</t>
        </is>
      </c>
      <c r="F170" t="inlineStr">
        <is>
          <t>Home</t>
        </is>
      </c>
      <c r="G170" t="n">
        <v>7.28</v>
      </c>
      <c r="H170" t="n">
        <v>9.25</v>
      </c>
      <c r="I170" t="n">
        <v>10</v>
      </c>
      <c r="J170" t="n">
        <v>1.97</v>
      </c>
      <c r="L170" t="n">
        <v>-0.75</v>
      </c>
      <c r="M170" t="inlineStr">
        <is>
          <t>Loss</t>
        </is>
      </c>
    </row>
    <row r="171">
      <c r="A171" t="inlineStr">
        <is>
          <t>open</t>
        </is>
      </c>
      <c r="B171" t="n">
        <v>2026</v>
      </c>
      <c r="C171" t="n">
        <v>6</v>
      </c>
      <c r="D171" t="inlineStr">
        <is>
          <t>North Dakota State</t>
        </is>
      </c>
      <c r="E171" t="inlineStr">
        <is>
          <t>UNLV</t>
        </is>
      </c>
      <c r="F171" t="inlineStr">
        <is>
          <t>Away</t>
        </is>
      </c>
      <c r="G171" t="n">
        <v>12.12</v>
      </c>
      <c r="H171" t="n">
        <v>3</v>
      </c>
      <c r="I171" t="n">
        <v>2.75</v>
      </c>
      <c r="J171" t="n">
        <v>-9.119999999999999</v>
      </c>
      <c r="K171" t="inlineStr">
        <is>
          <t>Yes</t>
        </is>
      </c>
      <c r="L171" t="n">
        <v>-0.25</v>
      </c>
      <c r="M171" t="inlineStr">
        <is>
          <t>Loss</t>
        </is>
      </c>
    </row>
    <row r="172">
      <c r="A172" t="inlineStr">
        <is>
          <t>open</t>
        </is>
      </c>
      <c r="B172" t="n">
        <v>2026</v>
      </c>
      <c r="C172" t="n">
        <v>6</v>
      </c>
      <c r="D172" t="inlineStr">
        <is>
          <t>Wyoming</t>
        </is>
      </c>
      <c r="E172" t="inlineStr">
        <is>
          <t>San José State</t>
        </is>
      </c>
      <c r="F172" t="inlineStr">
        <is>
          <t>Away</t>
        </is>
      </c>
      <c r="G172" t="n">
        <v>-5</v>
      </c>
      <c r="H172" t="n">
        <v>-6.25</v>
      </c>
      <c r="I172" t="n">
        <v>-4.25</v>
      </c>
      <c r="J172" t="n">
        <v>-1.25</v>
      </c>
      <c r="L172" t="n">
        <v>2</v>
      </c>
      <c r="M172" t="inlineStr">
        <is>
          <t>Win</t>
        </is>
      </c>
    </row>
    <row r="173">
      <c r="A173" t="inlineStr">
        <is>
          <t>open</t>
        </is>
      </c>
      <c r="B173" t="n">
        <v>2026</v>
      </c>
      <c r="C173" t="n">
        <v>6</v>
      </c>
      <c r="D173" t="inlineStr">
        <is>
          <t>Eastern Michigan</t>
        </is>
      </c>
      <c r="E173" t="inlineStr">
        <is>
          <t>Akron</t>
        </is>
      </c>
      <c r="F173" t="inlineStr">
        <is>
          <t>Home</t>
        </is>
      </c>
      <c r="G173" t="n">
        <v>2.11</v>
      </c>
      <c r="H173" t="n">
        <v>6.5</v>
      </c>
      <c r="I173" t="n">
        <v>5</v>
      </c>
      <c r="J173" t="n">
        <v>4.39</v>
      </c>
      <c r="K173" t="inlineStr">
        <is>
          <t>Yes</t>
        </is>
      </c>
      <c r="L173" t="n">
        <v>1.5</v>
      </c>
      <c r="M173" t="inlineStr">
        <is>
          <t>Win</t>
        </is>
      </c>
    </row>
    <row r="174">
      <c r="A174" t="inlineStr">
        <is>
          <t>open</t>
        </is>
      </c>
      <c r="B174" t="n">
        <v>2026</v>
      </c>
      <c r="C174" t="n">
        <v>6</v>
      </c>
      <c r="D174" t="inlineStr">
        <is>
          <t>Sacramento State</t>
        </is>
      </c>
      <c r="E174" t="inlineStr">
        <is>
          <t>Bowling Green</t>
        </is>
      </c>
      <c r="F174" t="inlineStr">
        <is>
          <t>Home</t>
        </is>
      </c>
      <c r="G174" t="n">
        <v>-14.64</v>
      </c>
      <c r="H174" t="n">
        <v>-7.25</v>
      </c>
      <c r="I174" t="n">
        <v>-9.5</v>
      </c>
      <c r="J174" t="n">
        <v>7.39</v>
      </c>
      <c r="K174" t="inlineStr">
        <is>
          <t>Yes</t>
        </is>
      </c>
      <c r="L174" t="n">
        <v>2.25</v>
      </c>
      <c r="M174" t="inlineStr">
        <is>
          <t>Win</t>
        </is>
      </c>
    </row>
    <row r="175">
      <c r="A175" t="inlineStr">
        <is>
          <t>open</t>
        </is>
      </c>
      <c r="B175" t="n">
        <v>2026</v>
      </c>
      <c r="C175" t="n">
        <v>6</v>
      </c>
      <c r="D175" t="inlineStr">
        <is>
          <t>Buffalo</t>
        </is>
      </c>
      <c r="E175" t="inlineStr">
        <is>
          <t>Toledo</t>
        </is>
      </c>
      <c r="F175" t="inlineStr">
        <is>
          <t>Away</t>
        </is>
      </c>
      <c r="G175" t="n">
        <v>-16.17</v>
      </c>
      <c r="H175" t="n">
        <v>-20</v>
      </c>
      <c r="I175" t="n">
        <v>-18.75</v>
      </c>
      <c r="J175" t="n">
        <v>-3.83</v>
      </c>
      <c r="K175" t="inlineStr">
        <is>
          <t>Yes</t>
        </is>
      </c>
      <c r="L175" t="n">
        <v>1.25</v>
      </c>
      <c r="M175" t="inlineStr">
        <is>
          <t>Win</t>
        </is>
      </c>
    </row>
    <row r="176">
      <c r="A176" t="inlineStr">
        <is>
          <t>open</t>
        </is>
      </c>
      <c r="B176" t="n">
        <v>2026</v>
      </c>
      <c r="C176" t="n">
        <v>6</v>
      </c>
      <c r="D176" t="inlineStr">
        <is>
          <t>Central Michigan</t>
        </is>
      </c>
      <c r="E176" t="inlineStr">
        <is>
          <t>Ohio</t>
        </is>
      </c>
      <c r="F176" t="inlineStr">
        <is>
          <t>Home</t>
        </is>
      </c>
      <c r="G176" t="n">
        <v>-3.12</v>
      </c>
      <c r="H176" t="n">
        <v>-3.25</v>
      </c>
      <c r="I176" t="n">
        <v>-2.5</v>
      </c>
      <c r="J176" t="n">
        <v>-0.13</v>
      </c>
      <c r="L176" t="n">
        <v>-0.75</v>
      </c>
      <c r="M176" t="inlineStr">
        <is>
          <t>Win</t>
        </is>
      </c>
    </row>
    <row r="177">
      <c r="A177" t="inlineStr">
        <is>
          <t>open</t>
        </is>
      </c>
      <c r="B177" t="n">
        <v>2026</v>
      </c>
      <c r="C177" t="n">
        <v>6</v>
      </c>
      <c r="D177" t="inlineStr">
        <is>
          <t>Kent State</t>
        </is>
      </c>
      <c r="E177" t="inlineStr">
        <is>
          <t>Western Michigan</t>
        </is>
      </c>
      <c r="F177" t="inlineStr">
        <is>
          <t>Home</t>
        </is>
      </c>
      <c r="G177" t="n">
        <v>-16.89</v>
      </c>
      <c r="H177" t="n">
        <v>-13.75</v>
      </c>
      <c r="I177" t="n">
        <v>-13.75</v>
      </c>
      <c r="J177" t="n">
        <v>3.14</v>
      </c>
      <c r="K177" t="inlineStr">
        <is>
          <t>Yes</t>
        </is>
      </c>
      <c r="L177" t="n">
        <v>0</v>
      </c>
      <c r="M177" t="inlineStr">
        <is>
          <t>Win</t>
        </is>
      </c>
    </row>
    <row r="178">
      <c r="A178" t="inlineStr">
        <is>
          <t>open</t>
        </is>
      </c>
      <c r="B178" t="n">
        <v>2026</v>
      </c>
      <c r="C178" t="n">
        <v>6</v>
      </c>
      <c r="D178" t="inlineStr">
        <is>
          <t>Miami (OH)</t>
        </is>
      </c>
      <c r="E178" t="inlineStr">
        <is>
          <t>Massachusetts</t>
        </is>
      </c>
      <c r="F178" t="inlineStr">
        <is>
          <t>Away</t>
        </is>
      </c>
      <c r="G178" t="n">
        <v>4.95</v>
      </c>
      <c r="H178" t="n">
        <v>2.5</v>
      </c>
      <c r="I178" t="n">
        <v>6</v>
      </c>
      <c r="J178" t="n">
        <v>-2.45</v>
      </c>
      <c r="K178" t="inlineStr">
        <is>
          <t>Yes</t>
        </is>
      </c>
      <c r="L178" t="n">
        <v>3.5</v>
      </c>
      <c r="M178" t="inlineStr">
        <is>
          <t>Loss</t>
        </is>
      </c>
    </row>
    <row r="179">
      <c r="A179" t="inlineStr">
        <is>
          <t>open</t>
        </is>
      </c>
      <c r="B179" t="n">
        <v>2026</v>
      </c>
      <c r="C179" t="n">
        <v>6</v>
      </c>
      <c r="D179" t="inlineStr">
        <is>
          <t>Old Dominion</t>
        </is>
      </c>
      <c r="E179" t="inlineStr">
        <is>
          <t>App State</t>
        </is>
      </c>
      <c r="F179" t="inlineStr">
        <is>
          <t>Away</t>
        </is>
      </c>
      <c r="G179" t="n">
        <v>6.82</v>
      </c>
      <c r="H179" t="n">
        <v>-9.75</v>
      </c>
      <c r="I179" t="n">
        <v>-9</v>
      </c>
      <c r="J179" t="n">
        <v>-16.57</v>
      </c>
      <c r="K179" t="inlineStr">
        <is>
          <t>Yes</t>
        </is>
      </c>
      <c r="L179" t="n">
        <v>0.75</v>
      </c>
      <c r="M179" t="inlineStr">
        <is>
          <t>Win</t>
        </is>
      </c>
    </row>
    <row r="180">
      <c r="A180" t="inlineStr">
        <is>
          <t>open</t>
        </is>
      </c>
      <c r="B180" t="n">
        <v>2026</v>
      </c>
      <c r="C180" t="n">
        <v>6</v>
      </c>
      <c r="D180" t="inlineStr">
        <is>
          <t>South Alabama</t>
        </is>
      </c>
      <c r="E180" t="inlineStr">
        <is>
          <t>Arkansas State</t>
        </is>
      </c>
      <c r="F180" t="inlineStr">
        <is>
          <t>Home</t>
        </is>
      </c>
      <c r="G180" t="n">
        <v>-4.28</v>
      </c>
      <c r="H180" t="n">
        <v>-1.25</v>
      </c>
      <c r="I180" t="n">
        <v>-3</v>
      </c>
      <c r="J180" t="n">
        <v>3.03</v>
      </c>
      <c r="K180" t="inlineStr">
        <is>
          <t>Yes</t>
        </is>
      </c>
      <c r="L180" t="n">
        <v>1.75</v>
      </c>
      <c r="M180" t="inlineStr">
        <is>
          <t>Loss</t>
        </is>
      </c>
    </row>
    <row r="181">
      <c r="A181" t="inlineStr">
        <is>
          <t>open</t>
        </is>
      </c>
      <c r="B181" t="n">
        <v>2026</v>
      </c>
      <c r="C181" t="n">
        <v>6</v>
      </c>
      <c r="D181" t="inlineStr">
        <is>
          <t>Coastal Carolina</t>
        </is>
      </c>
      <c r="E181" t="inlineStr">
        <is>
          <t>Marshall</t>
        </is>
      </c>
      <c r="F181" t="inlineStr">
        <is>
          <t>Home</t>
        </is>
      </c>
      <c r="G181" t="n">
        <v>-4.03</v>
      </c>
      <c r="H181" t="n">
        <v>-3</v>
      </c>
      <c r="I181" t="n">
        <v>-4.5</v>
      </c>
      <c r="J181" t="n">
        <v>1.03</v>
      </c>
      <c r="L181" t="n">
        <v>1.5</v>
      </c>
      <c r="M181" t="inlineStr">
        <is>
          <t>Loss</t>
        </is>
      </c>
    </row>
    <row r="182">
      <c r="A182" t="inlineStr">
        <is>
          <t>open</t>
        </is>
      </c>
      <c r="B182" t="n">
        <v>2026</v>
      </c>
      <c r="C182" t="n">
        <v>6</v>
      </c>
      <c r="D182" t="inlineStr">
        <is>
          <t>James Madison</t>
        </is>
      </c>
      <c r="E182" t="inlineStr">
        <is>
          <t>Georgia Southern</t>
        </is>
      </c>
      <c r="F182" t="inlineStr">
        <is>
          <t>Away</t>
        </is>
      </c>
      <c r="G182" t="n">
        <v>13.91</v>
      </c>
      <c r="H182" t="n">
        <v>8.5</v>
      </c>
      <c r="I182" t="n">
        <v>7</v>
      </c>
      <c r="J182" t="n">
        <v>-5.41</v>
      </c>
      <c r="K182" t="inlineStr">
        <is>
          <t>Yes</t>
        </is>
      </c>
      <c r="L182" t="n">
        <v>-1.5</v>
      </c>
      <c r="M182" t="inlineStr">
        <is>
          <t>Loss</t>
        </is>
      </c>
    </row>
    <row r="183">
      <c r="A183" t="inlineStr">
        <is>
          <t>open</t>
        </is>
      </c>
      <c r="B183" t="n">
        <v>2026</v>
      </c>
      <c r="C183" t="n">
        <v>6</v>
      </c>
      <c r="D183" t="inlineStr">
        <is>
          <t>Louisiana</t>
        </is>
      </c>
      <c r="E183" t="inlineStr">
        <is>
          <t>Louisiana Tech</t>
        </is>
      </c>
      <c r="F183" t="inlineStr">
        <is>
          <t>Away</t>
        </is>
      </c>
      <c r="G183" t="n">
        <v>2.87</v>
      </c>
      <c r="H183" t="n">
        <v>-2.75</v>
      </c>
      <c r="I183" t="n">
        <v>-3</v>
      </c>
      <c r="J183" t="n">
        <v>-5.62</v>
      </c>
      <c r="K183" t="inlineStr">
        <is>
          <t>Yes</t>
        </is>
      </c>
      <c r="L183" t="n">
        <v>-0.25</v>
      </c>
      <c r="M183" t="inlineStr">
        <is>
          <t>Win</t>
        </is>
      </c>
    </row>
    <row r="184">
      <c r="A184" t="inlineStr">
        <is>
          <t>open</t>
        </is>
      </c>
      <c r="B184" t="n">
        <v>2026</v>
      </c>
      <c r="C184" t="n">
        <v>6</v>
      </c>
      <c r="D184" t="inlineStr">
        <is>
          <t>Sam Houston</t>
        </is>
      </c>
      <c r="E184" t="inlineStr">
        <is>
          <t>Liberty</t>
        </is>
      </c>
      <c r="F184" t="inlineStr">
        <is>
          <t>Home</t>
        </is>
      </c>
      <c r="G184" t="n">
        <v>-18.03</v>
      </c>
      <c r="H184" t="n">
        <v>-13.75</v>
      </c>
      <c r="I184" t="n">
        <v>-13.5</v>
      </c>
      <c r="J184" t="n">
        <v>4.28</v>
      </c>
      <c r="K184" t="inlineStr">
        <is>
          <t>Yes</t>
        </is>
      </c>
      <c r="L184" t="n">
        <v>-0.25</v>
      </c>
      <c r="M184" t="inlineStr">
        <is>
          <t>Win</t>
        </is>
      </c>
    </row>
    <row r="185">
      <c r="A185" t="inlineStr">
        <is>
          <t>open</t>
        </is>
      </c>
      <c r="B185" t="n">
        <v>2026</v>
      </c>
      <c r="C185" t="n">
        <v>6</v>
      </c>
      <c r="D185" t="inlineStr">
        <is>
          <t>Jacksonville State</t>
        </is>
      </c>
      <c r="E185" t="inlineStr">
        <is>
          <t>Kennesaw State</t>
        </is>
      </c>
      <c r="F185" t="inlineStr">
        <is>
          <t>Away</t>
        </is>
      </c>
      <c r="G185" t="n">
        <v>2.16</v>
      </c>
      <c r="H185" t="n">
        <v>2.75</v>
      </c>
      <c r="I185" t="n">
        <v>3</v>
      </c>
      <c r="J185" t="n">
        <v>0.59</v>
      </c>
      <c r="L185" t="n">
        <v>0.25</v>
      </c>
      <c r="M185" t="inlineStr">
        <is>
          <t>Loss</t>
        </is>
      </c>
    </row>
    <row r="186">
      <c r="A186" t="inlineStr">
        <is>
          <t>open</t>
        </is>
      </c>
      <c r="B186" t="n">
        <v>2026</v>
      </c>
      <c r="C186" t="n">
        <v>6</v>
      </c>
      <c r="D186" t="inlineStr">
        <is>
          <t>Missouri State</t>
        </is>
      </c>
      <c r="E186" t="inlineStr">
        <is>
          <t>Western Kentucky</t>
        </is>
      </c>
      <c r="F186" t="inlineStr">
        <is>
          <t>Home</t>
        </is>
      </c>
      <c r="G186" t="n">
        <v>-5.35</v>
      </c>
      <c r="H186" t="n">
        <v>-2.5</v>
      </c>
      <c r="I186" t="n">
        <v>1.75</v>
      </c>
      <c r="J186" t="n">
        <v>2.85</v>
      </c>
      <c r="K186" t="inlineStr">
        <is>
          <t>Yes</t>
        </is>
      </c>
      <c r="L186" t="n">
        <v>-4.25</v>
      </c>
      <c r="M186" t="inlineStr">
        <is>
          <t>Win</t>
        </is>
      </c>
    </row>
    <row r="187">
      <c r="A187" t="inlineStr">
        <is>
          <t>open</t>
        </is>
      </c>
      <c r="B187" t="n">
        <v>2026</v>
      </c>
      <c r="C187" t="n">
        <v>6</v>
      </c>
      <c r="D187" t="inlineStr">
        <is>
          <t>New Mexico State</t>
        </is>
      </c>
      <c r="E187" t="inlineStr">
        <is>
          <t>Florida International</t>
        </is>
      </c>
      <c r="F187" t="inlineStr">
        <is>
          <t>Home</t>
        </is>
      </c>
      <c r="G187" t="n">
        <v>-7.25</v>
      </c>
      <c r="H187" t="n">
        <v>-4.25</v>
      </c>
      <c r="I187" t="n">
        <v>-7</v>
      </c>
      <c r="J187" t="n">
        <v>3</v>
      </c>
      <c r="K187" t="inlineStr">
        <is>
          <t>Yes</t>
        </is>
      </c>
      <c r="L187" t="n">
        <v>2.75</v>
      </c>
      <c r="M187" t="inlineStr">
        <is>
          <t>Win</t>
        </is>
      </c>
    </row>
    <row r="188">
      <c r="A188" t="inlineStr">
        <is>
          <t>open</t>
        </is>
      </c>
      <c r="B188" t="n">
        <v>2026</v>
      </c>
      <c r="C188" t="n">
        <v>6</v>
      </c>
      <c r="D188" t="inlineStr">
        <is>
          <t>Southern Miss</t>
        </is>
      </c>
      <c r="E188" t="inlineStr">
        <is>
          <t>Troy</t>
        </is>
      </c>
      <c r="F188" t="inlineStr">
        <is>
          <t>Away</t>
        </is>
      </c>
      <c r="G188" t="n">
        <v>-5.7</v>
      </c>
      <c r="H188" t="n">
        <v>-9.5</v>
      </c>
      <c r="I188" t="n">
        <v>-9.5</v>
      </c>
      <c r="J188" t="n">
        <v>-3.8</v>
      </c>
      <c r="K188" t="inlineStr">
        <is>
          <t>Yes</t>
        </is>
      </c>
      <c r="L188" t="n">
        <v>0</v>
      </c>
      <c r="M188" t="inlineStr">
        <is>
          <t>Loss</t>
        </is>
      </c>
    </row>
    <row r="189">
      <c r="A189" t="inlineStr">
        <is>
          <t>open</t>
        </is>
      </c>
      <c r="B189" t="n">
        <v>2026</v>
      </c>
      <c r="C189" t="n">
        <v>5</v>
      </c>
      <c r="D189" t="inlineStr">
        <is>
          <t>Vanderbilt</t>
        </is>
      </c>
      <c r="E189" t="inlineStr">
        <is>
          <t>Georgia</t>
        </is>
      </c>
      <c r="F189" t="inlineStr">
        <is>
          <t>Away</t>
        </is>
      </c>
      <c r="G189" t="n">
        <v>-19.6</v>
      </c>
      <c r="H189" t="n">
        <v>-24.25</v>
      </c>
      <c r="I189" t="n">
        <v>-25.5</v>
      </c>
      <c r="J189" t="n">
        <v>-4.65</v>
      </c>
      <c r="K189" t="inlineStr">
        <is>
          <t>Yes</t>
        </is>
      </c>
      <c r="L189" t="n">
        <v>-1.25</v>
      </c>
      <c r="M189" t="inlineStr">
        <is>
          <t>Win</t>
        </is>
      </c>
    </row>
    <row r="190">
      <c r="A190" t="inlineStr">
        <is>
          <t>open</t>
        </is>
      </c>
      <c r="B190" t="n">
        <v>2026</v>
      </c>
      <c r="C190" t="n">
        <v>5</v>
      </c>
      <c r="D190" t="inlineStr">
        <is>
          <t>Alabama</t>
        </is>
      </c>
      <c r="E190" t="inlineStr">
        <is>
          <t>Mississippi State</t>
        </is>
      </c>
      <c r="F190" t="inlineStr">
        <is>
          <t>Away</t>
        </is>
      </c>
      <c r="G190" t="n">
        <v>8.279999999999999</v>
      </c>
      <c r="H190" t="n">
        <v>4.5</v>
      </c>
      <c r="I190" t="n">
        <v>5.5</v>
      </c>
      <c r="J190" t="n">
        <v>-3.78</v>
      </c>
      <c r="K190" t="inlineStr">
        <is>
          <t>Yes</t>
        </is>
      </c>
      <c r="L190" t="n">
        <v>1</v>
      </c>
      <c r="M190" t="inlineStr">
        <is>
          <t>Win</t>
        </is>
      </c>
    </row>
    <row r="191">
      <c r="A191" t="inlineStr">
        <is>
          <t>open</t>
        </is>
      </c>
      <c r="B191" t="n">
        <v>2026</v>
      </c>
      <c r="C191" t="n">
        <v>5</v>
      </c>
      <c r="D191" t="inlineStr">
        <is>
          <t>Florida</t>
        </is>
      </c>
      <c r="E191" t="inlineStr">
        <is>
          <t>Missouri</t>
        </is>
      </c>
      <c r="F191" t="inlineStr">
        <is>
          <t>Home</t>
        </is>
      </c>
      <c r="G191" t="n">
        <v>0.57</v>
      </c>
      <c r="H191" t="n">
        <v>3.25</v>
      </c>
      <c r="I191" t="n">
        <v>5.5</v>
      </c>
      <c r="J191" t="n">
        <v>2.68</v>
      </c>
      <c r="K191" t="inlineStr">
        <is>
          <t>Yes</t>
        </is>
      </c>
      <c r="L191" t="n">
        <v>-2.25</v>
      </c>
      <c r="M191" t="inlineStr">
        <is>
          <t>Win</t>
        </is>
      </c>
    </row>
    <row r="192">
      <c r="A192" t="inlineStr">
        <is>
          <t>open</t>
        </is>
      </c>
      <c r="B192" t="n">
        <v>2026</v>
      </c>
      <c r="C192" t="n">
        <v>5</v>
      </c>
      <c r="D192" t="inlineStr">
        <is>
          <t>Kentucky</t>
        </is>
      </c>
      <c r="E192" t="inlineStr">
        <is>
          <t>South Carolina</t>
        </is>
      </c>
      <c r="F192" t="inlineStr">
        <is>
          <t>Away</t>
        </is>
      </c>
      <c r="G192" t="n">
        <v>-1.13</v>
      </c>
      <c r="H192" t="n">
        <v>-5</v>
      </c>
      <c r="I192" t="n">
        <v>-2.5</v>
      </c>
      <c r="J192" t="n">
        <v>-3.87</v>
      </c>
      <c r="K192" t="inlineStr">
        <is>
          <t>Yes</t>
        </is>
      </c>
      <c r="L192" t="n">
        <v>2.5</v>
      </c>
      <c r="M192" t="inlineStr">
        <is>
          <t>Win</t>
        </is>
      </c>
    </row>
    <row r="193">
      <c r="A193" t="inlineStr">
        <is>
          <t>open</t>
        </is>
      </c>
      <c r="B193" t="n">
        <v>2026</v>
      </c>
      <c r="C193" t="n">
        <v>5</v>
      </c>
      <c r="D193" t="inlineStr">
        <is>
          <t>Auburn</t>
        </is>
      </c>
      <c r="E193" t="inlineStr">
        <is>
          <t>Tennessee</t>
        </is>
      </c>
      <c r="F193" t="inlineStr">
        <is>
          <t>Home</t>
        </is>
      </c>
      <c r="G193" t="n">
        <v>-9.98</v>
      </c>
      <c r="H193" t="n">
        <v>-7.5</v>
      </c>
      <c r="I193" t="n">
        <v>-6.25</v>
      </c>
      <c r="J193" t="n">
        <v>2.48</v>
      </c>
      <c r="K193" t="inlineStr">
        <is>
          <t>Yes</t>
        </is>
      </c>
      <c r="L193" t="n">
        <v>-1.25</v>
      </c>
      <c r="M193" t="inlineStr">
        <is>
          <t>Win</t>
        </is>
      </c>
    </row>
    <row r="194">
      <c r="A194" t="inlineStr">
        <is>
          <t>open</t>
        </is>
      </c>
      <c r="B194" t="n">
        <v>2026</v>
      </c>
      <c r="C194" t="n">
        <v>5</v>
      </c>
      <c r="D194" t="inlineStr">
        <is>
          <t>Arkansas</t>
        </is>
      </c>
      <c r="E194" t="inlineStr">
        <is>
          <t>Texas A&amp;M</t>
        </is>
      </c>
      <c r="F194" t="inlineStr">
        <is>
          <t>Away</t>
        </is>
      </c>
      <c r="G194" t="n">
        <v>-12.45</v>
      </c>
      <c r="H194" t="n">
        <v>-14.25</v>
      </c>
      <c r="I194" t="n">
        <v>-13.75</v>
      </c>
      <c r="J194" t="n">
        <v>-1.8</v>
      </c>
      <c r="L194" t="n">
        <v>0.5</v>
      </c>
      <c r="M194" t="inlineStr">
        <is>
          <t>Loss</t>
        </is>
      </c>
    </row>
    <row r="195">
      <c r="A195" t="inlineStr">
        <is>
          <t>open</t>
        </is>
      </c>
      <c r="B195" t="n">
        <v>2026</v>
      </c>
      <c r="C195" t="n">
        <v>5</v>
      </c>
      <c r="D195" t="inlineStr">
        <is>
          <t>Middle Tennessee</t>
        </is>
      </c>
      <c r="E195" t="inlineStr">
        <is>
          <t>Kansas</t>
        </is>
      </c>
      <c r="F195" t="inlineStr">
        <is>
          <t>Away</t>
        </is>
      </c>
      <c r="G195" t="n">
        <v>-16.88</v>
      </c>
      <c r="H195" t="n">
        <v>-20.75</v>
      </c>
      <c r="I195" t="n">
        <v>-21</v>
      </c>
      <c r="J195" t="n">
        <v>-3.87</v>
      </c>
      <c r="K195" t="inlineStr">
        <is>
          <t>Yes</t>
        </is>
      </c>
      <c r="L195" t="n">
        <v>-0.25</v>
      </c>
      <c r="M195" t="inlineStr">
        <is>
          <t>Loss</t>
        </is>
      </c>
    </row>
    <row r="196">
      <c r="A196" t="inlineStr">
        <is>
          <t>open</t>
        </is>
      </c>
      <c r="B196" t="n">
        <v>2026</v>
      </c>
      <c r="C196" t="n">
        <v>5</v>
      </c>
      <c r="D196" t="inlineStr">
        <is>
          <t>Baylor</t>
        </is>
      </c>
      <c r="E196" t="inlineStr">
        <is>
          <t>Arizona State</t>
        </is>
      </c>
      <c r="F196" t="inlineStr">
        <is>
          <t>Home</t>
        </is>
      </c>
      <c r="G196" t="n">
        <v>-2.63</v>
      </c>
      <c r="H196" t="n">
        <v>-3.5</v>
      </c>
      <c r="I196" t="n">
        <v>-3.5</v>
      </c>
      <c r="J196" t="n">
        <v>-0.87</v>
      </c>
      <c r="L196" t="n">
        <v>0</v>
      </c>
      <c r="M196" t="inlineStr">
        <is>
          <t>Loss</t>
        </is>
      </c>
    </row>
    <row r="197">
      <c r="A197" t="inlineStr">
        <is>
          <t>open</t>
        </is>
      </c>
      <c r="B197" t="n">
        <v>2026</v>
      </c>
      <c r="C197" t="n">
        <v>5</v>
      </c>
      <c r="D197" t="inlineStr">
        <is>
          <t>BYU</t>
        </is>
      </c>
      <c r="E197" t="inlineStr">
        <is>
          <t>TCU</t>
        </is>
      </c>
      <c r="F197" t="inlineStr">
        <is>
          <t>Away</t>
        </is>
      </c>
      <c r="G197" t="n">
        <v>8.18</v>
      </c>
      <c r="H197" t="n">
        <v>5.75</v>
      </c>
      <c r="I197" t="n">
        <v>5.75</v>
      </c>
      <c r="J197" t="n">
        <v>-2.43</v>
      </c>
      <c r="K197" t="inlineStr">
        <is>
          <t>Yes</t>
        </is>
      </c>
      <c r="L197" t="n">
        <v>0</v>
      </c>
      <c r="M197" t="inlineStr">
        <is>
          <t>Win</t>
        </is>
      </c>
    </row>
    <row r="198">
      <c r="A198" t="inlineStr">
        <is>
          <t>open</t>
        </is>
      </c>
      <c r="B198" t="n">
        <v>2026</v>
      </c>
      <c r="C198" t="n">
        <v>5</v>
      </c>
      <c r="D198" t="inlineStr">
        <is>
          <t>UCF</t>
        </is>
      </c>
      <c r="E198" t="inlineStr">
        <is>
          <t>Houston</t>
        </is>
      </c>
      <c r="F198" t="inlineStr">
        <is>
          <t>Away</t>
        </is>
      </c>
      <c r="G198" t="n">
        <v>-9.57</v>
      </c>
      <c r="H198" t="n">
        <v>-12</v>
      </c>
      <c r="I198" t="n">
        <v>-10.5</v>
      </c>
      <c r="J198" t="n">
        <v>-2.43</v>
      </c>
      <c r="K198" t="inlineStr">
        <is>
          <t>Yes</t>
        </is>
      </c>
      <c r="L198" t="n">
        <v>1.5</v>
      </c>
      <c r="M198" t="inlineStr">
        <is>
          <t>Win</t>
        </is>
      </c>
    </row>
    <row r="199">
      <c r="A199" t="inlineStr">
        <is>
          <t>open</t>
        </is>
      </c>
      <c r="B199" t="n">
        <v>2026</v>
      </c>
      <c r="C199" t="n">
        <v>5</v>
      </c>
      <c r="D199" t="inlineStr">
        <is>
          <t>Cincinnati</t>
        </is>
      </c>
      <c r="E199" t="inlineStr">
        <is>
          <t>Arizona</t>
        </is>
      </c>
      <c r="F199" t="inlineStr">
        <is>
          <t>Away</t>
        </is>
      </c>
      <c r="G199" t="n">
        <v>-1.08</v>
      </c>
      <c r="H199" t="n">
        <v>-7.75</v>
      </c>
      <c r="I199" t="n">
        <v>-6.75</v>
      </c>
      <c r="J199" t="n">
        <v>-6.67</v>
      </c>
      <c r="K199" t="inlineStr">
        <is>
          <t>Yes</t>
        </is>
      </c>
      <c r="L199" t="n">
        <v>1</v>
      </c>
      <c r="M199" t="inlineStr">
        <is>
          <t>Loss</t>
        </is>
      </c>
    </row>
    <row r="200">
      <c r="A200" t="inlineStr">
        <is>
          <t>open</t>
        </is>
      </c>
      <c r="B200" t="n">
        <v>2026</v>
      </c>
      <c r="C200" t="n">
        <v>5</v>
      </c>
      <c r="D200" t="inlineStr">
        <is>
          <t>Texas Tech</t>
        </is>
      </c>
      <c r="E200" t="inlineStr">
        <is>
          <t>Colorado</t>
        </is>
      </c>
      <c r="F200" t="inlineStr">
        <is>
          <t>Away</t>
        </is>
      </c>
      <c r="G200" t="n">
        <v>20.39</v>
      </c>
      <c r="H200" t="n">
        <v>14</v>
      </c>
      <c r="I200" t="n">
        <v>13.5</v>
      </c>
      <c r="J200" t="n">
        <v>-6.39</v>
      </c>
      <c r="K200" t="inlineStr">
        <is>
          <t>Yes</t>
        </is>
      </c>
      <c r="L200" t="n">
        <v>-0.5</v>
      </c>
      <c r="M200" t="inlineStr">
        <is>
          <t>Win</t>
        </is>
      </c>
    </row>
    <row r="201">
      <c r="A201" t="inlineStr">
        <is>
          <t>open</t>
        </is>
      </c>
      <c r="B201" t="n">
        <v>2026</v>
      </c>
      <c r="C201" t="n">
        <v>5</v>
      </c>
      <c r="D201" t="inlineStr">
        <is>
          <t>West Virginia</t>
        </is>
      </c>
      <c r="E201" t="inlineStr">
        <is>
          <t>Iowa State</t>
        </is>
      </c>
      <c r="F201" t="inlineStr">
        <is>
          <t>Home</t>
        </is>
      </c>
      <c r="G201" t="n">
        <v>-13.67</v>
      </c>
      <c r="H201" t="n">
        <v>-2</v>
      </c>
      <c r="I201" t="n">
        <v>-3</v>
      </c>
      <c r="J201" t="n">
        <v>11.67</v>
      </c>
      <c r="K201" t="inlineStr">
        <is>
          <t>Yes</t>
        </is>
      </c>
      <c r="L201" t="n">
        <v>1</v>
      </c>
      <c r="M201" t="inlineStr">
        <is>
          <t>Win</t>
        </is>
      </c>
    </row>
    <row r="202">
      <c r="A202" t="inlineStr">
        <is>
          <t>open</t>
        </is>
      </c>
      <c r="B202" t="n">
        <v>2026</v>
      </c>
      <c r="C202" t="n">
        <v>5</v>
      </c>
      <c r="D202" t="inlineStr">
        <is>
          <t>Pittsburgh</t>
        </is>
      </c>
      <c r="E202" t="inlineStr">
        <is>
          <t>Virginia Tech</t>
        </is>
      </c>
      <c r="F202" t="inlineStr">
        <is>
          <t>Home</t>
        </is>
      </c>
      <c r="G202" t="n">
        <v>-3.82</v>
      </c>
      <c r="H202" t="n">
        <v>-4.75</v>
      </c>
      <c r="I202" t="n">
        <v>-1.5</v>
      </c>
      <c r="J202" t="n">
        <v>-0.93</v>
      </c>
      <c r="L202" t="n">
        <v>-3.25</v>
      </c>
      <c r="M202" t="inlineStr">
        <is>
          <t>Loss</t>
        </is>
      </c>
    </row>
    <row r="203">
      <c r="A203" t="inlineStr">
        <is>
          <t>open</t>
        </is>
      </c>
      <c r="B203" t="n">
        <v>2026</v>
      </c>
      <c r="C203" t="n">
        <v>5</v>
      </c>
      <c r="D203" t="inlineStr">
        <is>
          <t>Boston College</t>
        </is>
      </c>
      <c r="E203" t="inlineStr">
        <is>
          <t>SMU</t>
        </is>
      </c>
      <c r="F203" t="inlineStr">
        <is>
          <t>Away</t>
        </is>
      </c>
      <c r="G203" t="n">
        <v>-16.46</v>
      </c>
      <c r="H203" t="n">
        <v>-20.75</v>
      </c>
      <c r="I203" t="n">
        <v>-21.5</v>
      </c>
      <c r="J203" t="n">
        <v>-4.29</v>
      </c>
      <c r="K203" t="inlineStr">
        <is>
          <t>Yes</t>
        </is>
      </c>
      <c r="L203" t="n">
        <v>-0.75</v>
      </c>
      <c r="M203" t="inlineStr">
        <is>
          <t>Win</t>
        </is>
      </c>
    </row>
    <row r="204">
      <c r="A204" t="inlineStr">
        <is>
          <t>open</t>
        </is>
      </c>
      <c r="B204" t="n">
        <v>2026</v>
      </c>
      <c r="C204" t="n">
        <v>5</v>
      </c>
      <c r="D204" t="inlineStr">
        <is>
          <t>California</t>
        </is>
      </c>
      <c r="E204" t="inlineStr">
        <is>
          <t>UNLV</t>
        </is>
      </c>
      <c r="F204" t="inlineStr">
        <is>
          <t>Home</t>
        </is>
      </c>
      <c r="G204" t="n">
        <v>-3.29</v>
      </c>
      <c r="H204" t="n">
        <v>-1.75</v>
      </c>
      <c r="I204" t="n">
        <v>-1.75</v>
      </c>
      <c r="J204" t="n">
        <v>1.54</v>
      </c>
      <c r="L204" t="n">
        <v>0</v>
      </c>
      <c r="M204" t="inlineStr">
        <is>
          <t>Win</t>
        </is>
      </c>
    </row>
    <row r="205">
      <c r="A205" t="inlineStr">
        <is>
          <t>open</t>
        </is>
      </c>
      <c r="B205" t="n">
        <v>2026</v>
      </c>
      <c r="C205" t="n">
        <v>5</v>
      </c>
      <c r="D205" t="inlineStr">
        <is>
          <t>Louisville</t>
        </is>
      </c>
      <c r="E205" t="inlineStr">
        <is>
          <t>NC State</t>
        </is>
      </c>
      <c r="F205" t="inlineStr">
        <is>
          <t>Home</t>
        </is>
      </c>
      <c r="G205" t="n">
        <v>-2.57</v>
      </c>
      <c r="H205" t="n">
        <v>6.75</v>
      </c>
      <c r="I205" t="n">
        <v>4.25</v>
      </c>
      <c r="J205" t="n">
        <v>9.32</v>
      </c>
      <c r="K205" t="inlineStr">
        <is>
          <t>Yes</t>
        </is>
      </c>
      <c r="L205" t="n">
        <v>2.5</v>
      </c>
      <c r="M205" t="inlineStr">
        <is>
          <t>Win</t>
        </is>
      </c>
    </row>
    <row r="206">
      <c r="A206" t="inlineStr">
        <is>
          <t>open</t>
        </is>
      </c>
      <c r="B206" t="n">
        <v>2026</v>
      </c>
      <c r="C206" t="n">
        <v>5</v>
      </c>
      <c r="D206" t="inlineStr">
        <is>
          <t>Miami</t>
        </is>
      </c>
      <c r="E206" t="inlineStr">
        <is>
          <t>Clemson</t>
        </is>
      </c>
      <c r="F206" t="inlineStr">
        <is>
          <t>Away</t>
        </is>
      </c>
      <c r="G206" t="n">
        <v>13.99</v>
      </c>
      <c r="H206" t="n">
        <v>12</v>
      </c>
      <c r="I206" t="n">
        <v>14.75</v>
      </c>
      <c r="J206" t="n">
        <v>-1.99</v>
      </c>
      <c r="L206" t="n">
        <v>2.75</v>
      </c>
      <c r="M206" t="inlineStr">
        <is>
          <t>Win</t>
        </is>
      </c>
    </row>
    <row r="207">
      <c r="A207" t="inlineStr">
        <is>
          <t>open</t>
        </is>
      </c>
      <c r="B207" t="n">
        <v>2026</v>
      </c>
      <c r="C207" t="n">
        <v>5</v>
      </c>
      <c r="D207" t="inlineStr">
        <is>
          <t>Notre Dame</t>
        </is>
      </c>
      <c r="E207" t="inlineStr">
        <is>
          <t>North Carolina</t>
        </is>
      </c>
      <c r="F207" t="inlineStr">
        <is>
          <t>Home</t>
        </is>
      </c>
      <c r="G207" t="n">
        <v>21.45</v>
      </c>
      <c r="H207" t="n">
        <v>22.5</v>
      </c>
      <c r="I207" t="n">
        <v>21</v>
      </c>
      <c r="J207" t="n">
        <v>1.05</v>
      </c>
      <c r="L207" t="n">
        <v>1.5</v>
      </c>
      <c r="M207" t="inlineStr">
        <is>
          <t>Win</t>
        </is>
      </c>
    </row>
    <row r="208">
      <c r="A208" t="inlineStr">
        <is>
          <t>open</t>
        </is>
      </c>
      <c r="B208" t="n">
        <v>2026</v>
      </c>
      <c r="C208" t="n">
        <v>5</v>
      </c>
      <c r="D208" t="inlineStr">
        <is>
          <t>Stanford</t>
        </is>
      </c>
      <c r="E208" t="inlineStr">
        <is>
          <t>Wake Forest</t>
        </is>
      </c>
      <c r="F208" t="inlineStr">
        <is>
          <t>Home</t>
        </is>
      </c>
      <c r="G208" t="n">
        <v>-15.33</v>
      </c>
      <c r="H208" t="n">
        <v>-12.75</v>
      </c>
      <c r="I208" t="n">
        <v>-14.5</v>
      </c>
      <c r="J208" t="n">
        <v>2.58</v>
      </c>
      <c r="K208" t="inlineStr">
        <is>
          <t>Yes</t>
        </is>
      </c>
      <c r="L208" t="n">
        <v>1.75</v>
      </c>
      <c r="M208" t="inlineStr">
        <is>
          <t>Win</t>
        </is>
      </c>
    </row>
    <row r="209">
      <c r="A209" t="inlineStr">
        <is>
          <t>open</t>
        </is>
      </c>
      <c r="B209" t="n">
        <v>2026</v>
      </c>
      <c r="C209" t="n">
        <v>5</v>
      </c>
      <c r="D209" t="inlineStr">
        <is>
          <t>Syracuse</t>
        </is>
      </c>
      <c r="E209" t="inlineStr">
        <is>
          <t>UConn</t>
        </is>
      </c>
      <c r="F209" t="inlineStr">
        <is>
          <t>Home</t>
        </is>
      </c>
      <c r="G209" t="n">
        <v>-2.19</v>
      </c>
      <c r="H209" t="n">
        <v>6</v>
      </c>
      <c r="I209" t="n">
        <v>6.5</v>
      </c>
      <c r="J209" t="n">
        <v>8.19</v>
      </c>
      <c r="K209" t="inlineStr">
        <is>
          <t>Yes</t>
        </is>
      </c>
      <c r="L209" t="n">
        <v>-0.5</v>
      </c>
      <c r="M209" t="inlineStr">
        <is>
          <t>Win</t>
        </is>
      </c>
    </row>
    <row r="210">
      <c r="A210" t="inlineStr">
        <is>
          <t>open</t>
        </is>
      </c>
      <c r="B210" t="n">
        <v>2026</v>
      </c>
      <c r="C210" t="n">
        <v>5</v>
      </c>
      <c r="D210" t="inlineStr">
        <is>
          <t>Virginia</t>
        </is>
      </c>
      <c r="E210" t="inlineStr">
        <is>
          <t>Florida State</t>
        </is>
      </c>
      <c r="F210" t="inlineStr">
        <is>
          <t>Away</t>
        </is>
      </c>
      <c r="G210" t="n">
        <v>5.17</v>
      </c>
      <c r="H210" t="n">
        <v>2</v>
      </c>
      <c r="I210" t="n">
        <v>1.25</v>
      </c>
      <c r="J210" t="n">
        <v>-3.17</v>
      </c>
      <c r="K210" t="inlineStr">
        <is>
          <t>Yes</t>
        </is>
      </c>
      <c r="L210" t="n">
        <v>-0.75</v>
      </c>
      <c r="M210" t="inlineStr">
        <is>
          <t>Loss</t>
        </is>
      </c>
    </row>
    <row r="211">
      <c r="A211" t="inlineStr">
        <is>
          <t>open</t>
        </is>
      </c>
      <c r="B211" t="n">
        <v>2026</v>
      </c>
      <c r="C211" t="n">
        <v>5</v>
      </c>
      <c r="D211" t="inlineStr">
        <is>
          <t>Purdue</t>
        </is>
      </c>
      <c r="E211" t="inlineStr">
        <is>
          <t>Illinois</t>
        </is>
      </c>
      <c r="F211" t="inlineStr">
        <is>
          <t>Home</t>
        </is>
      </c>
      <c r="G211" t="n">
        <v>-14.4</v>
      </c>
      <c r="H211" t="n">
        <v>-10</v>
      </c>
      <c r="I211" t="n">
        <v>-9.75</v>
      </c>
      <c r="J211" t="n">
        <v>4.4</v>
      </c>
      <c r="K211" t="inlineStr">
        <is>
          <t>Yes</t>
        </is>
      </c>
      <c r="L211" t="n">
        <v>-0.25</v>
      </c>
      <c r="M211" t="inlineStr">
        <is>
          <t>Loss</t>
        </is>
      </c>
    </row>
    <row r="212">
      <c r="A212" t="inlineStr">
        <is>
          <t>open</t>
        </is>
      </c>
      <c r="B212" t="n">
        <v>2026</v>
      </c>
      <c r="C212" t="n">
        <v>5</v>
      </c>
      <c r="D212" t="inlineStr">
        <is>
          <t>Ohio State</t>
        </is>
      </c>
      <c r="E212" t="inlineStr">
        <is>
          <t>Iowa</t>
        </is>
      </c>
      <c r="F212" t="inlineStr">
        <is>
          <t>Home</t>
        </is>
      </c>
      <c r="G212" t="n">
        <v>9.300000000000001</v>
      </c>
      <c r="H212" t="n">
        <v>14</v>
      </c>
      <c r="I212" t="n">
        <v>14.25</v>
      </c>
      <c r="J212" t="n">
        <v>4.7</v>
      </c>
      <c r="K212" t="inlineStr">
        <is>
          <t>Yes</t>
        </is>
      </c>
      <c r="L212" t="n">
        <v>-0.25</v>
      </c>
      <c r="M212" t="inlineStr">
        <is>
          <t>Loss</t>
        </is>
      </c>
    </row>
    <row r="213">
      <c r="A213" t="inlineStr">
        <is>
          <t>open</t>
        </is>
      </c>
      <c r="B213" t="n">
        <v>2026</v>
      </c>
      <c r="C213" t="n">
        <v>5</v>
      </c>
      <c r="D213" t="inlineStr">
        <is>
          <t>Michigan</t>
        </is>
      </c>
      <c r="E213" t="inlineStr">
        <is>
          <t>Minnesota</t>
        </is>
      </c>
      <c r="F213" t="inlineStr">
        <is>
          <t>Home</t>
        </is>
      </c>
      <c r="G213" t="n">
        <v>0.84</v>
      </c>
      <c r="H213" t="n">
        <v>7.5</v>
      </c>
      <c r="I213" t="n">
        <v>6.25</v>
      </c>
      <c r="J213" t="n">
        <v>6.66</v>
      </c>
      <c r="K213" t="inlineStr">
        <is>
          <t>Yes</t>
        </is>
      </c>
      <c r="L213" t="n">
        <v>1.25</v>
      </c>
      <c r="M213" t="inlineStr">
        <is>
          <t>Win</t>
        </is>
      </c>
    </row>
    <row r="214">
      <c r="A214" t="inlineStr">
        <is>
          <t>open</t>
        </is>
      </c>
      <c r="B214" t="n">
        <v>2026</v>
      </c>
      <c r="C214" t="n">
        <v>5</v>
      </c>
      <c r="D214" t="inlineStr">
        <is>
          <t>Maryland</t>
        </is>
      </c>
      <c r="E214" t="inlineStr">
        <is>
          <t>Nebraska</t>
        </is>
      </c>
      <c r="F214" t="inlineStr">
        <is>
          <t>Home</t>
        </is>
      </c>
      <c r="G214" t="n">
        <v>-13.5</v>
      </c>
      <c r="H214" t="n">
        <v>-13.25</v>
      </c>
      <c r="I214" t="n">
        <v>-15</v>
      </c>
      <c r="J214" t="n">
        <v>0.25</v>
      </c>
      <c r="L214" t="n">
        <v>1.75</v>
      </c>
      <c r="M214" t="inlineStr">
        <is>
          <t>Win</t>
        </is>
      </c>
    </row>
    <row r="215">
      <c r="A215" t="inlineStr">
        <is>
          <t>open</t>
        </is>
      </c>
      <c r="B215" t="n">
        <v>2026</v>
      </c>
      <c r="C215" t="n">
        <v>5</v>
      </c>
      <c r="D215" t="inlineStr">
        <is>
          <t>Penn State</t>
        </is>
      </c>
      <c r="E215" t="inlineStr">
        <is>
          <t>Northwestern</t>
        </is>
      </c>
      <c r="F215" t="inlineStr">
        <is>
          <t>Home</t>
        </is>
      </c>
      <c r="G215" t="n">
        <v>1.32</v>
      </c>
      <c r="H215" t="n">
        <v>5</v>
      </c>
      <c r="I215" t="n">
        <v>2.75</v>
      </c>
      <c r="J215" t="n">
        <v>3.68</v>
      </c>
      <c r="K215" t="inlineStr">
        <is>
          <t>Yes</t>
        </is>
      </c>
      <c r="L215" t="n">
        <v>2.25</v>
      </c>
      <c r="M215" t="inlineStr">
        <is>
          <t>Win</t>
        </is>
      </c>
    </row>
    <row r="216">
      <c r="A216" t="inlineStr">
        <is>
          <t>open</t>
        </is>
      </c>
      <c r="B216" t="n">
        <v>2026</v>
      </c>
      <c r="C216" t="n">
        <v>5</v>
      </c>
      <c r="D216" t="inlineStr">
        <is>
          <t>Indiana</t>
        </is>
      </c>
      <c r="E216" t="inlineStr">
        <is>
          <t>Rutgers</t>
        </is>
      </c>
      <c r="F216" t="inlineStr">
        <is>
          <t>Away</t>
        </is>
      </c>
      <c r="G216" t="n">
        <v>33.26</v>
      </c>
      <c r="H216" t="n">
        <v>23.25</v>
      </c>
      <c r="I216" t="n">
        <v>24.25</v>
      </c>
      <c r="J216" t="n">
        <v>-10.01</v>
      </c>
      <c r="K216" t="inlineStr">
        <is>
          <t>Yes</t>
        </is>
      </c>
      <c r="L216" t="n">
        <v>1</v>
      </c>
      <c r="M216" t="inlineStr">
        <is>
          <t>Win</t>
        </is>
      </c>
    </row>
    <row r="217">
      <c r="A217" t="inlineStr">
        <is>
          <t>open</t>
        </is>
      </c>
      <c r="B217" t="n">
        <v>2026</v>
      </c>
      <c r="C217" t="n">
        <v>5</v>
      </c>
      <c r="D217" t="inlineStr">
        <is>
          <t>Washington</t>
        </is>
      </c>
      <c r="E217" t="inlineStr">
        <is>
          <t>USC</t>
        </is>
      </c>
      <c r="F217" t="inlineStr">
        <is>
          <t>Away</t>
        </is>
      </c>
      <c r="G217" t="n">
        <v>1.47</v>
      </c>
      <c r="H217" t="n">
        <v>-10</v>
      </c>
      <c r="I217" t="n">
        <v>-8.25</v>
      </c>
      <c r="J217" t="n">
        <v>-11.47</v>
      </c>
      <c r="K217" t="inlineStr">
        <is>
          <t>Yes</t>
        </is>
      </c>
      <c r="L217" t="n">
        <v>1.75</v>
      </c>
      <c r="M217" t="inlineStr">
        <is>
          <t>Win</t>
        </is>
      </c>
    </row>
    <row r="218">
      <c r="A218" t="inlineStr">
        <is>
          <t>open</t>
        </is>
      </c>
      <c r="B218" t="n">
        <v>2026</v>
      </c>
      <c r="C218" t="n">
        <v>5</v>
      </c>
      <c r="D218" t="inlineStr">
        <is>
          <t>Michigan State</t>
        </is>
      </c>
      <c r="E218" t="inlineStr">
        <is>
          <t>Wisconsin</t>
        </is>
      </c>
      <c r="F218" t="inlineStr">
        <is>
          <t>Away</t>
        </is>
      </c>
      <c r="G218" t="n">
        <v>-3.69</v>
      </c>
      <c r="H218" t="n">
        <v>-10.25</v>
      </c>
      <c r="I218" t="n">
        <v>-8.75</v>
      </c>
      <c r="J218" t="n">
        <v>-6.56</v>
      </c>
      <c r="K218" t="inlineStr">
        <is>
          <t>Yes</t>
        </is>
      </c>
      <c r="L218" t="n">
        <v>1.5</v>
      </c>
      <c r="M218" t="inlineStr">
        <is>
          <t>Loss</t>
        </is>
      </c>
    </row>
    <row r="219">
      <c r="A219" t="inlineStr">
        <is>
          <t>open</t>
        </is>
      </c>
      <c r="B219" t="n">
        <v>2026</v>
      </c>
      <c r="C219" t="n">
        <v>5</v>
      </c>
      <c r="D219" t="inlineStr">
        <is>
          <t>Utah State</t>
        </is>
      </c>
      <c r="E219" t="inlineStr">
        <is>
          <t>Boise State</t>
        </is>
      </c>
      <c r="F219" t="inlineStr">
        <is>
          <t>Away</t>
        </is>
      </c>
      <c r="G219" t="n">
        <v>-13.23</v>
      </c>
      <c r="H219" t="n">
        <v>-20.25</v>
      </c>
      <c r="I219" t="n">
        <v>-19.5</v>
      </c>
      <c r="J219" t="n">
        <v>-7.02</v>
      </c>
      <c r="K219" t="inlineStr">
        <is>
          <t>Yes</t>
        </is>
      </c>
      <c r="L219" t="n">
        <v>0.75</v>
      </c>
      <c r="M219" t="inlineStr">
        <is>
          <t>Win</t>
        </is>
      </c>
    </row>
    <row r="220">
      <c r="A220" t="inlineStr">
        <is>
          <t>open</t>
        </is>
      </c>
      <c r="B220" t="n">
        <v>2026</v>
      </c>
      <c r="C220" t="n">
        <v>5</v>
      </c>
      <c r="D220" t="inlineStr">
        <is>
          <t>Oregon State</t>
        </is>
      </c>
      <c r="E220" t="inlineStr">
        <is>
          <t>Colorado State</t>
        </is>
      </c>
      <c r="F220" t="inlineStr">
        <is>
          <t>Away</t>
        </is>
      </c>
      <c r="G220" t="n">
        <v>6.77</v>
      </c>
      <c r="H220" t="n">
        <v>4</v>
      </c>
      <c r="I220" t="n">
        <v>7</v>
      </c>
      <c r="J220" t="n">
        <v>-2.77</v>
      </c>
      <c r="K220" t="inlineStr">
        <is>
          <t>Yes</t>
        </is>
      </c>
      <c r="L220" t="n">
        <v>3</v>
      </c>
      <c r="M220" t="inlineStr">
        <is>
          <t>Win</t>
        </is>
      </c>
    </row>
    <row r="221">
      <c r="A221" t="inlineStr">
        <is>
          <t>open</t>
        </is>
      </c>
      <c r="B221" t="n">
        <v>2026</v>
      </c>
      <c r="C221" t="n">
        <v>5</v>
      </c>
      <c r="D221" t="inlineStr">
        <is>
          <t>Texas State</t>
        </is>
      </c>
      <c r="E221" t="inlineStr">
        <is>
          <t>San Diego State</t>
        </is>
      </c>
      <c r="F221" t="inlineStr">
        <is>
          <t>Home</t>
        </is>
      </c>
      <c r="G221" t="n">
        <v>2.06</v>
      </c>
      <c r="H221" t="n">
        <v>4.25</v>
      </c>
      <c r="I221" t="n">
        <v>9.75</v>
      </c>
      <c r="J221" t="n">
        <v>2.19</v>
      </c>
      <c r="K221" t="inlineStr">
        <is>
          <t>Yes</t>
        </is>
      </c>
      <c r="L221" t="n">
        <v>-5.5</v>
      </c>
      <c r="M221" t="inlineStr">
        <is>
          <t>Win</t>
        </is>
      </c>
    </row>
    <row r="222">
      <c r="A222" t="inlineStr">
        <is>
          <t>open</t>
        </is>
      </c>
      <c r="B222" t="n">
        <v>2026</v>
      </c>
      <c r="C222" t="n">
        <v>5</v>
      </c>
      <c r="D222" t="inlineStr">
        <is>
          <t>Fresno State</t>
        </is>
      </c>
      <c r="E222" t="inlineStr">
        <is>
          <t>Washington State</t>
        </is>
      </c>
      <c r="F222" t="inlineStr">
        <is>
          <t>Home</t>
        </is>
      </c>
      <c r="G222" t="n">
        <v>-7.21</v>
      </c>
      <c r="H222" t="n">
        <v>-0.25</v>
      </c>
      <c r="I222" t="n">
        <v>-2.25</v>
      </c>
      <c r="J222" t="n">
        <v>6.96</v>
      </c>
      <c r="K222" t="inlineStr">
        <is>
          <t>Yes</t>
        </is>
      </c>
      <c r="L222" t="n">
        <v>2</v>
      </c>
      <c r="M222" t="inlineStr">
        <is>
          <t>Loss</t>
        </is>
      </c>
    </row>
    <row r="223">
      <c r="A223" t="inlineStr">
        <is>
          <t>open</t>
        </is>
      </c>
      <c r="B223" t="n">
        <v>2026</v>
      </c>
      <c r="C223" t="n">
        <v>5</v>
      </c>
      <c r="D223" t="inlineStr">
        <is>
          <t>North Texas</t>
        </is>
      </c>
      <c r="E223" t="inlineStr">
        <is>
          <t>Tulsa</t>
        </is>
      </c>
      <c r="F223" t="inlineStr">
        <is>
          <t>Away</t>
        </is>
      </c>
      <c r="G223" t="n">
        <v>7.28</v>
      </c>
      <c r="H223" t="n">
        <v>-0.25</v>
      </c>
      <c r="I223" t="n">
        <v>2</v>
      </c>
      <c r="J223" t="n">
        <v>-7.53</v>
      </c>
      <c r="K223" t="inlineStr">
        <is>
          <t>Yes</t>
        </is>
      </c>
      <c r="L223" t="n">
        <v>2.25</v>
      </c>
      <c r="M223" t="inlineStr">
        <is>
          <t>Win</t>
        </is>
      </c>
    </row>
    <row r="224">
      <c r="A224" t="inlineStr">
        <is>
          <t>open</t>
        </is>
      </c>
      <c r="B224" t="n">
        <v>2026</v>
      </c>
      <c r="C224" t="n">
        <v>5</v>
      </c>
      <c r="D224" t="inlineStr">
        <is>
          <t>Memphis</t>
        </is>
      </c>
      <c r="E224" t="inlineStr">
        <is>
          <t>Charlotte</t>
        </is>
      </c>
      <c r="F224" t="inlineStr">
        <is>
          <t>Away</t>
        </is>
      </c>
      <c r="G224" t="n">
        <v>20.3</v>
      </c>
      <c r="H224" t="n">
        <v>21</v>
      </c>
      <c r="I224" t="n">
        <v>19.5</v>
      </c>
      <c r="J224" t="n">
        <v>0.7</v>
      </c>
      <c r="L224" t="n">
        <v>-1.5</v>
      </c>
      <c r="M224" t="inlineStr">
        <is>
          <t>Win</t>
        </is>
      </c>
    </row>
    <row r="225">
      <c r="A225" t="inlineStr">
        <is>
          <t>open</t>
        </is>
      </c>
      <c r="B225" t="n">
        <v>2026</v>
      </c>
      <c r="C225" t="n">
        <v>5</v>
      </c>
      <c r="D225" t="inlineStr">
        <is>
          <t>UTSA</t>
        </is>
      </c>
      <c r="E225" t="inlineStr">
        <is>
          <t>Rice</t>
        </is>
      </c>
      <c r="F225" t="inlineStr">
        <is>
          <t>Away</t>
        </is>
      </c>
      <c r="G225" t="n">
        <v>13.73</v>
      </c>
      <c r="H225" t="n">
        <v>11.75</v>
      </c>
      <c r="I225" t="n">
        <v>12</v>
      </c>
      <c r="J225" t="n">
        <v>-1.98</v>
      </c>
      <c r="L225" t="n">
        <v>0.25</v>
      </c>
      <c r="M225" t="inlineStr">
        <is>
          <t>Loss</t>
        </is>
      </c>
    </row>
    <row r="226">
      <c r="A226" t="inlineStr">
        <is>
          <t>open</t>
        </is>
      </c>
      <c r="B226" t="n">
        <v>2026</v>
      </c>
      <c r="C226" t="n">
        <v>5</v>
      </c>
      <c r="D226" t="inlineStr">
        <is>
          <t>Navy</t>
        </is>
      </c>
      <c r="E226" t="inlineStr">
        <is>
          <t>Air Force</t>
        </is>
      </c>
      <c r="F226" t="inlineStr">
        <is>
          <t>Away</t>
        </is>
      </c>
      <c r="G226" t="n">
        <v>4.53</v>
      </c>
      <c r="H226" t="n">
        <v>-2</v>
      </c>
      <c r="I226" t="n">
        <v>-2.75</v>
      </c>
      <c r="J226" t="n">
        <v>-6.53</v>
      </c>
      <c r="K226" t="inlineStr">
        <is>
          <t>Yes</t>
        </is>
      </c>
      <c r="L226" t="n">
        <v>-0.75</v>
      </c>
      <c r="M226" t="inlineStr">
        <is>
          <t>Loss</t>
        </is>
      </c>
    </row>
    <row r="227">
      <c r="A227" t="inlineStr">
        <is>
          <t>open</t>
        </is>
      </c>
      <c r="B227" t="n">
        <v>2026</v>
      </c>
      <c r="C227" t="n">
        <v>5</v>
      </c>
      <c r="D227" t="inlineStr">
        <is>
          <t>Temple</t>
        </is>
      </c>
      <c r="E227" t="inlineStr">
        <is>
          <t>South Florida</t>
        </is>
      </c>
      <c r="F227" t="inlineStr">
        <is>
          <t>Home</t>
        </is>
      </c>
      <c r="G227" t="n">
        <v>-11.61</v>
      </c>
      <c r="H227" t="n">
        <v>-6</v>
      </c>
      <c r="I227" t="n">
        <v>-5.5</v>
      </c>
      <c r="J227" t="n">
        <v>5.61</v>
      </c>
      <c r="K227" t="inlineStr">
        <is>
          <t>Yes</t>
        </is>
      </c>
      <c r="L227" t="n">
        <v>-0.5</v>
      </c>
      <c r="M227" t="inlineStr">
        <is>
          <t>Loss</t>
        </is>
      </c>
    </row>
    <row r="228">
      <c r="A228" t="inlineStr">
        <is>
          <t>open</t>
        </is>
      </c>
      <c r="B228" t="n">
        <v>2026</v>
      </c>
      <c r="C228" t="n">
        <v>5</v>
      </c>
      <c r="D228" t="inlineStr">
        <is>
          <t>San José State</t>
        </is>
      </c>
      <c r="E228" t="inlineStr">
        <is>
          <t>Hawai'i</t>
        </is>
      </c>
      <c r="F228" t="inlineStr">
        <is>
          <t>Home</t>
        </is>
      </c>
      <c r="G228" t="n">
        <v>-5.24</v>
      </c>
      <c r="H228" t="n">
        <v>-4.25</v>
      </c>
      <c r="I228" t="n">
        <v>-2.75</v>
      </c>
      <c r="J228" t="n">
        <v>0.99</v>
      </c>
      <c r="L228" t="n">
        <v>-1.5</v>
      </c>
      <c r="M228" t="inlineStr">
        <is>
          <t>Loss</t>
        </is>
      </c>
    </row>
    <row r="229">
      <c r="A229" t="inlineStr">
        <is>
          <t>open</t>
        </is>
      </c>
      <c r="B229" t="n">
        <v>2026</v>
      </c>
      <c r="C229" t="n">
        <v>5</v>
      </c>
      <c r="D229" t="inlineStr">
        <is>
          <t>UTEP</t>
        </is>
      </c>
      <c r="E229" t="inlineStr">
        <is>
          <t>New Mexico</t>
        </is>
      </c>
      <c r="F229" t="inlineStr">
        <is>
          <t>Home</t>
        </is>
      </c>
      <c r="G229" t="n">
        <v>-27.58</v>
      </c>
      <c r="H229" t="n">
        <v>-21.75</v>
      </c>
      <c r="I229" t="n">
        <v>-23.25</v>
      </c>
      <c r="J229" t="n">
        <v>5.83</v>
      </c>
      <c r="K229" t="inlineStr">
        <is>
          <t>Yes</t>
        </is>
      </c>
      <c r="L229" t="n">
        <v>1.5</v>
      </c>
      <c r="M229" t="inlineStr">
        <is>
          <t>Win</t>
        </is>
      </c>
    </row>
    <row r="230">
      <c r="A230" t="inlineStr">
        <is>
          <t>open</t>
        </is>
      </c>
      <c r="B230" t="n">
        <v>2026</v>
      </c>
      <c r="C230" t="n">
        <v>5</v>
      </c>
      <c r="D230" t="inlineStr">
        <is>
          <t>Wyoming</t>
        </is>
      </c>
      <c r="E230" t="inlineStr">
        <is>
          <t>North Dakota State</t>
        </is>
      </c>
      <c r="F230" t="inlineStr">
        <is>
          <t>Home</t>
        </is>
      </c>
      <c r="G230" t="n">
        <v>-29.32</v>
      </c>
      <c r="H230" t="n">
        <v>-20.5</v>
      </c>
      <c r="I230" t="n">
        <v>-17.25</v>
      </c>
      <c r="J230" t="n">
        <v>8.82</v>
      </c>
      <c r="K230" t="inlineStr">
        <is>
          <t>Yes</t>
        </is>
      </c>
      <c r="L230" t="n">
        <v>-3.25</v>
      </c>
      <c r="M230" t="inlineStr">
        <is>
          <t>Win</t>
        </is>
      </c>
    </row>
    <row r="231">
      <c r="A231" t="inlineStr">
        <is>
          <t>open</t>
        </is>
      </c>
      <c r="B231" t="n">
        <v>2026</v>
      </c>
      <c r="C231" t="n">
        <v>5</v>
      </c>
      <c r="D231" t="inlineStr">
        <is>
          <t>Akron</t>
        </is>
      </c>
      <c r="E231" t="inlineStr">
        <is>
          <t>Central Michigan</t>
        </is>
      </c>
      <c r="F231" t="inlineStr">
        <is>
          <t>Home</t>
        </is>
      </c>
      <c r="G231" t="n">
        <v>-12.06</v>
      </c>
      <c r="H231" t="n">
        <v>-5.75</v>
      </c>
      <c r="I231" t="n">
        <v>-6.75</v>
      </c>
      <c r="J231" t="n">
        <v>6.31</v>
      </c>
      <c r="K231" t="inlineStr">
        <is>
          <t>Yes</t>
        </is>
      </c>
      <c r="L231" t="n">
        <v>1</v>
      </c>
      <c r="M231" t="inlineStr">
        <is>
          <t>Win</t>
        </is>
      </c>
    </row>
    <row r="232">
      <c r="A232" t="inlineStr">
        <is>
          <t>open</t>
        </is>
      </c>
      <c r="B232" t="n">
        <v>2026</v>
      </c>
      <c r="C232" t="n">
        <v>5</v>
      </c>
      <c r="D232" t="inlineStr">
        <is>
          <t>Toledo</t>
        </is>
      </c>
      <c r="E232" t="inlineStr">
        <is>
          <t>Ball State</t>
        </is>
      </c>
      <c r="F232" t="inlineStr">
        <is>
          <t>Away</t>
        </is>
      </c>
      <c r="G232" t="n">
        <v>21.54</v>
      </c>
      <c r="H232" t="n">
        <v>18.5</v>
      </c>
      <c r="I232" t="n">
        <v>20.75</v>
      </c>
      <c r="J232" t="n">
        <v>-3.04</v>
      </c>
      <c r="K232" t="inlineStr">
        <is>
          <t>Yes</t>
        </is>
      </c>
      <c r="L232" t="n">
        <v>2.25</v>
      </c>
      <c r="M232" t="inlineStr">
        <is>
          <t>Loss</t>
        </is>
      </c>
    </row>
    <row r="233">
      <c r="A233" t="inlineStr">
        <is>
          <t>open</t>
        </is>
      </c>
      <c r="B233" t="n">
        <v>2026</v>
      </c>
      <c r="C233" t="n">
        <v>5</v>
      </c>
      <c r="D233" t="inlineStr">
        <is>
          <t>Western Michigan</t>
        </is>
      </c>
      <c r="E233" t="inlineStr">
        <is>
          <t>Buffalo</t>
        </is>
      </c>
      <c r="F233" t="inlineStr">
        <is>
          <t>Home</t>
        </is>
      </c>
      <c r="G233" t="n">
        <v>12.73</v>
      </c>
      <c r="H233" t="n">
        <v>15.75</v>
      </c>
      <c r="I233" t="n">
        <v>13.25</v>
      </c>
      <c r="J233" t="n">
        <v>3.02</v>
      </c>
      <c r="K233" t="inlineStr">
        <is>
          <t>Yes</t>
        </is>
      </c>
      <c r="L233" t="n">
        <v>2.5</v>
      </c>
      <c r="M233" t="inlineStr">
        <is>
          <t>Win</t>
        </is>
      </c>
    </row>
    <row r="234">
      <c r="A234" t="inlineStr">
        <is>
          <t>open</t>
        </is>
      </c>
      <c r="B234" t="n">
        <v>2026</v>
      </c>
      <c r="C234" t="n">
        <v>5</v>
      </c>
      <c r="D234" t="inlineStr">
        <is>
          <t>Eastern Michigan</t>
        </is>
      </c>
      <c r="E234" t="inlineStr">
        <is>
          <t>Massachusetts</t>
        </is>
      </c>
      <c r="F234" t="inlineStr">
        <is>
          <t>Away</t>
        </is>
      </c>
      <c r="G234" t="n">
        <v>-1.71</v>
      </c>
      <c r="H234" t="n">
        <v>-4</v>
      </c>
      <c r="I234" t="n">
        <v>-5.75</v>
      </c>
      <c r="J234" t="n">
        <v>-2.29</v>
      </c>
      <c r="K234" t="inlineStr">
        <is>
          <t>Yes</t>
        </is>
      </c>
      <c r="L234" t="n">
        <v>-1.75</v>
      </c>
      <c r="M234" t="inlineStr">
        <is>
          <t>Win</t>
        </is>
      </c>
    </row>
    <row r="235">
      <c r="A235" t="inlineStr">
        <is>
          <t>open</t>
        </is>
      </c>
      <c r="B235" t="n">
        <v>2026</v>
      </c>
      <c r="C235" t="n">
        <v>5</v>
      </c>
      <c r="D235" t="inlineStr">
        <is>
          <t>Ohio</t>
        </is>
      </c>
      <c r="E235" t="inlineStr">
        <is>
          <t>Kent State</t>
        </is>
      </c>
      <c r="F235" t="inlineStr">
        <is>
          <t>Away</t>
        </is>
      </c>
      <c r="G235" t="n">
        <v>5.49</v>
      </c>
      <c r="H235" t="n">
        <v>5.5</v>
      </c>
      <c r="I235" t="n">
        <v>3.5</v>
      </c>
      <c r="J235" t="n">
        <v>0.01</v>
      </c>
      <c r="L235" t="n">
        <v>-2</v>
      </c>
      <c r="M235" t="inlineStr">
        <is>
          <t>Loss</t>
        </is>
      </c>
    </row>
    <row r="236">
      <c r="A236" t="inlineStr">
        <is>
          <t>open</t>
        </is>
      </c>
      <c r="B236" t="n">
        <v>2026</v>
      </c>
      <c r="C236" t="n">
        <v>5</v>
      </c>
      <c r="D236" t="inlineStr">
        <is>
          <t>Bowling Green</t>
        </is>
      </c>
      <c r="E236" t="inlineStr">
        <is>
          <t>Miami (OH)</t>
        </is>
      </c>
      <c r="F236" t="inlineStr">
        <is>
          <t>Away</t>
        </is>
      </c>
      <c r="G236" t="n">
        <v>-5.8</v>
      </c>
      <c r="H236" t="n">
        <v>-15.25</v>
      </c>
      <c r="I236" t="n">
        <v>-11.25</v>
      </c>
      <c r="J236" t="n">
        <v>-9.449999999999999</v>
      </c>
      <c r="K236" t="inlineStr">
        <is>
          <t>Yes</t>
        </is>
      </c>
      <c r="L236" t="n">
        <v>4</v>
      </c>
      <c r="M236" t="inlineStr">
        <is>
          <t>Win</t>
        </is>
      </c>
    </row>
    <row r="237">
      <c r="A237" t="inlineStr">
        <is>
          <t>open</t>
        </is>
      </c>
      <c r="B237" t="n">
        <v>2026</v>
      </c>
      <c r="C237" t="n">
        <v>5</v>
      </c>
      <c r="D237" t="inlineStr">
        <is>
          <t>Army</t>
        </is>
      </c>
      <c r="E237" t="inlineStr">
        <is>
          <t>Louisiana Tech</t>
        </is>
      </c>
      <c r="F237" t="inlineStr">
        <is>
          <t>Away</t>
        </is>
      </c>
      <c r="G237" t="n">
        <v>9.23</v>
      </c>
      <c r="H237" t="n">
        <v>3.25</v>
      </c>
      <c r="I237" t="n">
        <v>-0.25</v>
      </c>
      <c r="J237" t="n">
        <v>-5.98</v>
      </c>
      <c r="K237" t="inlineStr">
        <is>
          <t>Yes</t>
        </is>
      </c>
      <c r="L237" t="n">
        <v>-3.5</v>
      </c>
      <c r="M237" t="inlineStr">
        <is>
          <t>Loss</t>
        </is>
      </c>
    </row>
    <row r="238">
      <c r="A238" t="inlineStr">
        <is>
          <t>open</t>
        </is>
      </c>
      <c r="B238" t="n">
        <v>2026</v>
      </c>
      <c r="C238" t="n">
        <v>5</v>
      </c>
      <c r="D238" t="inlineStr">
        <is>
          <t>Arkansas State</t>
        </is>
      </c>
      <c r="E238" t="inlineStr">
        <is>
          <t>Louisiana</t>
        </is>
      </c>
      <c r="F238" t="inlineStr">
        <is>
          <t>Home</t>
        </is>
      </c>
      <c r="G238" t="n">
        <v>-6.1</v>
      </c>
      <c r="H238" t="n">
        <v>-5.25</v>
      </c>
      <c r="I238" t="n">
        <v>-5.25</v>
      </c>
      <c r="J238" t="n">
        <v>0.85</v>
      </c>
      <c r="L238" t="n">
        <v>0</v>
      </c>
      <c r="M238" t="inlineStr">
        <is>
          <t>Loss</t>
        </is>
      </c>
    </row>
    <row r="239">
      <c r="A239" t="inlineStr">
        <is>
          <t>open</t>
        </is>
      </c>
      <c r="B239" t="n">
        <v>2026</v>
      </c>
      <c r="C239" t="n">
        <v>5</v>
      </c>
      <c r="D239" t="inlineStr">
        <is>
          <t>Georgia Southern</t>
        </is>
      </c>
      <c r="E239" t="inlineStr">
        <is>
          <t>Coastal Carolina</t>
        </is>
      </c>
      <c r="F239" t="inlineStr">
        <is>
          <t>Away</t>
        </is>
      </c>
      <c r="G239" t="n">
        <v>0.49</v>
      </c>
      <c r="H239" t="n">
        <v>0.25</v>
      </c>
      <c r="I239" t="n">
        <v>2.25</v>
      </c>
      <c r="J239" t="n">
        <v>-0.24</v>
      </c>
      <c r="L239" t="n">
        <v>2</v>
      </c>
      <c r="M239" t="inlineStr">
        <is>
          <t>Win</t>
        </is>
      </c>
    </row>
    <row r="240">
      <c r="A240" t="inlineStr">
        <is>
          <t>open</t>
        </is>
      </c>
      <c r="B240" t="n">
        <v>2026</v>
      </c>
      <c r="C240" t="n">
        <v>5</v>
      </c>
      <c r="D240" t="inlineStr">
        <is>
          <t>Old Dominion</t>
        </is>
      </c>
      <c r="E240" t="inlineStr">
        <is>
          <t>Georgia State</t>
        </is>
      </c>
      <c r="F240" t="inlineStr">
        <is>
          <t>Away</t>
        </is>
      </c>
      <c r="G240" t="n">
        <v>11.33</v>
      </c>
      <c r="H240" t="n">
        <v>1.25</v>
      </c>
      <c r="I240" t="n">
        <v>-2</v>
      </c>
      <c r="J240" t="n">
        <v>-10.08</v>
      </c>
      <c r="K240" t="inlineStr">
        <is>
          <t>Yes</t>
        </is>
      </c>
      <c r="L240" t="n">
        <v>-3.25</v>
      </c>
      <c r="M240" t="inlineStr">
        <is>
          <t>Loss</t>
        </is>
      </c>
    </row>
    <row r="241">
      <c r="A241" t="inlineStr">
        <is>
          <t>open</t>
        </is>
      </c>
      <c r="B241" t="n">
        <v>2026</v>
      </c>
      <c r="C241" t="n">
        <v>5</v>
      </c>
      <c r="D241" t="inlineStr">
        <is>
          <t>Marshall</t>
        </is>
      </c>
      <c r="E241" t="inlineStr">
        <is>
          <t>James Madison</t>
        </is>
      </c>
      <c r="F241" t="inlineStr">
        <is>
          <t>Home</t>
        </is>
      </c>
      <c r="G241" t="n">
        <v>-20.78</v>
      </c>
      <c r="H241" t="n">
        <v>-15.5</v>
      </c>
      <c r="I241" t="n">
        <v>-16.25</v>
      </c>
      <c r="J241" t="n">
        <v>5.28</v>
      </c>
      <c r="K241" t="inlineStr">
        <is>
          <t>Yes</t>
        </is>
      </c>
      <c r="L241" t="n">
        <v>0.75</v>
      </c>
      <c r="M241" t="inlineStr">
        <is>
          <t>Win</t>
        </is>
      </c>
    </row>
    <row r="242">
      <c r="A242" t="inlineStr">
        <is>
          <t>open</t>
        </is>
      </c>
      <c r="B242" t="n">
        <v>2026</v>
      </c>
      <c r="C242" t="n">
        <v>5</v>
      </c>
      <c r="D242" t="inlineStr">
        <is>
          <t>Western Kentucky</t>
        </is>
      </c>
      <c r="E242" t="inlineStr">
        <is>
          <t>New Mexico State</t>
        </is>
      </c>
      <c r="F242" t="inlineStr">
        <is>
          <t>Away</t>
        </is>
      </c>
      <c r="G242" t="n">
        <v>5.54</v>
      </c>
      <c r="H242" t="n">
        <v>-1.25</v>
      </c>
      <c r="I242" t="n">
        <v>-1.5</v>
      </c>
      <c r="J242" t="n">
        <v>-6.79</v>
      </c>
      <c r="K242" t="inlineStr">
        <is>
          <t>Yes</t>
        </is>
      </c>
      <c r="L242" t="n">
        <v>-0.25</v>
      </c>
      <c r="M242" t="inlineStr">
        <is>
          <t>Loss</t>
        </is>
      </c>
    </row>
    <row r="243">
      <c r="A243" t="inlineStr">
        <is>
          <t>open</t>
        </is>
      </c>
      <c r="B243" t="n">
        <v>2026</v>
      </c>
      <c r="C243" t="n">
        <v>5</v>
      </c>
      <c r="D243" t="inlineStr">
        <is>
          <t>Liberty</t>
        </is>
      </c>
      <c r="E243" t="inlineStr">
        <is>
          <t>Delaware</t>
        </is>
      </c>
      <c r="F243" t="inlineStr">
        <is>
          <t>Home</t>
        </is>
      </c>
      <c r="G243" t="n">
        <v>5.76</v>
      </c>
      <c r="H243" t="n">
        <v>7</v>
      </c>
      <c r="I243" t="n">
        <v>7</v>
      </c>
      <c r="J243" t="n">
        <v>1.24</v>
      </c>
      <c r="L243" t="n">
        <v>0</v>
      </c>
      <c r="M243" t="inlineStr">
        <is>
          <t>Loss</t>
        </is>
      </c>
    </row>
    <row r="244">
      <c r="A244" t="inlineStr">
        <is>
          <t>open</t>
        </is>
      </c>
      <c r="B244" t="n">
        <v>2026</v>
      </c>
      <c r="C244" t="n">
        <v>5</v>
      </c>
      <c r="D244" t="inlineStr">
        <is>
          <t>UL Monroe</t>
        </is>
      </c>
      <c r="E244" t="inlineStr">
        <is>
          <t>South Alabama</t>
        </is>
      </c>
      <c r="F244" t="inlineStr">
        <is>
          <t>Home</t>
        </is>
      </c>
      <c r="G244" t="n">
        <v>-14.44</v>
      </c>
      <c r="H244" t="n">
        <v>-14.25</v>
      </c>
      <c r="I244" t="n">
        <v>-13.25</v>
      </c>
      <c r="J244" t="n">
        <v>0.19</v>
      </c>
      <c r="L244" t="n">
        <v>-1</v>
      </c>
      <c r="M244" t="inlineStr">
        <is>
          <t>Win</t>
        </is>
      </c>
    </row>
    <row r="245">
      <c r="A245" t="inlineStr">
        <is>
          <t>open</t>
        </is>
      </c>
      <c r="B245" t="n">
        <v>2026</v>
      </c>
      <c r="C245" t="n">
        <v>4</v>
      </c>
      <c r="D245" t="inlineStr">
        <is>
          <t>South Carolina</t>
        </is>
      </c>
      <c r="E245" t="inlineStr">
        <is>
          <t>Alabama</t>
        </is>
      </c>
      <c r="F245" t="inlineStr">
        <is>
          <t>Home</t>
        </is>
      </c>
      <c r="G245" t="n">
        <v>-17.14</v>
      </c>
      <c r="H245" t="n">
        <v>-12.25</v>
      </c>
      <c r="I245" t="n">
        <v>-12.5</v>
      </c>
      <c r="J245" t="n">
        <v>4.89</v>
      </c>
      <c r="K245" t="inlineStr">
        <is>
          <t>Yes</t>
        </is>
      </c>
      <c r="L245" t="n">
        <v>0.25</v>
      </c>
      <c r="M245" t="inlineStr">
        <is>
          <t>Win</t>
        </is>
      </c>
    </row>
    <row r="246">
      <c r="A246" t="inlineStr">
        <is>
          <t>open</t>
        </is>
      </c>
      <c r="B246" t="n">
        <v>2026</v>
      </c>
      <c r="C246" t="n">
        <v>4</v>
      </c>
      <c r="D246" t="inlineStr">
        <is>
          <t>Tulsa</t>
        </is>
      </c>
      <c r="E246" t="inlineStr">
        <is>
          <t>Arkansas</t>
        </is>
      </c>
      <c r="F246" t="inlineStr">
        <is>
          <t>Home</t>
        </is>
      </c>
      <c r="G246" t="n">
        <v>-14.42</v>
      </c>
      <c r="H246" t="n">
        <v>-7.75</v>
      </c>
      <c r="I246" t="n">
        <v>-7</v>
      </c>
      <c r="J246" t="n">
        <v>6.67</v>
      </c>
      <c r="K246" t="inlineStr">
        <is>
          <t>Yes</t>
        </is>
      </c>
      <c r="L246" t="n">
        <v>-0.75</v>
      </c>
      <c r="M246" t="inlineStr">
        <is>
          <t>Win</t>
        </is>
      </c>
    </row>
    <row r="247">
      <c r="A247" t="inlineStr">
        <is>
          <t>open</t>
        </is>
      </c>
      <c r="B247" t="n">
        <v>2026</v>
      </c>
      <c r="C247" t="n">
        <v>4</v>
      </c>
      <c r="D247" t="inlineStr">
        <is>
          <t>Vanderbilt</t>
        </is>
      </c>
      <c r="E247" t="inlineStr">
        <is>
          <t>Auburn</t>
        </is>
      </c>
      <c r="F247" t="inlineStr">
        <is>
          <t>Away</t>
        </is>
      </c>
      <c r="G247" t="n">
        <v>4.44</v>
      </c>
      <c r="H247" t="n">
        <v>-9</v>
      </c>
      <c r="I247" t="n">
        <v>-10</v>
      </c>
      <c r="J247" t="n">
        <v>-13.44</v>
      </c>
      <c r="K247" t="inlineStr">
        <is>
          <t>Yes</t>
        </is>
      </c>
      <c r="L247" t="n">
        <v>-1</v>
      </c>
      <c r="M247" t="inlineStr">
        <is>
          <t>Win</t>
        </is>
      </c>
    </row>
    <row r="248">
      <c r="A248" t="inlineStr">
        <is>
          <t>open</t>
        </is>
      </c>
      <c r="B248" t="n">
        <v>2026</v>
      </c>
      <c r="C248" t="n">
        <v>4</v>
      </c>
      <c r="D248" t="inlineStr">
        <is>
          <t>Ole Miss</t>
        </is>
      </c>
      <c r="E248" t="inlineStr">
        <is>
          <t>Florida</t>
        </is>
      </c>
      <c r="F248" t="inlineStr">
        <is>
          <t>Away</t>
        </is>
      </c>
      <c r="G248" t="n">
        <v>8.17</v>
      </c>
      <c r="H248" t="n">
        <v>-2.5</v>
      </c>
      <c r="I248" t="n">
        <v>-4</v>
      </c>
      <c r="J248" t="n">
        <v>-10.67</v>
      </c>
      <c r="K248" t="inlineStr">
        <is>
          <t>Yes</t>
        </is>
      </c>
      <c r="L248" t="n">
        <v>-1.5</v>
      </c>
      <c r="M248" t="inlineStr">
        <is>
          <t>Loss</t>
        </is>
      </c>
    </row>
    <row r="249">
      <c r="A249" t="inlineStr">
        <is>
          <t>open</t>
        </is>
      </c>
      <c r="B249" t="n">
        <v>2026</v>
      </c>
      <c r="C249" t="n">
        <v>4</v>
      </c>
      <c r="D249" t="inlineStr">
        <is>
          <t>Oklahoma</t>
        </is>
      </c>
      <c r="E249" t="inlineStr">
        <is>
          <t>Georgia</t>
        </is>
      </c>
      <c r="F249" t="inlineStr">
        <is>
          <t>Away</t>
        </is>
      </c>
      <c r="G249" t="n">
        <v>-9.369999999999999</v>
      </c>
      <c r="H249" t="n">
        <v>-12</v>
      </c>
      <c r="I249" t="n">
        <v>-11.25</v>
      </c>
      <c r="J249" t="n">
        <v>-2.63</v>
      </c>
      <c r="K249" t="inlineStr">
        <is>
          <t>Yes</t>
        </is>
      </c>
      <c r="L249" t="n">
        <v>0.75</v>
      </c>
      <c r="M249" t="inlineStr">
        <is>
          <t>Loss</t>
        </is>
      </c>
    </row>
    <row r="250">
      <c r="A250" t="inlineStr">
        <is>
          <t>open</t>
        </is>
      </c>
      <c r="B250" t="n">
        <v>2026</v>
      </c>
      <c r="C250" t="n">
        <v>4</v>
      </c>
      <c r="D250" t="inlineStr">
        <is>
          <t>Texas A&amp;M</t>
        </is>
      </c>
      <c r="E250" t="inlineStr">
        <is>
          <t>LSU</t>
        </is>
      </c>
      <c r="F250" t="inlineStr">
        <is>
          <t>Away</t>
        </is>
      </c>
      <c r="G250" t="n">
        <v>-3.23</v>
      </c>
      <c r="H250" t="n">
        <v>-6.25</v>
      </c>
      <c r="I250" t="n">
        <v>-8.5</v>
      </c>
      <c r="J250" t="n">
        <v>-3.02</v>
      </c>
      <c r="K250" t="inlineStr">
        <is>
          <t>Yes</t>
        </is>
      </c>
      <c r="L250" t="n">
        <v>-2.25</v>
      </c>
      <c r="M250" t="inlineStr">
        <is>
          <t>Loss</t>
        </is>
      </c>
    </row>
    <row r="251">
      <c r="A251" t="inlineStr">
        <is>
          <t>open</t>
        </is>
      </c>
      <c r="B251" t="n">
        <v>2026</v>
      </c>
      <c r="C251" t="n">
        <v>4</v>
      </c>
      <c r="D251" t="inlineStr">
        <is>
          <t>Missouri</t>
        </is>
      </c>
      <c r="E251" t="inlineStr">
        <is>
          <t>Mississippi State</t>
        </is>
      </c>
      <c r="F251" t="inlineStr">
        <is>
          <t>Away</t>
        </is>
      </c>
      <c r="G251" t="n">
        <v>-0.22</v>
      </c>
      <c r="H251" t="n">
        <v>-3.75</v>
      </c>
      <c r="I251" t="n">
        <v>-3.5</v>
      </c>
      <c r="J251" t="n">
        <v>-3.53</v>
      </c>
      <c r="K251" t="inlineStr">
        <is>
          <t>Yes</t>
        </is>
      </c>
      <c r="L251" t="n">
        <v>0.25</v>
      </c>
      <c r="M251" t="inlineStr">
        <is>
          <t>Loss</t>
        </is>
      </c>
    </row>
    <row r="252">
      <c r="A252" t="inlineStr">
        <is>
          <t>open</t>
        </is>
      </c>
      <c r="B252" t="n">
        <v>2026</v>
      </c>
      <c r="C252" t="n">
        <v>4</v>
      </c>
      <c r="D252" t="inlineStr">
        <is>
          <t>Texas</t>
        </is>
      </c>
      <c r="E252" t="inlineStr">
        <is>
          <t>Tennessee</t>
        </is>
      </c>
      <c r="F252" t="inlineStr">
        <is>
          <t>Away</t>
        </is>
      </c>
      <c r="G252" t="n">
        <v>5.13</v>
      </c>
      <c r="H252" t="n">
        <v>5</v>
      </c>
      <c r="I252" t="n">
        <v>5.5</v>
      </c>
      <c r="J252" t="n">
        <v>-0.13</v>
      </c>
      <c r="L252" t="n">
        <v>0.5</v>
      </c>
      <c r="M252" t="inlineStr">
        <is>
          <t>Loss</t>
        </is>
      </c>
    </row>
    <row r="253">
      <c r="A253" t="inlineStr">
        <is>
          <t>open</t>
        </is>
      </c>
      <c r="B253" t="n">
        <v>2026</v>
      </c>
      <c r="C253" t="n">
        <v>4</v>
      </c>
      <c r="D253" t="inlineStr">
        <is>
          <t>Arizona</t>
        </is>
      </c>
      <c r="E253" t="inlineStr">
        <is>
          <t>Washington State</t>
        </is>
      </c>
      <c r="F253" t="inlineStr">
        <is>
          <t>Home</t>
        </is>
      </c>
      <c r="G253" t="n">
        <v>4.19</v>
      </c>
      <c r="H253" t="n">
        <v>11.75</v>
      </c>
      <c r="I253" t="n">
        <v>11.75</v>
      </c>
      <c r="J253" t="n">
        <v>7.56</v>
      </c>
      <c r="K253" t="inlineStr">
        <is>
          <t>Yes</t>
        </is>
      </c>
      <c r="L253" t="n">
        <v>0</v>
      </c>
      <c r="M253" t="inlineStr">
        <is>
          <t>Win</t>
        </is>
      </c>
    </row>
    <row r="254">
      <c r="A254" t="inlineStr">
        <is>
          <t>open</t>
        </is>
      </c>
      <c r="B254" t="n">
        <v>2026</v>
      </c>
      <c r="C254" t="n">
        <v>4</v>
      </c>
      <c r="D254" t="inlineStr">
        <is>
          <t>Sam Houston</t>
        </is>
      </c>
      <c r="E254" t="inlineStr">
        <is>
          <t>Texas Tech</t>
        </is>
      </c>
      <c r="F254" t="inlineStr">
        <is>
          <t>Home</t>
        </is>
      </c>
      <c r="G254" t="n">
        <v>-42.96</v>
      </c>
      <c r="H254" t="n">
        <v>-36.5</v>
      </c>
      <c r="I254" t="n">
        <v>-34.5</v>
      </c>
      <c r="J254" t="n">
        <v>6.46</v>
      </c>
      <c r="K254" t="inlineStr">
        <is>
          <t>Yes</t>
        </is>
      </c>
      <c r="L254" t="n">
        <v>-2</v>
      </c>
      <c r="M254" t="inlineStr">
        <is>
          <t>Loss</t>
        </is>
      </c>
    </row>
    <row r="255">
      <c r="A255" t="inlineStr">
        <is>
          <t>open</t>
        </is>
      </c>
      <c r="B255" t="n">
        <v>2026</v>
      </c>
      <c r="C255" t="n">
        <v>4</v>
      </c>
      <c r="D255" t="inlineStr">
        <is>
          <t>Houston</t>
        </is>
      </c>
      <c r="E255" t="inlineStr">
        <is>
          <t>Georgia Southern</t>
        </is>
      </c>
      <c r="F255" t="inlineStr">
        <is>
          <t>Home</t>
        </is>
      </c>
      <c r="G255" t="n">
        <v>10.81</v>
      </c>
      <c r="H255" t="n">
        <v>18.75</v>
      </c>
      <c r="I255" t="n">
        <v>17.25</v>
      </c>
      <c r="J255" t="n">
        <v>7.94</v>
      </c>
      <c r="K255" t="inlineStr">
        <is>
          <t>Yes</t>
        </is>
      </c>
      <c r="L255" t="n">
        <v>1.5</v>
      </c>
      <c r="M255" t="inlineStr">
        <is>
          <t>Win</t>
        </is>
      </c>
    </row>
    <row r="256">
      <c r="A256" t="inlineStr">
        <is>
          <t>open</t>
        </is>
      </c>
      <c r="B256" t="n">
        <v>2026</v>
      </c>
      <c r="C256" t="n">
        <v>4</v>
      </c>
      <c r="D256" t="inlineStr">
        <is>
          <t>Colorado</t>
        </is>
      </c>
      <c r="E256" t="inlineStr">
        <is>
          <t>Baylor</t>
        </is>
      </c>
      <c r="F256" t="inlineStr">
        <is>
          <t>Away</t>
        </is>
      </c>
      <c r="G256" t="n">
        <v>-8.15</v>
      </c>
      <c r="H256" t="n">
        <v>-9.25</v>
      </c>
      <c r="I256" t="n">
        <v>-8.5</v>
      </c>
      <c r="J256" t="n">
        <v>-1.1</v>
      </c>
      <c r="L256" t="n">
        <v>0.75</v>
      </c>
      <c r="M256" t="inlineStr">
        <is>
          <t>Loss</t>
        </is>
      </c>
    </row>
    <row r="257">
      <c r="A257" t="inlineStr">
        <is>
          <t>open</t>
        </is>
      </c>
      <c r="B257" t="n">
        <v>2026</v>
      </c>
      <c r="C257" t="n">
        <v>4</v>
      </c>
      <c r="D257" t="inlineStr">
        <is>
          <t>Kansas State</t>
        </is>
      </c>
      <c r="E257" t="inlineStr">
        <is>
          <t>Cincinnati</t>
        </is>
      </c>
      <c r="F257" t="inlineStr">
        <is>
          <t>Home</t>
        </is>
      </c>
      <c r="G257" t="n">
        <v>0.35</v>
      </c>
      <c r="H257" t="n">
        <v>6.25</v>
      </c>
      <c r="I257" t="n">
        <v>6</v>
      </c>
      <c r="J257" t="n">
        <v>5.9</v>
      </c>
      <c r="K257" t="inlineStr">
        <is>
          <t>Yes</t>
        </is>
      </c>
      <c r="L257" t="n">
        <v>0.25</v>
      </c>
      <c r="M257" t="inlineStr">
        <is>
          <t>Win</t>
        </is>
      </c>
    </row>
    <row r="258">
      <c r="A258" t="inlineStr">
        <is>
          <t>open</t>
        </is>
      </c>
      <c r="B258" t="n">
        <v>2026</v>
      </c>
      <c r="C258" t="n">
        <v>4</v>
      </c>
      <c r="D258" t="inlineStr">
        <is>
          <t>TCU</t>
        </is>
      </c>
      <c r="E258" t="inlineStr">
        <is>
          <t>UCF</t>
        </is>
      </c>
      <c r="F258" t="inlineStr">
        <is>
          <t>Home</t>
        </is>
      </c>
      <c r="G258" t="n">
        <v>1.05</v>
      </c>
      <c r="H258" t="n">
        <v>3</v>
      </c>
      <c r="I258" t="n">
        <v>3.5</v>
      </c>
      <c r="J258" t="n">
        <v>1.95</v>
      </c>
      <c r="L258" t="n">
        <v>-0.5</v>
      </c>
      <c r="M258" t="inlineStr">
        <is>
          <t>Win</t>
        </is>
      </c>
    </row>
    <row r="259">
      <c r="A259" t="inlineStr">
        <is>
          <t>open</t>
        </is>
      </c>
      <c r="B259" t="n">
        <v>2026</v>
      </c>
      <c r="C259" t="n">
        <v>4</v>
      </c>
      <c r="D259" t="inlineStr">
        <is>
          <t>Utah</t>
        </is>
      </c>
      <c r="E259" t="inlineStr">
        <is>
          <t>Iowa State</t>
        </is>
      </c>
      <c r="F259" t="inlineStr">
        <is>
          <t>Away</t>
        </is>
      </c>
      <c r="G259" t="n">
        <v>10.52</v>
      </c>
      <c r="H259" t="n">
        <v>10</v>
      </c>
      <c r="I259" t="n">
        <v>7.5</v>
      </c>
      <c r="J259" t="n">
        <v>-0.52</v>
      </c>
      <c r="L259" t="n">
        <v>-2.5</v>
      </c>
      <c r="M259" t="inlineStr">
        <is>
          <t>Win</t>
        </is>
      </c>
    </row>
    <row r="260">
      <c r="A260" t="inlineStr">
        <is>
          <t>open</t>
        </is>
      </c>
      <c r="B260" t="n">
        <v>2026</v>
      </c>
      <c r="C260" t="n">
        <v>4</v>
      </c>
      <c r="D260" t="inlineStr">
        <is>
          <t>Oklahoma State</t>
        </is>
      </c>
      <c r="E260" t="inlineStr">
        <is>
          <t>West Virginia</t>
        </is>
      </c>
      <c r="F260" t="inlineStr">
        <is>
          <t>Home</t>
        </is>
      </c>
      <c r="G260" t="n">
        <v>-10.08</v>
      </c>
      <c r="H260" t="n">
        <v>0.5</v>
      </c>
      <c r="I260" t="n">
        <v>-1.5</v>
      </c>
      <c r="J260" t="n">
        <v>10.58</v>
      </c>
      <c r="K260" t="inlineStr">
        <is>
          <t>Yes</t>
        </is>
      </c>
      <c r="L260" t="n">
        <v>2</v>
      </c>
      <c r="M260" t="inlineStr">
        <is>
          <t>Loss</t>
        </is>
      </c>
    </row>
    <row r="261">
      <c r="A261" t="inlineStr">
        <is>
          <t>open</t>
        </is>
      </c>
      <c r="B261" t="n">
        <v>2026</v>
      </c>
      <c r="C261" t="n">
        <v>4</v>
      </c>
      <c r="D261" t="inlineStr">
        <is>
          <t>Clemson</t>
        </is>
      </c>
      <c r="E261" t="inlineStr">
        <is>
          <t>California</t>
        </is>
      </c>
      <c r="F261" t="inlineStr">
        <is>
          <t>Away</t>
        </is>
      </c>
      <c r="G261" t="n">
        <v>3.25</v>
      </c>
      <c r="H261" t="n">
        <v>0</v>
      </c>
      <c r="I261" t="n">
        <v>2.5</v>
      </c>
      <c r="J261" t="n">
        <v>-3.25</v>
      </c>
      <c r="K261" t="inlineStr">
        <is>
          <t>Yes</t>
        </is>
      </c>
      <c r="L261" t="n">
        <v>2.5</v>
      </c>
      <c r="M261" t="inlineStr">
        <is>
          <t>Win</t>
        </is>
      </c>
    </row>
    <row r="262">
      <c r="A262" t="inlineStr">
        <is>
          <t>open</t>
        </is>
      </c>
      <c r="B262" t="n">
        <v>2026</v>
      </c>
      <c r="C262" t="n">
        <v>4</v>
      </c>
      <c r="D262" t="inlineStr">
        <is>
          <t>Central Michigan</t>
        </is>
      </c>
      <c r="E262" t="inlineStr">
        <is>
          <t>Miami</t>
        </is>
      </c>
      <c r="F262" t="inlineStr">
        <is>
          <t>Away</t>
        </is>
      </c>
      <c r="G262" t="n">
        <v>-35.15</v>
      </c>
      <c r="H262" t="n">
        <v>-40.75</v>
      </c>
      <c r="I262" t="n">
        <v>-41.25</v>
      </c>
      <c r="J262" t="n">
        <v>-5.6</v>
      </c>
      <c r="K262" t="inlineStr">
        <is>
          <t>Yes</t>
        </is>
      </c>
      <c r="L262" t="n">
        <v>-0.5</v>
      </c>
      <c r="M262" t="inlineStr">
        <is>
          <t>Loss</t>
        </is>
      </c>
    </row>
    <row r="263">
      <c r="A263" t="inlineStr">
        <is>
          <t>open</t>
        </is>
      </c>
      <c r="B263" t="n">
        <v>2026</v>
      </c>
      <c r="C263" t="n">
        <v>4</v>
      </c>
      <c r="D263" t="inlineStr">
        <is>
          <t>Delaware</t>
        </is>
      </c>
      <c r="E263" t="inlineStr">
        <is>
          <t>Virginia</t>
        </is>
      </c>
      <c r="F263" t="inlineStr">
        <is>
          <t>Home</t>
        </is>
      </c>
      <c r="G263" t="n">
        <v>-19.81</v>
      </c>
      <c r="H263" t="n">
        <v>-20.25</v>
      </c>
      <c r="I263" t="n">
        <v>-19.75</v>
      </c>
      <c r="J263" t="n">
        <v>-0.44</v>
      </c>
      <c r="L263" t="n">
        <v>-0.5</v>
      </c>
      <c r="M263" t="inlineStr">
        <is>
          <t>Win</t>
        </is>
      </c>
    </row>
    <row r="264">
      <c r="A264" t="inlineStr">
        <is>
          <t>open</t>
        </is>
      </c>
      <c r="B264" t="n">
        <v>2026</v>
      </c>
      <c r="C264" t="n">
        <v>4</v>
      </c>
      <c r="D264" t="inlineStr">
        <is>
          <t>Georgia Tech</t>
        </is>
      </c>
      <c r="E264" t="inlineStr">
        <is>
          <t>Stanford</t>
        </is>
      </c>
      <c r="F264" t="inlineStr">
        <is>
          <t>Home</t>
        </is>
      </c>
      <c r="G264" t="n">
        <v>2.45</v>
      </c>
      <c r="H264" t="n">
        <v>4</v>
      </c>
      <c r="I264" t="n">
        <v>3</v>
      </c>
      <c r="J264" t="n">
        <v>1.55</v>
      </c>
      <c r="L264" t="n">
        <v>1</v>
      </c>
      <c r="M264" t="inlineStr">
        <is>
          <t>Win</t>
        </is>
      </c>
    </row>
    <row r="265">
      <c r="A265" t="inlineStr">
        <is>
          <t>open</t>
        </is>
      </c>
      <c r="B265" t="n">
        <v>2026</v>
      </c>
      <c r="C265" t="n">
        <v>4</v>
      </c>
      <c r="D265" t="inlineStr">
        <is>
          <t>Missouri State</t>
        </is>
      </c>
      <c r="E265" t="inlineStr">
        <is>
          <t>SMU</t>
        </is>
      </c>
      <c r="F265" t="inlineStr">
        <is>
          <t>Away</t>
        </is>
      </c>
      <c r="G265" t="n">
        <v>-24.54</v>
      </c>
      <c r="H265" t="n">
        <v>-34.75</v>
      </c>
      <c r="I265" t="n">
        <v>-30.5</v>
      </c>
      <c r="J265" t="n">
        <v>-10.21</v>
      </c>
      <c r="K265" t="inlineStr">
        <is>
          <t>Yes</t>
        </is>
      </c>
      <c r="L265" t="n">
        <v>4.25</v>
      </c>
      <c r="M265" t="inlineStr">
        <is>
          <t>Win</t>
        </is>
      </c>
    </row>
    <row r="266">
      <c r="A266" t="inlineStr">
        <is>
          <t>open</t>
        </is>
      </c>
      <c r="B266" t="n">
        <v>2026</v>
      </c>
      <c r="C266" t="n">
        <v>4</v>
      </c>
      <c r="D266" t="inlineStr">
        <is>
          <t>Virginia Tech</t>
        </is>
      </c>
      <c r="E266" t="inlineStr">
        <is>
          <t>Boston College</t>
        </is>
      </c>
      <c r="F266" t="inlineStr">
        <is>
          <t>Home</t>
        </is>
      </c>
      <c r="G266" t="n">
        <v>6.63</v>
      </c>
      <c r="H266" t="n">
        <v>14</v>
      </c>
      <c r="I266" t="n">
        <v>14.5</v>
      </c>
      <c r="J266" t="n">
        <v>7.37</v>
      </c>
      <c r="K266" t="inlineStr">
        <is>
          <t>Yes</t>
        </is>
      </c>
      <c r="L266" t="n">
        <v>-0.5</v>
      </c>
      <c r="M266" t="inlineStr">
        <is>
          <t>Win</t>
        </is>
      </c>
    </row>
    <row r="267">
      <c r="A267" t="inlineStr">
        <is>
          <t>open</t>
        </is>
      </c>
      <c r="B267" t="n">
        <v>2026</v>
      </c>
      <c r="C267" t="n">
        <v>4</v>
      </c>
      <c r="D267" t="inlineStr">
        <is>
          <t>Wake Forest</t>
        </is>
      </c>
      <c r="E267" t="inlineStr">
        <is>
          <t>Louisville</t>
        </is>
      </c>
      <c r="F267" t="inlineStr">
        <is>
          <t>Away</t>
        </is>
      </c>
      <c r="G267" t="n">
        <v>-8.52</v>
      </c>
      <c r="H267" t="n">
        <v>-13</v>
      </c>
      <c r="I267" t="n">
        <v>-11.25</v>
      </c>
      <c r="J267" t="n">
        <v>-4.48</v>
      </c>
      <c r="K267" t="inlineStr">
        <is>
          <t>Yes</t>
        </is>
      </c>
      <c r="L267" t="n">
        <v>1.75</v>
      </c>
      <c r="M267" t="inlineStr">
        <is>
          <t>Win</t>
        </is>
      </c>
    </row>
    <row r="268">
      <c r="A268" t="inlineStr">
        <is>
          <t>open</t>
        </is>
      </c>
      <c r="B268" t="n">
        <v>2026</v>
      </c>
      <c r="C268" t="n">
        <v>4</v>
      </c>
      <c r="D268" t="inlineStr">
        <is>
          <t>Northwestern</t>
        </is>
      </c>
      <c r="E268" t="inlineStr">
        <is>
          <t>Indiana</t>
        </is>
      </c>
      <c r="F268" t="inlineStr">
        <is>
          <t>Home</t>
        </is>
      </c>
      <c r="G268" t="n">
        <v>-24.04</v>
      </c>
      <c r="H268" t="n">
        <v>-22.5</v>
      </c>
      <c r="I268" t="n">
        <v>-20.25</v>
      </c>
      <c r="J268" t="n">
        <v>1.54</v>
      </c>
      <c r="L268" t="n">
        <v>-2.25</v>
      </c>
      <c r="M268" t="inlineStr">
        <is>
          <t>Loss</t>
        </is>
      </c>
    </row>
    <row r="269">
      <c r="A269" t="inlineStr">
        <is>
          <t>open</t>
        </is>
      </c>
      <c r="B269" t="n">
        <v>2026</v>
      </c>
      <c r="C269" t="n">
        <v>4</v>
      </c>
      <c r="D269" t="inlineStr">
        <is>
          <t>UCLA</t>
        </is>
      </c>
      <c r="E269" t="inlineStr">
        <is>
          <t>Maryland</t>
        </is>
      </c>
      <c r="F269" t="inlineStr">
        <is>
          <t>Home</t>
        </is>
      </c>
      <c r="G269" t="n">
        <v>-2.31</v>
      </c>
      <c r="H269" t="n">
        <v>1.75</v>
      </c>
      <c r="I269" t="n">
        <v>2.5</v>
      </c>
      <c r="J269" t="n">
        <v>4.06</v>
      </c>
      <c r="K269" t="inlineStr">
        <is>
          <t>Yes</t>
        </is>
      </c>
      <c r="L269" t="n">
        <v>-0.75</v>
      </c>
      <c r="M269" t="inlineStr">
        <is>
          <t>Loss</t>
        </is>
      </c>
    </row>
    <row r="270">
      <c r="A270" t="inlineStr">
        <is>
          <t>open</t>
        </is>
      </c>
      <c r="B270" t="n">
        <v>2026</v>
      </c>
      <c r="C270" t="n">
        <v>4</v>
      </c>
      <c r="D270" t="inlineStr">
        <is>
          <t>Iowa</t>
        </is>
      </c>
      <c r="E270" t="inlineStr">
        <is>
          <t>Michigan</t>
        </is>
      </c>
      <c r="F270" t="inlineStr">
        <is>
          <t>Away</t>
        </is>
      </c>
      <c r="G270" t="n">
        <v>2.25</v>
      </c>
      <c r="H270" t="n">
        <v>-4.25</v>
      </c>
      <c r="I270" t="n">
        <v>-4.75</v>
      </c>
      <c r="J270" t="n">
        <v>-6.5</v>
      </c>
      <c r="K270" t="inlineStr">
        <is>
          <t>Yes</t>
        </is>
      </c>
      <c r="L270" t="n">
        <v>-0.5</v>
      </c>
      <c r="M270" t="inlineStr">
        <is>
          <t>Win</t>
        </is>
      </c>
    </row>
    <row r="271">
      <c r="A271" t="inlineStr">
        <is>
          <t>open</t>
        </is>
      </c>
      <c r="B271" t="n">
        <v>2026</v>
      </c>
      <c r="C271" t="n">
        <v>4</v>
      </c>
      <c r="D271" t="inlineStr">
        <is>
          <t>Nebraska</t>
        </is>
      </c>
      <c r="E271" t="inlineStr">
        <is>
          <t>Michigan State</t>
        </is>
      </c>
      <c r="F271" t="inlineStr">
        <is>
          <t>Home</t>
        </is>
      </c>
      <c r="G271" t="n">
        <v>1.03</v>
      </c>
      <c r="H271" t="n">
        <v>5.5</v>
      </c>
      <c r="I271" t="n">
        <v>6</v>
      </c>
      <c r="J271" t="n">
        <v>4.47</v>
      </c>
      <c r="K271" t="inlineStr">
        <is>
          <t>Yes</t>
        </is>
      </c>
      <c r="L271" t="n">
        <v>-0.5</v>
      </c>
      <c r="M271" t="inlineStr">
        <is>
          <t>Loss</t>
        </is>
      </c>
    </row>
    <row r="272">
      <c r="A272" t="inlineStr">
        <is>
          <t>open</t>
        </is>
      </c>
      <c r="B272" t="n">
        <v>2026</v>
      </c>
      <c r="C272" t="n">
        <v>4</v>
      </c>
      <c r="D272" t="inlineStr">
        <is>
          <t>Illinois</t>
        </is>
      </c>
      <c r="E272" t="inlineStr">
        <is>
          <t>Ohio State</t>
        </is>
      </c>
      <c r="F272" t="inlineStr">
        <is>
          <t>Away</t>
        </is>
      </c>
      <c r="G272" t="n">
        <v>-22.88</v>
      </c>
      <c r="H272" t="n">
        <v>-27.25</v>
      </c>
      <c r="I272" t="n">
        <v>-25.5</v>
      </c>
      <c r="J272" t="n">
        <v>-4.37</v>
      </c>
      <c r="K272" t="inlineStr">
        <is>
          <t>Yes</t>
        </is>
      </c>
      <c r="L272" t="n">
        <v>1.75</v>
      </c>
      <c r="M272" t="inlineStr">
        <is>
          <t>Win</t>
        </is>
      </c>
    </row>
    <row r="273">
      <c r="A273" t="inlineStr">
        <is>
          <t>open</t>
        </is>
      </c>
      <c r="B273" t="n">
        <v>2026</v>
      </c>
      <c r="C273" t="n">
        <v>4</v>
      </c>
      <c r="D273" t="inlineStr">
        <is>
          <t>Wisconsin</t>
        </is>
      </c>
      <c r="E273" t="inlineStr">
        <is>
          <t>Penn State</t>
        </is>
      </c>
      <c r="F273" t="inlineStr">
        <is>
          <t>Home</t>
        </is>
      </c>
      <c r="G273" t="n">
        <v>-15.07</v>
      </c>
      <c r="H273" t="n">
        <v>-10.75</v>
      </c>
      <c r="I273" t="n">
        <v>-9.75</v>
      </c>
      <c r="J273" t="n">
        <v>4.32</v>
      </c>
      <c r="K273" t="inlineStr">
        <is>
          <t>Yes</t>
        </is>
      </c>
      <c r="L273" t="n">
        <v>-1</v>
      </c>
      <c r="M273" t="inlineStr">
        <is>
          <t>Loss</t>
        </is>
      </c>
    </row>
    <row r="274">
      <c r="A274" t="inlineStr">
        <is>
          <t>open</t>
        </is>
      </c>
      <c r="B274" t="n">
        <v>2026</v>
      </c>
      <c r="C274" t="n">
        <v>4</v>
      </c>
      <c r="D274" t="inlineStr">
        <is>
          <t>Notre Dame</t>
        </is>
      </c>
      <c r="E274" t="inlineStr">
        <is>
          <t>Purdue</t>
        </is>
      </c>
      <c r="F274" t="inlineStr">
        <is>
          <t>Away</t>
        </is>
      </c>
      <c r="G274" t="n">
        <v>28.67</v>
      </c>
      <c r="H274" t="n">
        <v>27</v>
      </c>
      <c r="I274" t="n">
        <v>27.5</v>
      </c>
      <c r="J274" t="n">
        <v>-1.67</v>
      </c>
      <c r="L274" t="n">
        <v>0.5</v>
      </c>
      <c r="M274" t="inlineStr">
        <is>
          <t>Win</t>
        </is>
      </c>
    </row>
    <row r="275">
      <c r="A275" t="inlineStr">
        <is>
          <t>open</t>
        </is>
      </c>
      <c r="B275" t="n">
        <v>2026</v>
      </c>
      <c r="C275" t="n">
        <v>4</v>
      </c>
      <c r="D275" t="inlineStr">
        <is>
          <t>Oregon</t>
        </is>
      </c>
      <c r="E275" t="inlineStr">
        <is>
          <t>USC</t>
        </is>
      </c>
      <c r="F275" t="inlineStr">
        <is>
          <t>Home</t>
        </is>
      </c>
      <c r="G275" t="n">
        <v>1.89</v>
      </c>
      <c r="H275" t="n">
        <v>4</v>
      </c>
      <c r="I275" t="n">
        <v>3.5</v>
      </c>
      <c r="J275" t="n">
        <v>2.11</v>
      </c>
      <c r="K275" t="inlineStr">
        <is>
          <t>Yes</t>
        </is>
      </c>
      <c r="L275" t="n">
        <v>0.5</v>
      </c>
      <c r="M275" t="inlineStr">
        <is>
          <t>Loss</t>
        </is>
      </c>
    </row>
    <row r="276">
      <c r="A276" t="inlineStr">
        <is>
          <t>open</t>
        </is>
      </c>
      <c r="B276" t="n">
        <v>2026</v>
      </c>
      <c r="C276" t="n">
        <v>4</v>
      </c>
      <c r="D276" t="inlineStr">
        <is>
          <t>Minnesota</t>
        </is>
      </c>
      <c r="E276" t="inlineStr">
        <is>
          <t>Washington</t>
        </is>
      </c>
      <c r="F276" t="inlineStr">
        <is>
          <t>Home</t>
        </is>
      </c>
      <c r="G276" t="n">
        <v>-12.26</v>
      </c>
      <c r="H276" t="n">
        <v>-9.25</v>
      </c>
      <c r="I276" t="n">
        <v>-12.25</v>
      </c>
      <c r="J276" t="n">
        <v>3.01</v>
      </c>
      <c r="K276" t="inlineStr">
        <is>
          <t>Yes</t>
        </is>
      </c>
      <c r="L276" t="n">
        <v>3</v>
      </c>
      <c r="M276" t="inlineStr">
        <is>
          <t>Loss</t>
        </is>
      </c>
    </row>
    <row r="277">
      <c r="A277" t="inlineStr">
        <is>
          <t>open</t>
        </is>
      </c>
      <c r="B277" t="n">
        <v>2026</v>
      </c>
      <c r="C277" t="n">
        <v>4</v>
      </c>
      <c r="D277" t="inlineStr">
        <is>
          <t>Rice</t>
        </is>
      </c>
      <c r="E277" t="inlineStr">
        <is>
          <t>Fresno State</t>
        </is>
      </c>
      <c r="F277" t="inlineStr">
        <is>
          <t>Home</t>
        </is>
      </c>
      <c r="G277" t="n">
        <v>-12.82</v>
      </c>
      <c r="H277" t="n">
        <v>-13.75</v>
      </c>
      <c r="I277" t="n">
        <v>-12.25</v>
      </c>
      <c r="J277" t="n">
        <v>-0.93</v>
      </c>
      <c r="L277" t="n">
        <v>-1.5</v>
      </c>
      <c r="M277" t="inlineStr">
        <is>
          <t>Win</t>
        </is>
      </c>
    </row>
    <row r="278">
      <c r="A278" t="inlineStr">
        <is>
          <t>open</t>
        </is>
      </c>
      <c r="B278" t="n">
        <v>2026</v>
      </c>
      <c r="C278" t="n">
        <v>4</v>
      </c>
      <c r="D278" t="inlineStr">
        <is>
          <t>San Diego State</t>
        </is>
      </c>
      <c r="E278" t="inlineStr">
        <is>
          <t>Toledo</t>
        </is>
      </c>
      <c r="F278" t="inlineStr">
        <is>
          <t>Home</t>
        </is>
      </c>
      <c r="G278" t="n">
        <v>-4.82</v>
      </c>
      <c r="H278" t="n">
        <v>-0.5</v>
      </c>
      <c r="I278" t="n">
        <v>-2.75</v>
      </c>
      <c r="J278" t="n">
        <v>4.32</v>
      </c>
      <c r="K278" t="inlineStr">
        <is>
          <t>Yes</t>
        </is>
      </c>
      <c r="L278" t="n">
        <v>2.25</v>
      </c>
      <c r="M278" t="inlineStr">
        <is>
          <t>Win</t>
        </is>
      </c>
    </row>
    <row r="279">
      <c r="A279" t="inlineStr">
        <is>
          <t>open</t>
        </is>
      </c>
      <c r="B279" t="n">
        <v>2026</v>
      </c>
      <c r="C279" t="n">
        <v>4</v>
      </c>
      <c r="D279" t="inlineStr">
        <is>
          <t>Troy</t>
        </is>
      </c>
      <c r="E279" t="inlineStr">
        <is>
          <t>Utah State</t>
        </is>
      </c>
      <c r="F279" t="inlineStr">
        <is>
          <t>Home</t>
        </is>
      </c>
      <c r="G279" t="n">
        <v>-11.5</v>
      </c>
      <c r="H279" t="n">
        <v>-2.5</v>
      </c>
      <c r="I279" t="n">
        <v>-3</v>
      </c>
      <c r="J279" t="n">
        <v>9</v>
      </c>
      <c r="K279" t="inlineStr">
        <is>
          <t>Yes</t>
        </is>
      </c>
      <c r="L279" t="n">
        <v>0.5</v>
      </c>
      <c r="M279" t="inlineStr">
        <is>
          <t>Win</t>
        </is>
      </c>
    </row>
    <row r="280">
      <c r="A280" t="inlineStr">
        <is>
          <t>open</t>
        </is>
      </c>
      <c r="B280" t="n">
        <v>2026</v>
      </c>
      <c r="C280" t="n">
        <v>4</v>
      </c>
      <c r="D280" t="inlineStr">
        <is>
          <t>Oregon State</t>
        </is>
      </c>
      <c r="E280" t="inlineStr">
        <is>
          <t>UTEP</t>
        </is>
      </c>
      <c r="F280" t="inlineStr">
        <is>
          <t>Away</t>
        </is>
      </c>
      <c r="G280" t="n">
        <v>12.19</v>
      </c>
      <c r="H280" t="n">
        <v>11.75</v>
      </c>
      <c r="I280" t="n">
        <v>11.5</v>
      </c>
      <c r="J280" t="n">
        <v>-0.44</v>
      </c>
      <c r="L280" t="n">
        <v>-0.25</v>
      </c>
      <c r="M280" t="inlineStr">
        <is>
          <t>Win</t>
        </is>
      </c>
    </row>
    <row r="281">
      <c r="A281" t="inlineStr">
        <is>
          <t>open</t>
        </is>
      </c>
      <c r="B281" t="n">
        <v>2026</v>
      </c>
      <c r="C281" t="n">
        <v>4</v>
      </c>
      <c r="D281" t="inlineStr">
        <is>
          <t>Colorado State</t>
        </is>
      </c>
      <c r="E281" t="inlineStr">
        <is>
          <t>UTSA</t>
        </is>
      </c>
      <c r="F281" t="inlineStr">
        <is>
          <t>Home</t>
        </is>
      </c>
      <c r="G281" t="n">
        <v>-20.87</v>
      </c>
      <c r="H281" t="n">
        <v>-12</v>
      </c>
      <c r="I281" t="n">
        <v>-14.25</v>
      </c>
      <c r="J281" t="n">
        <v>8.869999999999999</v>
      </c>
      <c r="K281" t="inlineStr">
        <is>
          <t>Yes</t>
        </is>
      </c>
      <c r="L281" t="n">
        <v>2.25</v>
      </c>
      <c r="M281" t="inlineStr">
        <is>
          <t>Win</t>
        </is>
      </c>
    </row>
    <row r="282">
      <c r="A282" t="inlineStr">
        <is>
          <t>open</t>
        </is>
      </c>
      <c r="B282" t="n">
        <v>2026</v>
      </c>
      <c r="C282" t="n">
        <v>4</v>
      </c>
      <c r="D282" t="inlineStr">
        <is>
          <t>Boise State</t>
        </is>
      </c>
      <c r="E282" t="inlineStr">
        <is>
          <t>Western Michigan</t>
        </is>
      </c>
      <c r="F282" t="inlineStr">
        <is>
          <t>Home</t>
        </is>
      </c>
      <c r="G282" t="n">
        <v>-0.4</v>
      </c>
      <c r="H282" t="n">
        <v>7.25</v>
      </c>
      <c r="I282" t="n">
        <v>8.5</v>
      </c>
      <c r="J282" t="n">
        <v>7.65</v>
      </c>
      <c r="K282" t="inlineStr">
        <is>
          <t>Yes</t>
        </is>
      </c>
      <c r="L282" t="n">
        <v>-1.25</v>
      </c>
      <c r="M282" t="inlineStr">
        <is>
          <t>Loss</t>
        </is>
      </c>
    </row>
    <row r="283">
      <c r="A283" t="inlineStr">
        <is>
          <t>open</t>
        </is>
      </c>
      <c r="B283" t="n">
        <v>2026</v>
      </c>
      <c r="C283" t="n">
        <v>4</v>
      </c>
      <c r="D283" t="inlineStr">
        <is>
          <t>UConn</t>
        </is>
      </c>
      <c r="E283" t="inlineStr">
        <is>
          <t>Miami (OH)</t>
        </is>
      </c>
      <c r="F283" t="inlineStr">
        <is>
          <t>Away</t>
        </is>
      </c>
      <c r="G283" t="n">
        <v>4.07</v>
      </c>
      <c r="H283" t="n">
        <v>-3.75</v>
      </c>
      <c r="I283" t="n">
        <v>-2.5</v>
      </c>
      <c r="J283" t="n">
        <v>-7.82</v>
      </c>
      <c r="K283" t="inlineStr">
        <is>
          <t>Yes</t>
        </is>
      </c>
      <c r="L283" t="n">
        <v>1.25</v>
      </c>
      <c r="M283" t="inlineStr">
        <is>
          <t>Win</t>
        </is>
      </c>
    </row>
    <row r="284">
      <c r="A284" t="inlineStr">
        <is>
          <t>open</t>
        </is>
      </c>
      <c r="B284" t="n">
        <v>2026</v>
      </c>
      <c r="C284" t="n">
        <v>4</v>
      </c>
      <c r="D284" t="inlineStr">
        <is>
          <t>Navy</t>
        </is>
      </c>
      <c r="E284" t="inlineStr">
        <is>
          <t>UAB</t>
        </is>
      </c>
      <c r="F284" t="inlineStr">
        <is>
          <t>Away</t>
        </is>
      </c>
      <c r="G284" t="n">
        <v>12.18</v>
      </c>
      <c r="H284" t="n">
        <v>9.25</v>
      </c>
      <c r="I284" t="n">
        <v>6.5</v>
      </c>
      <c r="J284" t="n">
        <v>-2.93</v>
      </c>
      <c r="K284" t="inlineStr">
        <is>
          <t>Yes</t>
        </is>
      </c>
      <c r="L284" t="n">
        <v>-2.75</v>
      </c>
      <c r="M284" t="inlineStr">
        <is>
          <t>Loss</t>
        </is>
      </c>
    </row>
    <row r="285">
      <c r="A285" t="inlineStr">
        <is>
          <t>open</t>
        </is>
      </c>
      <c r="B285" t="n">
        <v>2026</v>
      </c>
      <c r="C285" t="n">
        <v>4</v>
      </c>
      <c r="D285" t="inlineStr">
        <is>
          <t>Army</t>
        </is>
      </c>
      <c r="E285" t="inlineStr">
        <is>
          <t>Temple</t>
        </is>
      </c>
      <c r="F285" t="inlineStr">
        <is>
          <t>Away</t>
        </is>
      </c>
      <c r="G285" t="n">
        <v>3.29</v>
      </c>
      <c r="H285" t="n">
        <v>3</v>
      </c>
      <c r="I285" t="n">
        <v>4</v>
      </c>
      <c r="J285" t="n">
        <v>-0.29</v>
      </c>
      <c r="L285" t="n">
        <v>1</v>
      </c>
      <c r="M285" t="inlineStr">
        <is>
          <t>Win</t>
        </is>
      </c>
    </row>
    <row r="286">
      <c r="A286" t="inlineStr">
        <is>
          <t>open</t>
        </is>
      </c>
      <c r="B286" t="n">
        <v>2026</v>
      </c>
      <c r="C286" t="n">
        <v>4</v>
      </c>
      <c r="D286" t="inlineStr">
        <is>
          <t>Louisiana</t>
        </is>
      </c>
      <c r="E286" t="inlineStr">
        <is>
          <t>Charlotte</t>
        </is>
      </c>
      <c r="F286" t="inlineStr">
        <is>
          <t>Home</t>
        </is>
      </c>
      <c r="G286" t="n">
        <v>6.85</v>
      </c>
      <c r="H286" t="n">
        <v>12.25</v>
      </c>
      <c r="I286" t="n">
        <v>9.25</v>
      </c>
      <c r="J286" t="n">
        <v>5.4</v>
      </c>
      <c r="K286" t="inlineStr">
        <is>
          <t>Yes</t>
        </is>
      </c>
      <c r="L286" t="n">
        <v>3</v>
      </c>
      <c r="M286" t="inlineStr">
        <is>
          <t>Loss</t>
        </is>
      </c>
    </row>
    <row r="287">
      <c r="A287" t="inlineStr">
        <is>
          <t>open</t>
        </is>
      </c>
      <c r="B287" t="n">
        <v>2026</v>
      </c>
      <c r="C287" t="n">
        <v>4</v>
      </c>
      <c r="D287" t="inlineStr">
        <is>
          <t>Florida Atlantic</t>
        </is>
      </c>
      <c r="E287" t="inlineStr">
        <is>
          <t>UL Monroe</t>
        </is>
      </c>
      <c r="F287" t="inlineStr">
        <is>
          <t>Home</t>
        </is>
      </c>
      <c r="G287" t="n">
        <v>8.65</v>
      </c>
      <c r="H287" t="n">
        <v>13.5</v>
      </c>
      <c r="I287" t="n">
        <v>11.5</v>
      </c>
      <c r="J287" t="n">
        <v>4.85</v>
      </c>
      <c r="K287" t="inlineStr">
        <is>
          <t>Yes</t>
        </is>
      </c>
      <c r="L287" t="n">
        <v>2</v>
      </c>
      <c r="M287" t="inlineStr">
        <is>
          <t>Loss</t>
        </is>
      </c>
    </row>
    <row r="288">
      <c r="A288" t="inlineStr">
        <is>
          <t>open</t>
        </is>
      </c>
      <c r="B288" t="n">
        <v>2026</v>
      </c>
      <c r="C288" t="n">
        <v>4</v>
      </c>
      <c r="D288" t="inlineStr">
        <is>
          <t>Southern Miss</t>
        </is>
      </c>
      <c r="E288" t="inlineStr">
        <is>
          <t>Tulane</t>
        </is>
      </c>
      <c r="F288" t="inlineStr">
        <is>
          <t>Away</t>
        </is>
      </c>
      <c r="G288" t="n">
        <v>-16.11</v>
      </c>
      <c r="H288" t="n">
        <v>-17.75</v>
      </c>
      <c r="I288" t="n">
        <v>-17.75</v>
      </c>
      <c r="J288" t="n">
        <v>-1.64</v>
      </c>
      <c r="L288" t="n">
        <v>0</v>
      </c>
      <c r="M288" t="inlineStr">
        <is>
          <t>Win</t>
        </is>
      </c>
    </row>
    <row r="289">
      <c r="A289" t="inlineStr">
        <is>
          <t>open</t>
        </is>
      </c>
      <c r="B289" t="n">
        <v>2026</v>
      </c>
      <c r="C289" t="n">
        <v>4</v>
      </c>
      <c r="D289" t="inlineStr">
        <is>
          <t>South Florida</t>
        </is>
      </c>
      <c r="E289" t="inlineStr">
        <is>
          <t>Bowling Green</t>
        </is>
      </c>
      <c r="F289" t="inlineStr">
        <is>
          <t>Away</t>
        </is>
      </c>
      <c r="G289" t="n">
        <v>16.37</v>
      </c>
      <c r="H289" t="n">
        <v>16.5</v>
      </c>
      <c r="I289" t="n">
        <v>17.75</v>
      </c>
      <c r="J289" t="n">
        <v>0.13</v>
      </c>
      <c r="L289" t="n">
        <v>1.25</v>
      </c>
      <c r="M289" t="inlineStr">
        <is>
          <t>Loss</t>
        </is>
      </c>
    </row>
    <row r="290">
      <c r="A290" t="inlineStr">
        <is>
          <t>open</t>
        </is>
      </c>
      <c r="B290" t="n">
        <v>2026</v>
      </c>
      <c r="C290" t="n">
        <v>4</v>
      </c>
      <c r="D290" t="inlineStr">
        <is>
          <t>Air Force</t>
        </is>
      </c>
      <c r="E290" t="inlineStr">
        <is>
          <t>Nevada</t>
        </is>
      </c>
      <c r="F290" t="inlineStr">
        <is>
          <t>Away</t>
        </is>
      </c>
      <c r="G290" t="n">
        <v>4.01</v>
      </c>
      <c r="H290" t="n">
        <v>4.25</v>
      </c>
      <c r="I290" t="n">
        <v>5.25</v>
      </c>
      <c r="J290" t="n">
        <v>0.24</v>
      </c>
      <c r="L290" t="n">
        <v>1</v>
      </c>
      <c r="M290" t="inlineStr">
        <is>
          <t>Loss</t>
        </is>
      </c>
    </row>
    <row r="291">
      <c r="A291" t="inlineStr">
        <is>
          <t>open</t>
        </is>
      </c>
      <c r="B291" t="n">
        <v>2026</v>
      </c>
      <c r="C291" t="n">
        <v>4</v>
      </c>
      <c r="D291" t="inlineStr">
        <is>
          <t>Hawai'i</t>
        </is>
      </c>
      <c r="E291" t="inlineStr">
        <is>
          <t>Wyoming</t>
        </is>
      </c>
      <c r="F291" t="inlineStr">
        <is>
          <t>Home</t>
        </is>
      </c>
      <c r="G291" t="n">
        <v>0.34</v>
      </c>
      <c r="H291" t="n">
        <v>4.25</v>
      </c>
      <c r="I291" t="n">
        <v>2.25</v>
      </c>
      <c r="J291" t="n">
        <v>3.91</v>
      </c>
      <c r="K291" t="inlineStr">
        <is>
          <t>Yes</t>
        </is>
      </c>
      <c r="L291" t="n">
        <v>2</v>
      </c>
      <c r="M291" t="inlineStr">
        <is>
          <t>Win</t>
        </is>
      </c>
    </row>
    <row r="292">
      <c r="A292" t="inlineStr">
        <is>
          <t>open</t>
        </is>
      </c>
      <c r="B292" t="n">
        <v>2026</v>
      </c>
      <c r="C292" t="n">
        <v>4</v>
      </c>
      <c r="D292" t="inlineStr">
        <is>
          <t>Northern Illinois</t>
        </is>
      </c>
      <c r="E292" t="inlineStr">
        <is>
          <t>Georgia State</t>
        </is>
      </c>
      <c r="F292" t="inlineStr">
        <is>
          <t>Home</t>
        </is>
      </c>
      <c r="G292" t="n">
        <v>-8.539999999999999</v>
      </c>
      <c r="H292" t="n">
        <v>-9.25</v>
      </c>
      <c r="I292" t="n">
        <v>-8.75</v>
      </c>
      <c r="J292" t="n">
        <v>-0.71</v>
      </c>
      <c r="L292" t="n">
        <v>-0.5</v>
      </c>
      <c r="M292" t="inlineStr">
        <is>
          <t>Win</t>
        </is>
      </c>
    </row>
    <row r="293">
      <c r="A293" t="inlineStr">
        <is>
          <t>open</t>
        </is>
      </c>
      <c r="B293" t="n">
        <v>2026</v>
      </c>
      <c r="C293" t="n">
        <v>4</v>
      </c>
      <c r="D293" t="inlineStr">
        <is>
          <t>UNLV</t>
        </is>
      </c>
      <c r="E293" t="inlineStr">
        <is>
          <t>Akron</t>
        </is>
      </c>
      <c r="F293" t="inlineStr">
        <is>
          <t>Home</t>
        </is>
      </c>
      <c r="G293" t="n">
        <v>5.02</v>
      </c>
      <c r="H293" t="n">
        <v>13.75</v>
      </c>
      <c r="I293" t="n">
        <v>13.5</v>
      </c>
      <c r="J293" t="n">
        <v>8.73</v>
      </c>
      <c r="K293" t="inlineStr">
        <is>
          <t>Yes</t>
        </is>
      </c>
      <c r="L293" t="n">
        <v>0.25</v>
      </c>
      <c r="M293" t="inlineStr">
        <is>
          <t>Loss</t>
        </is>
      </c>
    </row>
    <row r="294">
      <c r="A294" t="inlineStr">
        <is>
          <t>open</t>
        </is>
      </c>
      <c r="B294" t="n">
        <v>2026</v>
      </c>
      <c r="C294" t="n">
        <v>4</v>
      </c>
      <c r="D294" t="inlineStr">
        <is>
          <t>App State</t>
        </is>
      </c>
      <c r="E294" t="inlineStr">
        <is>
          <t>NC State</t>
        </is>
      </c>
      <c r="F294" t="inlineStr">
        <is>
          <t>Home</t>
        </is>
      </c>
      <c r="G294" t="n">
        <v>-19.88</v>
      </c>
      <c r="H294" t="n">
        <v>-13.75</v>
      </c>
      <c r="I294" t="n">
        <v>-12.75</v>
      </c>
      <c r="J294" t="n">
        <v>6.13</v>
      </c>
      <c r="K294" t="inlineStr">
        <is>
          <t>Yes</t>
        </is>
      </c>
      <c r="L294" t="n">
        <v>-1</v>
      </c>
      <c r="M294" t="inlineStr">
        <is>
          <t>Loss</t>
        </is>
      </c>
    </row>
    <row r="295">
      <c r="A295" t="inlineStr">
        <is>
          <t>open</t>
        </is>
      </c>
      <c r="B295" t="n">
        <v>2026</v>
      </c>
      <c r="C295" t="n">
        <v>4</v>
      </c>
      <c r="D295" t="inlineStr">
        <is>
          <t>South Alabama</t>
        </is>
      </c>
      <c r="E295" t="inlineStr">
        <is>
          <t>Kentucky</t>
        </is>
      </c>
      <c r="F295" t="inlineStr">
        <is>
          <t>Away</t>
        </is>
      </c>
      <c r="G295" t="n">
        <v>-17.05</v>
      </c>
      <c r="H295" t="n">
        <v>-20.25</v>
      </c>
      <c r="I295" t="n">
        <v>-20.5</v>
      </c>
      <c r="J295" t="n">
        <v>-3.2</v>
      </c>
      <c r="K295" t="inlineStr">
        <is>
          <t>Yes</t>
        </is>
      </c>
      <c r="L295" t="n">
        <v>-0.25</v>
      </c>
      <c r="M295" t="inlineStr">
        <is>
          <t>Loss</t>
        </is>
      </c>
    </row>
    <row r="296">
      <c r="A296" t="inlineStr">
        <is>
          <t>open</t>
        </is>
      </c>
      <c r="B296" t="n">
        <v>2026</v>
      </c>
      <c r="C296" t="n">
        <v>4</v>
      </c>
      <c r="D296" t="inlineStr">
        <is>
          <t>New Mexico</t>
        </is>
      </c>
      <c r="E296" t="inlineStr">
        <is>
          <t>New Mexico State</t>
        </is>
      </c>
      <c r="F296" t="inlineStr">
        <is>
          <t>Away</t>
        </is>
      </c>
      <c r="G296" t="n">
        <v>13.83</v>
      </c>
      <c r="H296" t="n">
        <v>12.25</v>
      </c>
      <c r="I296" t="n">
        <v>11.5</v>
      </c>
      <c r="J296" t="n">
        <v>-1.58</v>
      </c>
      <c r="L296" t="n">
        <v>-0.75</v>
      </c>
      <c r="M296" t="inlineStr">
        <is>
          <t>Win</t>
        </is>
      </c>
    </row>
    <row r="297">
      <c r="A297" t="inlineStr">
        <is>
          <t>open</t>
        </is>
      </c>
      <c r="B297" t="n">
        <v>2026</v>
      </c>
      <c r="C297" t="n">
        <v>4</v>
      </c>
      <c r="D297" t="inlineStr">
        <is>
          <t>Ball State</t>
        </is>
      </c>
      <c r="E297" t="inlineStr">
        <is>
          <t>Kent State</t>
        </is>
      </c>
      <c r="F297" t="inlineStr">
        <is>
          <t>Home</t>
        </is>
      </c>
      <c r="G297" t="n">
        <v>-11.9</v>
      </c>
      <c r="H297" t="n">
        <v>-3.75</v>
      </c>
      <c r="I297" t="n">
        <v>-2.5</v>
      </c>
      <c r="J297" t="n">
        <v>8.15</v>
      </c>
      <c r="K297" t="inlineStr">
        <is>
          <t>Yes</t>
        </is>
      </c>
      <c r="L297" t="n">
        <v>-1.25</v>
      </c>
      <c r="M297" t="inlineStr">
        <is>
          <t>Win</t>
        </is>
      </c>
    </row>
    <row r="298">
      <c r="A298" t="inlineStr">
        <is>
          <t>open</t>
        </is>
      </c>
      <c r="B298" t="n">
        <v>2026</v>
      </c>
      <c r="C298" t="n">
        <v>4</v>
      </c>
      <c r="D298" t="inlineStr">
        <is>
          <t>Massachusetts</t>
        </is>
      </c>
      <c r="E298" t="inlineStr">
        <is>
          <t>Sacramento State</t>
        </is>
      </c>
      <c r="F298" t="inlineStr">
        <is>
          <t>Home</t>
        </is>
      </c>
      <c r="G298" t="n">
        <v>-4.97</v>
      </c>
      <c r="H298" t="n">
        <v>6</v>
      </c>
      <c r="I298" t="n">
        <v>6</v>
      </c>
      <c r="J298" t="n">
        <v>10.97</v>
      </c>
      <c r="K298" t="inlineStr">
        <is>
          <t>Yes</t>
        </is>
      </c>
      <c r="L298" t="n">
        <v>0</v>
      </c>
      <c r="M298" t="inlineStr">
        <is>
          <t>Loss</t>
        </is>
      </c>
    </row>
    <row r="299">
      <c r="A299" t="inlineStr">
        <is>
          <t>open</t>
        </is>
      </c>
      <c r="B299" t="n">
        <v>2026</v>
      </c>
      <c r="C299" t="n">
        <v>4</v>
      </c>
      <c r="D299" t="inlineStr">
        <is>
          <t>Kennesaw State</t>
        </is>
      </c>
      <c r="E299" t="inlineStr">
        <is>
          <t>Arkansas State</t>
        </is>
      </c>
      <c r="F299" t="inlineStr">
        <is>
          <t>Away</t>
        </is>
      </c>
      <c r="G299" t="n">
        <v>-3.66</v>
      </c>
      <c r="H299" t="n">
        <v>-4.75</v>
      </c>
      <c r="I299" t="n">
        <v>-6.5</v>
      </c>
      <c r="J299" t="n">
        <v>-1.09</v>
      </c>
      <c r="L299" t="n">
        <v>-1.75</v>
      </c>
      <c r="M299" t="inlineStr">
        <is>
          <t>Win</t>
        </is>
      </c>
    </row>
    <row r="300">
      <c r="A300" t="inlineStr">
        <is>
          <t>open</t>
        </is>
      </c>
      <c r="B300" t="n">
        <v>2026</v>
      </c>
      <c r="C300" t="n">
        <v>4</v>
      </c>
      <c r="D300" t="inlineStr">
        <is>
          <t>Liberty</t>
        </is>
      </c>
      <c r="E300" t="inlineStr">
        <is>
          <t>Coastal Carolina</t>
        </is>
      </c>
      <c r="F300" t="inlineStr">
        <is>
          <t>Away</t>
        </is>
      </c>
      <c r="G300" t="n">
        <v>2.15</v>
      </c>
      <c r="H300" t="n">
        <v>0.5</v>
      </c>
      <c r="I300" t="n">
        <v>2.5</v>
      </c>
      <c r="J300" t="n">
        <v>-1.65</v>
      </c>
      <c r="L300" t="n">
        <v>2</v>
      </c>
      <c r="M300" t="inlineStr">
        <is>
          <t>Win</t>
        </is>
      </c>
    </row>
    <row r="301">
      <c r="A301" t="inlineStr">
        <is>
          <t>open</t>
        </is>
      </c>
      <c r="B301" t="n">
        <v>2026</v>
      </c>
      <c r="C301" t="n">
        <v>4</v>
      </c>
      <c r="D301" t="inlineStr">
        <is>
          <t>James Madison</t>
        </is>
      </c>
      <c r="E301" t="inlineStr">
        <is>
          <t>Old Dominion</t>
        </is>
      </c>
      <c r="F301" t="inlineStr">
        <is>
          <t>Home</t>
        </is>
      </c>
      <c r="G301" t="n">
        <v>-4.75</v>
      </c>
      <c r="H301" t="n">
        <v>4.75</v>
      </c>
      <c r="I301" t="n">
        <v>7</v>
      </c>
      <c r="J301" t="n">
        <v>9.5</v>
      </c>
      <c r="K301" t="inlineStr">
        <is>
          <t>Yes</t>
        </is>
      </c>
      <c r="L301" t="n">
        <v>-2.25</v>
      </c>
      <c r="M301" t="inlineStr">
        <is>
          <t>Loss</t>
        </is>
      </c>
    </row>
    <row r="302">
      <c r="A302" t="inlineStr">
        <is>
          <t>open</t>
        </is>
      </c>
      <c r="B302" t="n">
        <v>2026</v>
      </c>
      <c r="C302" t="n">
        <v>4</v>
      </c>
      <c r="D302" t="inlineStr">
        <is>
          <t>Middle Tennessee</t>
        </is>
      </c>
      <c r="E302" t="inlineStr">
        <is>
          <t>Jacksonville State</t>
        </is>
      </c>
      <c r="F302" t="inlineStr">
        <is>
          <t>Home</t>
        </is>
      </c>
      <c r="G302" t="n">
        <v>-11.85</v>
      </c>
      <c r="H302" t="n">
        <v>-9</v>
      </c>
      <c r="I302" t="n">
        <v>-7</v>
      </c>
      <c r="J302" t="n">
        <v>2.85</v>
      </c>
      <c r="K302" t="inlineStr">
        <is>
          <t>Yes</t>
        </is>
      </c>
      <c r="L302" t="n">
        <v>-2</v>
      </c>
      <c r="M302" t="inlineStr">
        <is>
          <t>Win</t>
        </is>
      </c>
    </row>
    <row r="303">
      <c r="A303" t="inlineStr">
        <is>
          <t>open</t>
        </is>
      </c>
      <c r="B303" t="n">
        <v>2026</v>
      </c>
      <c r="C303" t="n">
        <v>3</v>
      </c>
      <c r="D303" t="inlineStr">
        <is>
          <t>Florida State</t>
        </is>
      </c>
      <c r="E303" t="inlineStr">
        <is>
          <t>Alabama</t>
        </is>
      </c>
      <c r="F303" t="inlineStr">
        <is>
          <t>Home</t>
        </is>
      </c>
      <c r="G303" t="n">
        <v>-17.53</v>
      </c>
      <c r="H303" t="n">
        <v>-18</v>
      </c>
      <c r="I303" t="n">
        <v>-18.5</v>
      </c>
      <c r="J303" t="n">
        <v>-0.47</v>
      </c>
      <c r="L303" t="n">
        <v>0.5</v>
      </c>
      <c r="M303" t="inlineStr">
        <is>
          <t>Loss</t>
        </is>
      </c>
    </row>
    <row r="304">
      <c r="A304" t="inlineStr">
        <is>
          <t>open</t>
        </is>
      </c>
      <c r="B304" t="n">
        <v>2026</v>
      </c>
      <c r="C304" t="n">
        <v>3</v>
      </c>
      <c r="D304" t="inlineStr">
        <is>
          <t>Georgia</t>
        </is>
      </c>
      <c r="E304" t="inlineStr">
        <is>
          <t>Arkansas</t>
        </is>
      </c>
      <c r="F304" t="inlineStr">
        <is>
          <t>Home</t>
        </is>
      </c>
      <c r="G304" t="n">
        <v>13.97</v>
      </c>
      <c r="H304" t="n">
        <v>21</v>
      </c>
      <c r="I304" t="n">
        <v>24.5</v>
      </c>
      <c r="J304" t="n">
        <v>7.03</v>
      </c>
      <c r="K304" t="inlineStr">
        <is>
          <t>Yes</t>
        </is>
      </c>
      <c r="L304" t="n">
        <v>-3.5</v>
      </c>
      <c r="M304" t="inlineStr">
        <is>
          <t>Loss</t>
        </is>
      </c>
    </row>
    <row r="305">
      <c r="A305" t="inlineStr">
        <is>
          <t>open</t>
        </is>
      </c>
      <c r="B305" t="n">
        <v>2026</v>
      </c>
      <c r="C305" t="n">
        <v>3</v>
      </c>
      <c r="D305" t="inlineStr">
        <is>
          <t>Florida</t>
        </is>
      </c>
      <c r="E305" t="inlineStr">
        <is>
          <t>Auburn</t>
        </is>
      </c>
      <c r="F305" t="inlineStr">
        <is>
          <t>Away</t>
        </is>
      </c>
      <c r="G305" t="n">
        <v>1.17</v>
      </c>
      <c r="H305" t="n">
        <v>0.5</v>
      </c>
      <c r="I305" t="n">
        <v>2.5</v>
      </c>
      <c r="J305" t="n">
        <v>-0.67</v>
      </c>
      <c r="L305" t="n">
        <v>2</v>
      </c>
      <c r="M305" t="inlineStr">
        <is>
          <t>Win</t>
        </is>
      </c>
    </row>
    <row r="306">
      <c r="A306" t="inlineStr">
        <is>
          <t>open</t>
        </is>
      </c>
      <c r="B306" t="n">
        <v>2026</v>
      </c>
      <c r="C306" t="n">
        <v>3</v>
      </c>
      <c r="D306" t="inlineStr">
        <is>
          <t>LSU</t>
        </is>
      </c>
      <c r="E306" t="inlineStr">
        <is>
          <t>Ole Miss</t>
        </is>
      </c>
      <c r="F306" t="inlineStr">
        <is>
          <t>Home</t>
        </is>
      </c>
      <c r="G306" t="n">
        <v>-6.76</v>
      </c>
      <c r="H306" t="n">
        <v>0.75</v>
      </c>
      <c r="I306" t="n">
        <v>2.75</v>
      </c>
      <c r="J306" t="n">
        <v>7.51</v>
      </c>
      <c r="K306" t="inlineStr">
        <is>
          <t>Yes</t>
        </is>
      </c>
      <c r="L306" t="n">
        <v>-2</v>
      </c>
      <c r="M306" t="inlineStr">
        <is>
          <t>Win</t>
        </is>
      </c>
    </row>
    <row r="307">
      <c r="A307" t="inlineStr">
        <is>
          <t>open</t>
        </is>
      </c>
      <c r="B307" t="n">
        <v>2026</v>
      </c>
      <c r="C307" t="n">
        <v>3</v>
      </c>
      <c r="D307" t="inlineStr">
        <is>
          <t>Troy</t>
        </is>
      </c>
      <c r="E307" t="inlineStr">
        <is>
          <t>Missouri</t>
        </is>
      </c>
      <c r="F307" t="inlineStr">
        <is>
          <t>Away</t>
        </is>
      </c>
      <c r="G307" t="n">
        <v>-24.95</v>
      </c>
      <c r="H307" t="n">
        <v>-27.25</v>
      </c>
      <c r="I307" t="n">
        <v>-26.75</v>
      </c>
      <c r="J307" t="n">
        <v>-2.3</v>
      </c>
      <c r="K307" t="inlineStr">
        <is>
          <t>Yes</t>
        </is>
      </c>
      <c r="L307" t="n">
        <v>0.5</v>
      </c>
      <c r="M307" t="inlineStr">
        <is>
          <t>Win</t>
        </is>
      </c>
    </row>
    <row r="308">
      <c r="A308" t="inlineStr">
        <is>
          <t>open</t>
        </is>
      </c>
      <c r="B308" t="n">
        <v>2026</v>
      </c>
      <c r="C308" t="n">
        <v>3</v>
      </c>
      <c r="D308" t="inlineStr">
        <is>
          <t>New Mexico</t>
        </is>
      </c>
      <c r="E308" t="inlineStr">
        <is>
          <t>Oklahoma</t>
        </is>
      </c>
      <c r="F308" t="inlineStr">
        <is>
          <t>Away</t>
        </is>
      </c>
      <c r="G308" t="n">
        <v>-14.26</v>
      </c>
      <c r="H308" t="n">
        <v>-23.5</v>
      </c>
      <c r="I308" t="n">
        <v>-21.25</v>
      </c>
      <c r="J308" t="n">
        <v>-9.24</v>
      </c>
      <c r="K308" t="inlineStr">
        <is>
          <t>Yes</t>
        </is>
      </c>
      <c r="L308" t="n">
        <v>2.25</v>
      </c>
      <c r="M308" t="inlineStr">
        <is>
          <t>Win</t>
        </is>
      </c>
    </row>
    <row r="309">
      <c r="A309" t="inlineStr">
        <is>
          <t>open</t>
        </is>
      </c>
      <c r="B309" t="n">
        <v>2026</v>
      </c>
      <c r="C309" t="n">
        <v>3</v>
      </c>
      <c r="D309" t="inlineStr">
        <is>
          <t>Mississippi State</t>
        </is>
      </c>
      <c r="E309" t="inlineStr">
        <is>
          <t>South Carolina</t>
        </is>
      </c>
      <c r="F309" t="inlineStr">
        <is>
          <t>Away</t>
        </is>
      </c>
      <c r="G309" t="n">
        <v>-0.38</v>
      </c>
      <c r="H309" t="n">
        <v>-5.5</v>
      </c>
      <c r="I309" t="n">
        <v>-3</v>
      </c>
      <c r="J309" t="n">
        <v>-5.12</v>
      </c>
      <c r="K309" t="inlineStr">
        <is>
          <t>Yes</t>
        </is>
      </c>
      <c r="L309" t="n">
        <v>2.5</v>
      </c>
      <c r="M309" t="inlineStr">
        <is>
          <t>Win</t>
        </is>
      </c>
    </row>
    <row r="310">
      <c r="A310" t="inlineStr">
        <is>
          <t>open</t>
        </is>
      </c>
      <c r="B310" t="n">
        <v>2026</v>
      </c>
      <c r="C310" t="n">
        <v>3</v>
      </c>
      <c r="D310" t="inlineStr">
        <is>
          <t>Kennesaw State</t>
        </is>
      </c>
      <c r="E310" t="inlineStr">
        <is>
          <t>Tennessee</t>
        </is>
      </c>
      <c r="F310" t="inlineStr">
        <is>
          <t>Away</t>
        </is>
      </c>
      <c r="G310" t="n">
        <v>-26.47</v>
      </c>
      <c r="H310" t="n">
        <v>-35</v>
      </c>
      <c r="I310" t="n">
        <v>-35.5</v>
      </c>
      <c r="J310" t="n">
        <v>-8.529999999999999</v>
      </c>
      <c r="K310" t="inlineStr">
        <is>
          <t>Yes</t>
        </is>
      </c>
      <c r="L310" t="n">
        <v>-0.5</v>
      </c>
      <c r="M310" t="inlineStr">
        <is>
          <t>Win</t>
        </is>
      </c>
    </row>
    <row r="311">
      <c r="A311" t="inlineStr">
        <is>
          <t>open</t>
        </is>
      </c>
      <c r="B311" t="n">
        <v>2026</v>
      </c>
      <c r="C311" t="n">
        <v>3</v>
      </c>
      <c r="D311" t="inlineStr">
        <is>
          <t>UTSA</t>
        </is>
      </c>
      <c r="E311" t="inlineStr">
        <is>
          <t>Texas</t>
        </is>
      </c>
      <c r="F311" t="inlineStr">
        <is>
          <t>Away</t>
        </is>
      </c>
      <c r="G311" t="n">
        <v>-22.48</v>
      </c>
      <c r="H311" t="n">
        <v>-29.75</v>
      </c>
      <c r="I311" t="n">
        <v>-29.75</v>
      </c>
      <c r="J311" t="n">
        <v>-7.27</v>
      </c>
      <c r="K311" t="inlineStr">
        <is>
          <t>Yes</t>
        </is>
      </c>
      <c r="L311" t="n">
        <v>0</v>
      </c>
      <c r="M311" t="inlineStr">
        <is>
          <t>Win</t>
        </is>
      </c>
    </row>
    <row r="312">
      <c r="A312" t="inlineStr">
        <is>
          <t>open</t>
        </is>
      </c>
      <c r="B312" t="n">
        <v>2026</v>
      </c>
      <c r="C312" t="n">
        <v>3</v>
      </c>
      <c r="D312" t="inlineStr">
        <is>
          <t>Kentucky</t>
        </is>
      </c>
      <c r="E312" t="inlineStr">
        <is>
          <t>Texas A&amp;M</t>
        </is>
      </c>
      <c r="F312" t="inlineStr">
        <is>
          <t>Home</t>
        </is>
      </c>
      <c r="G312" t="n">
        <v>-19.99</v>
      </c>
      <c r="H312" t="n">
        <v>-15.75</v>
      </c>
      <c r="I312" t="n">
        <v>-16.5</v>
      </c>
      <c r="J312" t="n">
        <v>4.24</v>
      </c>
      <c r="K312" t="inlineStr">
        <is>
          <t>Yes</t>
        </is>
      </c>
      <c r="L312" t="n">
        <v>0.75</v>
      </c>
      <c r="M312" t="inlineStr">
        <is>
          <t>Loss</t>
        </is>
      </c>
    </row>
    <row r="313">
      <c r="A313" t="inlineStr">
        <is>
          <t>open</t>
        </is>
      </c>
      <c r="B313" t="n">
        <v>2026</v>
      </c>
      <c r="C313" t="n">
        <v>3</v>
      </c>
      <c r="D313" t="inlineStr">
        <is>
          <t>NC State</t>
        </is>
      </c>
      <c r="E313" t="inlineStr">
        <is>
          <t>Vanderbilt</t>
        </is>
      </c>
      <c r="F313" t="inlineStr">
        <is>
          <t>Home</t>
        </is>
      </c>
      <c r="G313" t="n">
        <v>-13.26</v>
      </c>
      <c r="H313" t="n">
        <v>-4</v>
      </c>
      <c r="I313" t="n">
        <v>-3</v>
      </c>
      <c r="J313" t="n">
        <v>9.26</v>
      </c>
      <c r="K313" t="inlineStr">
        <is>
          <t>Yes</t>
        </is>
      </c>
      <c r="L313" t="n">
        <v>-1</v>
      </c>
      <c r="M313" t="inlineStr">
        <is>
          <t>Push</t>
        </is>
      </c>
    </row>
    <row r="314">
      <c r="A314" t="inlineStr">
        <is>
          <t>open</t>
        </is>
      </c>
      <c r="B314" t="n">
        <v>2026</v>
      </c>
      <c r="C314" t="n">
        <v>3</v>
      </c>
      <c r="D314" t="inlineStr">
        <is>
          <t>Tulane</t>
        </is>
      </c>
      <c r="E314" t="inlineStr">
        <is>
          <t>Kansas State</t>
        </is>
      </c>
      <c r="F314" t="inlineStr">
        <is>
          <t>Away</t>
        </is>
      </c>
      <c r="G314" t="n">
        <v>-12.9</v>
      </c>
      <c r="H314" t="n">
        <v>-20</v>
      </c>
      <c r="I314" t="n">
        <v>-20.5</v>
      </c>
      <c r="J314" t="n">
        <v>-7.1</v>
      </c>
      <c r="K314" t="inlineStr">
        <is>
          <t>Yes</t>
        </is>
      </c>
      <c r="L314" t="n">
        <v>-0.5</v>
      </c>
      <c r="M314" t="inlineStr">
        <is>
          <t>Win</t>
        </is>
      </c>
    </row>
    <row r="315">
      <c r="A315" t="inlineStr">
        <is>
          <t>open</t>
        </is>
      </c>
      <c r="B315" t="n">
        <v>2026</v>
      </c>
      <c r="C315" t="n">
        <v>3</v>
      </c>
      <c r="D315" t="inlineStr">
        <is>
          <t>Northern Illinois</t>
        </is>
      </c>
      <c r="E315" t="inlineStr">
        <is>
          <t>Arizona</t>
        </is>
      </c>
      <c r="F315" t="inlineStr">
        <is>
          <t>Away</t>
        </is>
      </c>
      <c r="G315" t="n">
        <v>-32.33</v>
      </c>
      <c r="H315" t="n">
        <v>-35</v>
      </c>
      <c r="I315" t="n">
        <v>-34.5</v>
      </c>
      <c r="J315" t="n">
        <v>-2.67</v>
      </c>
      <c r="K315" t="inlineStr">
        <is>
          <t>Yes</t>
        </is>
      </c>
      <c r="L315" t="n">
        <v>0.5</v>
      </c>
      <c r="M315" t="inlineStr">
        <is>
          <t>Win</t>
        </is>
      </c>
    </row>
    <row r="316">
      <c r="A316" t="inlineStr">
        <is>
          <t>open</t>
        </is>
      </c>
      <c r="B316" t="n">
        <v>2026</v>
      </c>
      <c r="C316" t="n">
        <v>3</v>
      </c>
      <c r="D316" t="inlineStr">
        <is>
          <t>BYU</t>
        </is>
      </c>
      <c r="E316" t="inlineStr">
        <is>
          <t>Colorado State</t>
        </is>
      </c>
      <c r="F316" t="inlineStr">
        <is>
          <t>Away</t>
        </is>
      </c>
      <c r="G316" t="n">
        <v>22.55</v>
      </c>
      <c r="H316" t="n">
        <v>19.5</v>
      </c>
      <c r="I316" t="n">
        <v>17.5</v>
      </c>
      <c r="J316" t="n">
        <v>-3.05</v>
      </c>
      <c r="K316" t="inlineStr">
        <is>
          <t>Yes</t>
        </is>
      </c>
      <c r="L316" t="n">
        <v>-2</v>
      </c>
      <c r="M316" t="inlineStr">
        <is>
          <t>Loss</t>
        </is>
      </c>
    </row>
    <row r="317">
      <c r="A317" t="inlineStr">
        <is>
          <t>open</t>
        </is>
      </c>
      <c r="B317" t="n">
        <v>2026</v>
      </c>
      <c r="C317" t="n">
        <v>3</v>
      </c>
      <c r="D317" t="inlineStr">
        <is>
          <t>Colorado</t>
        </is>
      </c>
      <c r="E317" t="inlineStr">
        <is>
          <t>Northwestern</t>
        </is>
      </c>
      <c r="F317" t="inlineStr">
        <is>
          <t>Home</t>
        </is>
      </c>
      <c r="G317" t="n">
        <v>-5.84</v>
      </c>
      <c r="H317" t="n">
        <v>-4.5</v>
      </c>
      <c r="I317" t="n">
        <v>-3.5</v>
      </c>
      <c r="J317" t="n">
        <v>1.34</v>
      </c>
      <c r="L317" t="n">
        <v>-1</v>
      </c>
      <c r="M317" t="inlineStr">
        <is>
          <t>Win</t>
        </is>
      </c>
    </row>
    <row r="318">
      <c r="A318" t="inlineStr">
        <is>
          <t>open</t>
        </is>
      </c>
      <c r="B318" t="n">
        <v>2026</v>
      </c>
      <c r="C318" t="n">
        <v>3</v>
      </c>
      <c r="D318" t="inlineStr">
        <is>
          <t>Miami (OH)</t>
        </is>
      </c>
      <c r="E318" t="inlineStr">
        <is>
          <t>Cincinnati</t>
        </is>
      </c>
      <c r="F318" t="inlineStr">
        <is>
          <t>Home</t>
        </is>
      </c>
      <c r="G318" t="n">
        <v>-14.96</v>
      </c>
      <c r="H318" t="n">
        <v>-15</v>
      </c>
      <c r="I318" t="n">
        <v>-14.5</v>
      </c>
      <c r="J318" t="n">
        <v>-0.04</v>
      </c>
      <c r="L318" t="n">
        <v>-0.5</v>
      </c>
      <c r="M318" t="inlineStr">
        <is>
          <t>Loss</t>
        </is>
      </c>
    </row>
    <row r="319">
      <c r="A319" t="inlineStr">
        <is>
          <t>open</t>
        </is>
      </c>
      <c r="B319" t="n">
        <v>2026</v>
      </c>
      <c r="C319" t="n">
        <v>3</v>
      </c>
      <c r="D319" t="inlineStr">
        <is>
          <t>Bowling Green</t>
        </is>
      </c>
      <c r="E319" t="inlineStr">
        <is>
          <t>Iowa State</t>
        </is>
      </c>
      <c r="F319" t="inlineStr">
        <is>
          <t>Home</t>
        </is>
      </c>
      <c r="G319" t="n">
        <v>-24.4</v>
      </c>
      <c r="H319" t="n">
        <v>-22.75</v>
      </c>
      <c r="I319" t="n">
        <v>-22.75</v>
      </c>
      <c r="J319" t="n">
        <v>1.65</v>
      </c>
      <c r="L319" t="n">
        <v>0</v>
      </c>
      <c r="M319" t="inlineStr">
        <is>
          <t>Win</t>
        </is>
      </c>
    </row>
    <row r="320">
      <c r="A320" t="inlineStr">
        <is>
          <t>open</t>
        </is>
      </c>
      <c r="B320" t="n">
        <v>2026</v>
      </c>
      <c r="C320" t="n">
        <v>3</v>
      </c>
      <c r="D320" t="inlineStr">
        <is>
          <t>Arkansas State</t>
        </is>
      </c>
      <c r="E320" t="inlineStr">
        <is>
          <t>TCU</t>
        </is>
      </c>
      <c r="F320" t="inlineStr">
        <is>
          <t>Away</t>
        </is>
      </c>
      <c r="G320" t="n">
        <v>-12.42</v>
      </c>
      <c r="H320" t="n">
        <v>-20.25</v>
      </c>
      <c r="I320" t="n">
        <v>-19</v>
      </c>
      <c r="J320" t="n">
        <v>-7.83</v>
      </c>
      <c r="K320" t="inlineStr">
        <is>
          <t>Yes</t>
        </is>
      </c>
      <c r="L320" t="n">
        <v>1.25</v>
      </c>
      <c r="M320" t="inlineStr">
        <is>
          <t>Loss</t>
        </is>
      </c>
    </row>
    <row r="321">
      <c r="A321" t="inlineStr">
        <is>
          <t>open</t>
        </is>
      </c>
      <c r="B321" t="n">
        <v>2026</v>
      </c>
      <c r="C321" t="n">
        <v>3</v>
      </c>
      <c r="D321" t="inlineStr">
        <is>
          <t>Georgia State</t>
        </is>
      </c>
      <c r="E321" t="inlineStr">
        <is>
          <t>UCF</t>
        </is>
      </c>
      <c r="F321" t="inlineStr">
        <is>
          <t>Away</t>
        </is>
      </c>
      <c r="G321" t="n">
        <v>-16.45</v>
      </c>
      <c r="H321" t="n">
        <v>-20.75</v>
      </c>
      <c r="I321" t="n">
        <v>-17.5</v>
      </c>
      <c r="J321" t="n">
        <v>-4.3</v>
      </c>
      <c r="K321" t="inlineStr">
        <is>
          <t>Yes</t>
        </is>
      </c>
      <c r="L321" t="n">
        <v>3.25</v>
      </c>
      <c r="M321" t="inlineStr">
        <is>
          <t>Win</t>
        </is>
      </c>
    </row>
    <row r="322">
      <c r="A322" t="inlineStr">
        <is>
          <t>open</t>
        </is>
      </c>
      <c r="B322" t="n">
        <v>2026</v>
      </c>
      <c r="C322" t="n">
        <v>3</v>
      </c>
      <c r="D322" t="inlineStr">
        <is>
          <t>Utah State</t>
        </is>
      </c>
      <c r="E322" t="inlineStr">
        <is>
          <t>Utah</t>
        </is>
      </c>
      <c r="F322" t="inlineStr">
        <is>
          <t>Away</t>
        </is>
      </c>
      <c r="G322" t="n">
        <v>-23.31</v>
      </c>
      <c r="H322" t="n">
        <v>-27.75</v>
      </c>
      <c r="I322" t="n">
        <v>-26.25</v>
      </c>
      <c r="J322" t="n">
        <v>-4.44</v>
      </c>
      <c r="K322" t="inlineStr">
        <is>
          <t>Yes</t>
        </is>
      </c>
      <c r="L322" t="n">
        <v>1.5</v>
      </c>
      <c r="M322" t="inlineStr">
        <is>
          <t>Loss</t>
        </is>
      </c>
    </row>
    <row r="323">
      <c r="A323" t="inlineStr">
        <is>
          <t>open</t>
        </is>
      </c>
      <c r="B323" t="n">
        <v>2026</v>
      </c>
      <c r="C323" t="n">
        <v>3</v>
      </c>
      <c r="D323" t="inlineStr">
        <is>
          <t>West Virginia</t>
        </is>
      </c>
      <c r="E323" t="inlineStr">
        <is>
          <t>Virginia</t>
        </is>
      </c>
      <c r="F323" t="inlineStr">
        <is>
          <t>Home</t>
        </is>
      </c>
      <c r="G323" t="n">
        <v>-19.39</v>
      </c>
      <c r="H323" t="n">
        <v>-9</v>
      </c>
      <c r="I323" t="n">
        <v>-10.75</v>
      </c>
      <c r="J323" t="n">
        <v>10.39</v>
      </c>
      <c r="K323" t="inlineStr">
        <is>
          <t>Yes</t>
        </is>
      </c>
      <c r="L323" t="n">
        <v>1.75</v>
      </c>
      <c r="M323" t="inlineStr">
        <is>
          <t>Loss</t>
        </is>
      </c>
    </row>
    <row r="324">
      <c r="A324" t="inlineStr">
        <is>
          <t>open</t>
        </is>
      </c>
      <c r="B324" t="n">
        <v>2026</v>
      </c>
      <c r="C324" t="n">
        <v>3</v>
      </c>
      <c r="D324" t="inlineStr">
        <is>
          <t>Houston</t>
        </is>
      </c>
      <c r="E324" t="inlineStr">
        <is>
          <t>Texas Tech</t>
        </is>
      </c>
      <c r="F324" t="inlineStr">
        <is>
          <t>Home</t>
        </is>
      </c>
      <c r="G324" t="n">
        <v>-17.71</v>
      </c>
      <c r="H324" t="n">
        <v>-11</v>
      </c>
      <c r="I324" t="n">
        <v>-8</v>
      </c>
      <c r="J324" t="n">
        <v>6.71</v>
      </c>
      <c r="K324" t="inlineStr">
        <is>
          <t>Yes</t>
        </is>
      </c>
      <c r="L324" t="n">
        <v>-3</v>
      </c>
      <c r="M324" t="inlineStr">
        <is>
          <t>Loss</t>
        </is>
      </c>
    </row>
    <row r="325">
      <c r="A325" t="inlineStr">
        <is>
          <t>open</t>
        </is>
      </c>
      <c r="B325" t="n">
        <v>2026</v>
      </c>
      <c r="C325" t="n">
        <v>3</v>
      </c>
      <c r="D325" t="inlineStr">
        <is>
          <t>Arizona State</t>
        </is>
      </c>
      <c r="E325" t="inlineStr">
        <is>
          <t>Kansas</t>
        </is>
      </c>
      <c r="F325" t="inlineStr">
        <is>
          <t>Away</t>
        </is>
      </c>
      <c r="G325" t="n">
        <v>6.49</v>
      </c>
      <c r="H325" t="n">
        <v>6</v>
      </c>
      <c r="I325" t="n">
        <v>5.25</v>
      </c>
      <c r="J325" t="n">
        <v>-0.49</v>
      </c>
      <c r="L325" t="n">
        <v>-0.75</v>
      </c>
      <c r="M325" t="inlineStr">
        <is>
          <t>Win</t>
        </is>
      </c>
    </row>
    <row r="326">
      <c r="A326" t="inlineStr">
        <is>
          <t>open</t>
        </is>
      </c>
      <c r="B326" t="n">
        <v>2026</v>
      </c>
      <c r="C326" t="n">
        <v>3</v>
      </c>
      <c r="D326" t="inlineStr">
        <is>
          <t>Syracuse</t>
        </is>
      </c>
      <c r="E326" t="inlineStr">
        <is>
          <t>Pittsburgh</t>
        </is>
      </c>
      <c r="F326" t="inlineStr">
        <is>
          <t>Home</t>
        </is>
      </c>
      <c r="G326" t="n">
        <v>-21.94</v>
      </c>
      <c r="H326" t="n">
        <v>-10.75</v>
      </c>
      <c r="I326" t="n">
        <v>-10.75</v>
      </c>
      <c r="J326" t="n">
        <v>11.19</v>
      </c>
      <c r="K326" t="inlineStr">
        <is>
          <t>Yes</t>
        </is>
      </c>
      <c r="L326" t="n">
        <v>0</v>
      </c>
      <c r="M326" t="inlineStr">
        <is>
          <t>Win</t>
        </is>
      </c>
    </row>
    <row r="327">
      <c r="A327" t="inlineStr">
        <is>
          <t>open</t>
        </is>
      </c>
      <c r="B327" t="n">
        <v>2026</v>
      </c>
      <c r="C327" t="n">
        <v>3</v>
      </c>
      <c r="D327" t="inlineStr">
        <is>
          <t>Miami</t>
        </is>
      </c>
      <c r="E327" t="inlineStr">
        <is>
          <t>Wake Forest</t>
        </is>
      </c>
      <c r="F327" t="inlineStr">
        <is>
          <t>Away</t>
        </is>
      </c>
      <c r="G327" t="n">
        <v>21.49</v>
      </c>
      <c r="H327" t="n">
        <v>20.25</v>
      </c>
      <c r="I327" t="n">
        <v>20.25</v>
      </c>
      <c r="J327" t="n">
        <v>-1.24</v>
      </c>
      <c r="L327" t="n">
        <v>0</v>
      </c>
      <c r="M327" t="inlineStr">
        <is>
          <t>Loss</t>
        </is>
      </c>
    </row>
    <row r="328">
      <c r="A328" t="inlineStr">
        <is>
          <t>open</t>
        </is>
      </c>
      <c r="B328" t="n">
        <v>2026</v>
      </c>
      <c r="C328" t="n">
        <v>3</v>
      </c>
      <c r="D328" t="inlineStr">
        <is>
          <t>North Carolina</t>
        </is>
      </c>
      <c r="E328" t="inlineStr">
        <is>
          <t>Clemson</t>
        </is>
      </c>
      <c r="F328" t="inlineStr">
        <is>
          <t>Home</t>
        </is>
      </c>
      <c r="G328" t="n">
        <v>-9.5</v>
      </c>
      <c r="H328" t="n">
        <v>-6.25</v>
      </c>
      <c r="I328" t="n">
        <v>-3</v>
      </c>
      <c r="J328" t="n">
        <v>3.25</v>
      </c>
      <c r="K328" t="inlineStr">
        <is>
          <t>Yes</t>
        </is>
      </c>
      <c r="L328" t="n">
        <v>-3.25</v>
      </c>
      <c r="M328" t="inlineStr">
        <is>
          <t>Win</t>
        </is>
      </c>
    </row>
    <row r="329">
      <c r="A329" t="inlineStr">
        <is>
          <t>open</t>
        </is>
      </c>
      <c r="B329" t="n">
        <v>2026</v>
      </c>
      <c r="C329" t="n">
        <v>3</v>
      </c>
      <c r="D329" t="inlineStr">
        <is>
          <t>SMU</t>
        </is>
      </c>
      <c r="E329" t="inlineStr">
        <is>
          <t>Louisville</t>
        </is>
      </c>
      <c r="F329" t="inlineStr">
        <is>
          <t>Home</t>
        </is>
      </c>
      <c r="G329" t="n">
        <v>-3.61</v>
      </c>
      <c r="H329" t="n">
        <v>-1.25</v>
      </c>
      <c r="I329" t="n">
        <v>-3</v>
      </c>
      <c r="J329" t="n">
        <v>2.36</v>
      </c>
      <c r="K329" t="inlineStr">
        <is>
          <t>Yes</t>
        </is>
      </c>
      <c r="L329" t="n">
        <v>1.75</v>
      </c>
      <c r="M329" t="inlineStr">
        <is>
          <t>Win</t>
        </is>
      </c>
    </row>
    <row r="330">
      <c r="A330" t="inlineStr">
        <is>
          <t>open</t>
        </is>
      </c>
      <c r="B330" t="n">
        <v>2026</v>
      </c>
      <c r="C330" t="n">
        <v>3</v>
      </c>
      <c r="D330" t="inlineStr">
        <is>
          <t>Stanford</t>
        </is>
      </c>
      <c r="E330" t="inlineStr">
        <is>
          <t>Duke</t>
        </is>
      </c>
      <c r="F330" t="inlineStr">
        <is>
          <t>Home</t>
        </is>
      </c>
      <c r="G330" t="n">
        <v>-18.19</v>
      </c>
      <c r="H330" t="n">
        <v>-9.75</v>
      </c>
      <c r="I330" t="n">
        <v>-9.75</v>
      </c>
      <c r="J330" t="n">
        <v>8.44</v>
      </c>
      <c r="K330" t="inlineStr">
        <is>
          <t>Yes</t>
        </is>
      </c>
      <c r="L330" t="n">
        <v>0</v>
      </c>
      <c r="M330" t="inlineStr">
        <is>
          <t>Win</t>
        </is>
      </c>
    </row>
    <row r="331">
      <c r="A331" t="inlineStr">
        <is>
          <t>open</t>
        </is>
      </c>
      <c r="B331" t="n">
        <v>2026</v>
      </c>
      <c r="C331" t="n">
        <v>3</v>
      </c>
      <c r="D331" t="inlineStr">
        <is>
          <t>Virginia Tech</t>
        </is>
      </c>
      <c r="E331" t="inlineStr">
        <is>
          <t>Maryland</t>
        </is>
      </c>
      <c r="F331" t="inlineStr">
        <is>
          <t>Away</t>
        </is>
      </c>
      <c r="G331" t="n">
        <v>1.85</v>
      </c>
      <c r="H331" t="n">
        <v>2.5</v>
      </c>
      <c r="I331" t="n">
        <v>2.5</v>
      </c>
      <c r="J331" t="n">
        <v>0.65</v>
      </c>
      <c r="L331" t="n">
        <v>0</v>
      </c>
      <c r="M331" t="inlineStr">
        <is>
          <t>Win</t>
        </is>
      </c>
    </row>
    <row r="332">
      <c r="A332" t="inlineStr">
        <is>
          <t>open</t>
        </is>
      </c>
      <c r="B332" t="n">
        <v>2026</v>
      </c>
      <c r="C332" t="n">
        <v>3</v>
      </c>
      <c r="D332" t="inlineStr">
        <is>
          <t>Western Kentucky</t>
        </is>
      </c>
      <c r="E332" t="inlineStr">
        <is>
          <t>Indiana</t>
        </is>
      </c>
      <c r="F332" t="inlineStr">
        <is>
          <t>Away</t>
        </is>
      </c>
      <c r="G332" t="n">
        <v>-40.87</v>
      </c>
      <c r="H332" t="n">
        <v>-44.25</v>
      </c>
      <c r="I332" t="n">
        <v>-44.75</v>
      </c>
      <c r="J332" t="n">
        <v>-3.38</v>
      </c>
      <c r="K332" t="inlineStr">
        <is>
          <t>Yes</t>
        </is>
      </c>
      <c r="L332" t="n">
        <v>-0.5</v>
      </c>
      <c r="M332" t="inlineStr">
        <is>
          <t>Win</t>
        </is>
      </c>
    </row>
    <row r="333">
      <c r="A333" t="inlineStr">
        <is>
          <t>open</t>
        </is>
      </c>
      <c r="B333" t="n">
        <v>2026</v>
      </c>
      <c r="C333" t="n">
        <v>3</v>
      </c>
      <c r="D333" t="inlineStr">
        <is>
          <t>UTEP</t>
        </is>
      </c>
      <c r="E333" t="inlineStr">
        <is>
          <t>Michigan</t>
        </is>
      </c>
      <c r="F333" t="inlineStr">
        <is>
          <t>Away</t>
        </is>
      </c>
      <c r="G333" t="n">
        <v>-33.09</v>
      </c>
      <c r="H333" t="n">
        <v>-36.75</v>
      </c>
      <c r="I333" t="n">
        <v>-34.5</v>
      </c>
      <c r="J333" t="n">
        <v>-3.66</v>
      </c>
      <c r="K333" t="inlineStr">
        <is>
          <t>Yes</t>
        </is>
      </c>
      <c r="L333" t="n">
        <v>2.25</v>
      </c>
      <c r="M333" t="inlineStr">
        <is>
          <t>Win</t>
        </is>
      </c>
    </row>
    <row r="334">
      <c r="A334" t="inlineStr">
        <is>
          <t>open</t>
        </is>
      </c>
      <c r="B334" t="n">
        <v>2026</v>
      </c>
      <c r="C334" t="n">
        <v>3</v>
      </c>
      <c r="D334" t="inlineStr">
        <is>
          <t>Akron</t>
        </is>
      </c>
      <c r="E334" t="inlineStr">
        <is>
          <t>Minnesota</t>
        </is>
      </c>
      <c r="F334" t="inlineStr">
        <is>
          <t>Away</t>
        </is>
      </c>
      <c r="G334" t="n">
        <v>-19.87</v>
      </c>
      <c r="H334" t="n">
        <v>-26.5</v>
      </c>
      <c r="I334" t="n">
        <v>-22.5</v>
      </c>
      <c r="J334" t="n">
        <v>-6.63</v>
      </c>
      <c r="K334" t="inlineStr">
        <is>
          <t>Yes</t>
        </is>
      </c>
      <c r="L334" t="n">
        <v>4</v>
      </c>
      <c r="M334" t="inlineStr">
        <is>
          <t>Loss</t>
        </is>
      </c>
    </row>
    <row r="335">
      <c r="A335" t="inlineStr">
        <is>
          <t>open</t>
        </is>
      </c>
      <c r="B335" t="n">
        <v>2026</v>
      </c>
      <c r="C335" t="n">
        <v>3</v>
      </c>
      <c r="D335" t="inlineStr">
        <is>
          <t>Michigan State</t>
        </is>
      </c>
      <c r="E335" t="inlineStr">
        <is>
          <t>Notre Dame</t>
        </is>
      </c>
      <c r="F335" t="inlineStr">
        <is>
          <t>Away</t>
        </is>
      </c>
      <c r="G335" t="n">
        <v>-23.01</v>
      </c>
      <c r="H335" t="n">
        <v>-29.75</v>
      </c>
      <c r="I335" t="n">
        <v>-28.75</v>
      </c>
      <c r="J335" t="n">
        <v>-6.74</v>
      </c>
      <c r="K335" t="inlineStr">
        <is>
          <t>Yes</t>
        </is>
      </c>
      <c r="L335" t="n">
        <v>1</v>
      </c>
      <c r="M335" t="inlineStr">
        <is>
          <t>Win</t>
        </is>
      </c>
    </row>
    <row r="336">
      <c r="A336" t="inlineStr">
        <is>
          <t>open</t>
        </is>
      </c>
      <c r="B336" t="n">
        <v>2026</v>
      </c>
      <c r="C336" t="n">
        <v>3</v>
      </c>
      <c r="D336" t="inlineStr">
        <is>
          <t>Kent State</t>
        </is>
      </c>
      <c r="E336" t="inlineStr">
        <is>
          <t>Ohio State</t>
        </is>
      </c>
      <c r="F336" t="inlineStr">
        <is>
          <t>Away</t>
        </is>
      </c>
      <c r="G336" t="n">
        <v>-46.26</v>
      </c>
      <c r="H336" t="n">
        <v>-52.75</v>
      </c>
      <c r="I336" t="n">
        <v>-52.25</v>
      </c>
      <c r="J336" t="n">
        <v>-6.49</v>
      </c>
      <c r="K336" t="inlineStr">
        <is>
          <t>Yes</t>
        </is>
      </c>
      <c r="L336" t="n">
        <v>0.5</v>
      </c>
      <c r="M336" t="inlineStr">
        <is>
          <t>Loss</t>
        </is>
      </c>
    </row>
    <row r="337">
      <c r="A337" t="inlineStr">
        <is>
          <t>open</t>
        </is>
      </c>
      <c r="B337" t="n">
        <v>2026</v>
      </c>
      <c r="C337" t="n">
        <v>3</v>
      </c>
      <c r="D337" t="inlineStr">
        <is>
          <t>Buffalo</t>
        </is>
      </c>
      <c r="E337" t="inlineStr">
        <is>
          <t>Penn State</t>
        </is>
      </c>
      <c r="F337" t="inlineStr">
        <is>
          <t>Away</t>
        </is>
      </c>
      <c r="G337" t="n">
        <v>-33.21</v>
      </c>
      <c r="H337" t="n">
        <v>-39</v>
      </c>
      <c r="I337" t="n">
        <v>-39.75</v>
      </c>
      <c r="J337" t="n">
        <v>-5.79</v>
      </c>
      <c r="K337" t="inlineStr">
        <is>
          <t>Yes</t>
        </is>
      </c>
      <c r="L337" t="n">
        <v>-0.75</v>
      </c>
      <c r="M337" t="inlineStr">
        <is>
          <t>Loss</t>
        </is>
      </c>
    </row>
    <row r="338">
      <c r="A338" t="inlineStr">
        <is>
          <t>open</t>
        </is>
      </c>
      <c r="B338" t="n">
        <v>2026</v>
      </c>
      <c r="C338" t="n">
        <v>3</v>
      </c>
      <c r="D338" t="inlineStr">
        <is>
          <t>USC</t>
        </is>
      </c>
      <c r="E338" t="inlineStr">
        <is>
          <t>Rutgers</t>
        </is>
      </c>
      <c r="F338" t="inlineStr">
        <is>
          <t>Home</t>
        </is>
      </c>
      <c r="G338" t="n">
        <v>8.57</v>
      </c>
      <c r="H338" t="n">
        <v>24.5</v>
      </c>
      <c r="I338" t="n">
        <v>21</v>
      </c>
      <c r="J338" t="n">
        <v>15.93</v>
      </c>
      <c r="K338" t="inlineStr">
        <is>
          <t>Yes</t>
        </is>
      </c>
      <c r="L338" t="n">
        <v>3.5</v>
      </c>
      <c r="M338" t="inlineStr">
        <is>
          <t>Win</t>
        </is>
      </c>
    </row>
    <row r="339">
      <c r="A339" t="inlineStr">
        <is>
          <t>open</t>
        </is>
      </c>
      <c r="B339" t="n">
        <v>2026</v>
      </c>
      <c r="C339" t="n">
        <v>3</v>
      </c>
      <c r="D339" t="inlineStr">
        <is>
          <t>Purdue</t>
        </is>
      </c>
      <c r="E339" t="inlineStr">
        <is>
          <t>UCLA</t>
        </is>
      </c>
      <c r="F339" t="inlineStr">
        <is>
          <t>Away</t>
        </is>
      </c>
      <c r="G339" t="n">
        <v>-10.03</v>
      </c>
      <c r="H339" t="n">
        <v>-14.75</v>
      </c>
      <c r="I339" t="n">
        <v>-13.5</v>
      </c>
      <c r="J339" t="n">
        <v>-4.72</v>
      </c>
      <c r="K339" t="inlineStr">
        <is>
          <t>Yes</t>
        </is>
      </c>
      <c r="L339" t="n">
        <v>1.25</v>
      </c>
      <c r="M339" t="inlineStr">
        <is>
          <t>Win</t>
        </is>
      </c>
    </row>
    <row r="340">
      <c r="A340" t="inlineStr">
        <is>
          <t>open</t>
        </is>
      </c>
      <c r="B340" t="n">
        <v>2026</v>
      </c>
      <c r="C340" t="n">
        <v>3</v>
      </c>
      <c r="D340" t="inlineStr">
        <is>
          <t>Eastern Michigan</t>
        </is>
      </c>
      <c r="E340" t="inlineStr">
        <is>
          <t>Wisconsin</t>
        </is>
      </c>
      <c r="F340" t="inlineStr">
        <is>
          <t>Away</t>
        </is>
      </c>
      <c r="G340" t="n">
        <v>-23.4</v>
      </c>
      <c r="H340" t="n">
        <v>-24.5</v>
      </c>
      <c r="I340" t="n">
        <v>-23.5</v>
      </c>
      <c r="J340" t="n">
        <v>-1.1</v>
      </c>
      <c r="L340" t="n">
        <v>1</v>
      </c>
      <c r="M340" t="inlineStr">
        <is>
          <t>Loss</t>
        </is>
      </c>
    </row>
    <row r="341">
      <c r="A341" t="inlineStr">
        <is>
          <t>open</t>
        </is>
      </c>
      <c r="B341" t="n">
        <v>2026</v>
      </c>
      <c r="C341" t="n">
        <v>3</v>
      </c>
      <c r="D341" t="inlineStr">
        <is>
          <t>James Madison</t>
        </is>
      </c>
      <c r="E341" t="inlineStr">
        <is>
          <t>San Diego State</t>
        </is>
      </c>
      <c r="F341" t="inlineStr">
        <is>
          <t>Home</t>
        </is>
      </c>
      <c r="G341" t="n">
        <v>-3.47</v>
      </c>
      <c r="H341" t="n">
        <v>-2</v>
      </c>
      <c r="I341" t="n">
        <v>-3</v>
      </c>
      <c r="J341" t="n">
        <v>1.47</v>
      </c>
      <c r="L341" t="n">
        <v>1</v>
      </c>
      <c r="M341" t="inlineStr">
        <is>
          <t>Loss</t>
        </is>
      </c>
    </row>
    <row r="342">
      <c r="A342" t="inlineStr">
        <is>
          <t>open</t>
        </is>
      </c>
      <c r="B342" t="n">
        <v>2026</v>
      </c>
      <c r="C342" t="n">
        <v>3</v>
      </c>
      <c r="D342" t="inlineStr">
        <is>
          <t>Fresno State</t>
        </is>
      </c>
      <c r="E342" t="inlineStr">
        <is>
          <t>San José State</t>
        </is>
      </c>
      <c r="F342" t="inlineStr">
        <is>
          <t>Home</t>
        </is>
      </c>
      <c r="G342" t="n">
        <v>2.93</v>
      </c>
      <c r="H342" t="n">
        <v>7.25</v>
      </c>
      <c r="I342" t="n">
        <v>4</v>
      </c>
      <c r="J342" t="n">
        <v>4.32</v>
      </c>
      <c r="K342" t="inlineStr">
        <is>
          <t>Yes</t>
        </is>
      </c>
      <c r="L342" t="n">
        <v>3.25</v>
      </c>
      <c r="M342" t="inlineStr">
        <is>
          <t>Loss</t>
        </is>
      </c>
    </row>
    <row r="343">
      <c r="A343" t="inlineStr">
        <is>
          <t>open</t>
        </is>
      </c>
      <c r="B343" t="n">
        <v>2026</v>
      </c>
      <c r="C343" t="n">
        <v>3</v>
      </c>
      <c r="D343" t="inlineStr">
        <is>
          <t>North Texas</t>
        </is>
      </c>
      <c r="E343" t="inlineStr">
        <is>
          <t>Texas State</t>
        </is>
      </c>
      <c r="F343" t="inlineStr">
        <is>
          <t>Away</t>
        </is>
      </c>
      <c r="G343" t="n">
        <v>4.16</v>
      </c>
      <c r="H343" t="n">
        <v>-3</v>
      </c>
      <c r="I343" t="n">
        <v>-3</v>
      </c>
      <c r="J343" t="n">
        <v>-7.16</v>
      </c>
      <c r="K343" t="inlineStr">
        <is>
          <t>Yes</t>
        </is>
      </c>
      <c r="L343" t="n">
        <v>0</v>
      </c>
      <c r="M343" t="inlineStr">
        <is>
          <t>Loss</t>
        </is>
      </c>
    </row>
    <row r="344">
      <c r="A344" t="inlineStr">
        <is>
          <t>open</t>
        </is>
      </c>
      <c r="B344" t="n">
        <v>2026</v>
      </c>
      <c r="C344" t="n">
        <v>3</v>
      </c>
      <c r="D344" t="inlineStr">
        <is>
          <t>UConn</t>
        </is>
      </c>
      <c r="E344" t="inlineStr">
        <is>
          <t>Southern Miss</t>
        </is>
      </c>
      <c r="F344" t="inlineStr">
        <is>
          <t>Home</t>
        </is>
      </c>
      <c r="G344" t="n">
        <v>-1.44</v>
      </c>
      <c r="H344" t="n">
        <v>3</v>
      </c>
      <c r="I344" t="n">
        <v>3.5</v>
      </c>
      <c r="J344" t="n">
        <v>4.44</v>
      </c>
      <c r="K344" t="inlineStr">
        <is>
          <t>Yes</t>
        </is>
      </c>
      <c r="L344" t="n">
        <v>-0.5</v>
      </c>
      <c r="M344" t="inlineStr">
        <is>
          <t>Loss</t>
        </is>
      </c>
    </row>
    <row r="345">
      <c r="A345" t="inlineStr">
        <is>
          <t>open</t>
        </is>
      </c>
      <c r="B345" t="n">
        <v>2026</v>
      </c>
      <c r="C345" t="n">
        <v>3</v>
      </c>
      <c r="D345" t="inlineStr">
        <is>
          <t>East Carolina</t>
        </is>
      </c>
      <c r="E345" t="inlineStr">
        <is>
          <t>Old Dominion</t>
        </is>
      </c>
      <c r="F345" t="inlineStr">
        <is>
          <t>Home</t>
        </is>
      </c>
      <c r="G345" t="n">
        <v>-10.26</v>
      </c>
      <c r="H345" t="n">
        <v>-2.75</v>
      </c>
      <c r="I345" t="n">
        <v>-2.5</v>
      </c>
      <c r="J345" t="n">
        <v>7.51</v>
      </c>
      <c r="K345" t="inlineStr">
        <is>
          <t>Yes</t>
        </is>
      </c>
      <c r="L345" t="n">
        <v>-0.25</v>
      </c>
      <c r="M345" t="inlineStr">
        <is>
          <t>Loss</t>
        </is>
      </c>
    </row>
    <row r="346">
      <c r="A346" t="inlineStr">
        <is>
          <t>open</t>
        </is>
      </c>
      <c r="B346" t="n">
        <v>2026</v>
      </c>
      <c r="C346" t="n">
        <v>3</v>
      </c>
      <c r="D346" t="inlineStr">
        <is>
          <t>Florida International</t>
        </is>
      </c>
      <c r="E346" t="inlineStr">
        <is>
          <t>Florida Atlantic</t>
        </is>
      </c>
      <c r="F346" t="inlineStr">
        <is>
          <t>Away</t>
        </is>
      </c>
      <c r="G346" t="n">
        <v>0.12</v>
      </c>
      <c r="H346" t="n">
        <v>-7.25</v>
      </c>
      <c r="I346" t="n">
        <v>-5.25</v>
      </c>
      <c r="J346" t="n">
        <v>-7.37</v>
      </c>
      <c r="K346" t="inlineStr">
        <is>
          <t>Yes</t>
        </is>
      </c>
      <c r="L346" t="n">
        <v>2</v>
      </c>
      <c r="M346" t="inlineStr">
        <is>
          <t>Win</t>
        </is>
      </c>
    </row>
    <row r="347">
      <c r="A347" t="inlineStr">
        <is>
          <t>open</t>
        </is>
      </c>
      <c r="B347" t="n">
        <v>2026</v>
      </c>
      <c r="C347" t="n">
        <v>3</v>
      </c>
      <c r="D347" t="inlineStr">
        <is>
          <t>Western Michigan</t>
        </is>
      </c>
      <c r="E347" t="inlineStr">
        <is>
          <t>Rice</t>
        </is>
      </c>
      <c r="F347" t="inlineStr">
        <is>
          <t>Away</t>
        </is>
      </c>
      <c r="G347" t="n">
        <v>16.89</v>
      </c>
      <c r="H347" t="n">
        <v>11.75</v>
      </c>
      <c r="I347" t="n">
        <v>8.5</v>
      </c>
      <c r="J347" t="n">
        <v>-5.14</v>
      </c>
      <c r="K347" t="inlineStr">
        <is>
          <t>Yes</t>
        </is>
      </c>
      <c r="L347" t="n">
        <v>-3.25</v>
      </c>
      <c r="M347" t="inlineStr">
        <is>
          <t>Loss</t>
        </is>
      </c>
    </row>
    <row r="348">
      <c r="A348" t="inlineStr">
        <is>
          <t>open</t>
        </is>
      </c>
      <c r="B348" t="n">
        <v>2026</v>
      </c>
      <c r="C348" t="n">
        <v>3</v>
      </c>
      <c r="D348" t="inlineStr">
        <is>
          <t>Temple</t>
        </is>
      </c>
      <c r="E348" t="inlineStr">
        <is>
          <t>Toledo</t>
        </is>
      </c>
      <c r="F348" t="inlineStr">
        <is>
          <t>Home</t>
        </is>
      </c>
      <c r="G348" t="n">
        <v>-8.140000000000001</v>
      </c>
      <c r="H348" t="n">
        <v>-4.5</v>
      </c>
      <c r="I348" t="n">
        <v>-4.75</v>
      </c>
      <c r="J348" t="n">
        <v>3.64</v>
      </c>
      <c r="K348" t="inlineStr">
        <is>
          <t>Yes</t>
        </is>
      </c>
      <c r="L348" t="n">
        <v>0.25</v>
      </c>
      <c r="M348" t="inlineStr">
        <is>
          <t>Loss</t>
        </is>
      </c>
    </row>
    <row r="349">
      <c r="A349" t="inlineStr">
        <is>
          <t>open</t>
        </is>
      </c>
      <c r="B349" t="n">
        <v>2026</v>
      </c>
      <c r="C349" t="n">
        <v>3</v>
      </c>
      <c r="D349" t="inlineStr">
        <is>
          <t>UAB</t>
        </is>
      </c>
      <c r="E349" t="inlineStr">
        <is>
          <t>Louisiana</t>
        </is>
      </c>
      <c r="F349" t="inlineStr">
        <is>
          <t>Away</t>
        </is>
      </c>
      <c r="G349" t="n">
        <v>-4.61</v>
      </c>
      <c r="H349" t="n">
        <v>-8.75</v>
      </c>
      <c r="I349" t="n">
        <v>-7</v>
      </c>
      <c r="J349" t="n">
        <v>-4.14</v>
      </c>
      <c r="K349" t="inlineStr">
        <is>
          <t>Yes</t>
        </is>
      </c>
      <c r="L349" t="n">
        <v>1.75</v>
      </c>
      <c r="M349" t="inlineStr">
        <is>
          <t>Win</t>
        </is>
      </c>
    </row>
    <row r="350">
      <c r="A350" t="inlineStr">
        <is>
          <t>open</t>
        </is>
      </c>
      <c r="B350" t="n">
        <v>2026</v>
      </c>
      <c r="C350" t="n">
        <v>3</v>
      </c>
      <c r="D350" t="inlineStr">
        <is>
          <t>Nevada</t>
        </is>
      </c>
      <c r="E350" t="inlineStr">
        <is>
          <t>Middle Tennessee</t>
        </is>
      </c>
      <c r="F350" t="inlineStr">
        <is>
          <t>Home</t>
        </is>
      </c>
      <c r="G350" t="n">
        <v>1.21</v>
      </c>
      <c r="H350" t="n">
        <v>6</v>
      </c>
      <c r="I350" t="n">
        <v>3.75</v>
      </c>
      <c r="J350" t="n">
        <v>4.79</v>
      </c>
      <c r="K350" t="inlineStr">
        <is>
          <t>Yes</t>
        </is>
      </c>
      <c r="L350" t="n">
        <v>2.25</v>
      </c>
      <c r="M350" t="inlineStr">
        <is>
          <t>Win</t>
        </is>
      </c>
    </row>
    <row r="351">
      <c r="A351" t="inlineStr">
        <is>
          <t>open</t>
        </is>
      </c>
      <c r="B351" t="n">
        <v>2026</v>
      </c>
      <c r="C351" t="n">
        <v>3</v>
      </c>
      <c r="D351" t="inlineStr">
        <is>
          <t>North Dakota State</t>
        </is>
      </c>
      <c r="E351" t="inlineStr">
        <is>
          <t>Sacramento State</t>
        </is>
      </c>
      <c r="F351" t="inlineStr">
        <is>
          <t>Away</t>
        </is>
      </c>
      <c r="G351" t="n">
        <v>34.35</v>
      </c>
      <c r="H351" t="n">
        <v>25.75</v>
      </c>
      <c r="I351" t="n">
        <v>25.5</v>
      </c>
      <c r="J351" t="n">
        <v>-8.6</v>
      </c>
      <c r="K351" t="inlineStr">
        <is>
          <t>Yes</t>
        </is>
      </c>
      <c r="L351" t="n">
        <v>-0.25</v>
      </c>
      <c r="M351" t="inlineStr">
        <is>
          <t>Loss</t>
        </is>
      </c>
    </row>
    <row r="352">
      <c r="A352" t="inlineStr">
        <is>
          <t>open</t>
        </is>
      </c>
      <c r="B352" t="n">
        <v>2026</v>
      </c>
      <c r="C352" t="n">
        <v>3</v>
      </c>
      <c r="D352" t="inlineStr">
        <is>
          <t>Wyoming</t>
        </is>
      </c>
      <c r="E352" t="inlineStr">
        <is>
          <t>Central Michigan</t>
        </is>
      </c>
      <c r="F352" t="inlineStr">
        <is>
          <t>Home</t>
        </is>
      </c>
      <c r="G352" t="n">
        <v>-8.58</v>
      </c>
      <c r="H352" t="n">
        <v>-2</v>
      </c>
      <c r="I352" t="n">
        <v>1.75</v>
      </c>
      <c r="J352" t="n">
        <v>6.58</v>
      </c>
      <c r="K352" t="inlineStr">
        <is>
          <t>Yes</t>
        </is>
      </c>
      <c r="L352" t="n">
        <v>-3.75</v>
      </c>
      <c r="M352" t="inlineStr">
        <is>
          <t>Win</t>
        </is>
      </c>
    </row>
    <row r="353">
      <c r="A353" t="inlineStr">
        <is>
          <t>open</t>
        </is>
      </c>
      <c r="B353" t="n">
        <v>2026</v>
      </c>
      <c r="C353" t="n">
        <v>3</v>
      </c>
      <c r="D353" t="inlineStr">
        <is>
          <t>Charlotte</t>
        </is>
      </c>
      <c r="E353" t="inlineStr">
        <is>
          <t>App State</t>
        </is>
      </c>
      <c r="F353" t="inlineStr">
        <is>
          <t>Away</t>
        </is>
      </c>
      <c r="G353" t="n">
        <v>-8.449999999999999</v>
      </c>
      <c r="H353" t="n">
        <v>-20</v>
      </c>
      <c r="I353" t="n">
        <v>-16.25</v>
      </c>
      <c r="J353" t="n">
        <v>-11.55</v>
      </c>
      <c r="K353" t="inlineStr">
        <is>
          <t>Yes</t>
        </is>
      </c>
      <c r="L353" t="n">
        <v>3.75</v>
      </c>
      <c r="M353" t="inlineStr">
        <is>
          <t>Win</t>
        </is>
      </c>
    </row>
    <row r="354">
      <c r="A354" t="inlineStr">
        <is>
          <t>open</t>
        </is>
      </c>
      <c r="B354" t="n">
        <v>2026</v>
      </c>
      <c r="C354" t="n">
        <v>3</v>
      </c>
      <c r="D354" t="inlineStr">
        <is>
          <t>Ball State</t>
        </is>
      </c>
      <c r="E354" t="inlineStr">
        <is>
          <t>Liberty</t>
        </is>
      </c>
      <c r="F354" t="inlineStr">
        <is>
          <t>Home</t>
        </is>
      </c>
      <c r="G354" t="n">
        <v>-13.43</v>
      </c>
      <c r="H354" t="n">
        <v>-14.25</v>
      </c>
      <c r="I354" t="n">
        <v>-14.5</v>
      </c>
      <c r="J354" t="n">
        <v>-0.82</v>
      </c>
      <c r="L354" t="n">
        <v>0.25</v>
      </c>
      <c r="M354" t="inlineStr">
        <is>
          <t>Win</t>
        </is>
      </c>
    </row>
    <row r="355">
      <c r="A355" t="inlineStr">
        <is>
          <t>open</t>
        </is>
      </c>
      <c r="B355" t="n">
        <v>2026</v>
      </c>
      <c r="C355" t="n">
        <v>3</v>
      </c>
      <c r="D355" t="inlineStr">
        <is>
          <t>Ohio</t>
        </is>
      </c>
      <c r="E355" t="inlineStr">
        <is>
          <t>South Alabama</t>
        </is>
      </c>
      <c r="F355" t="inlineStr">
        <is>
          <t>Away</t>
        </is>
      </c>
      <c r="G355" t="n">
        <v>0.19</v>
      </c>
      <c r="H355" t="n">
        <v>-3.75</v>
      </c>
      <c r="I355" t="n">
        <v>-7</v>
      </c>
      <c r="J355" t="n">
        <v>-3.94</v>
      </c>
      <c r="K355" t="inlineStr">
        <is>
          <t>Yes</t>
        </is>
      </c>
      <c r="L355" t="n">
        <v>-3.25</v>
      </c>
      <c r="M355" t="inlineStr">
        <is>
          <t>Loss</t>
        </is>
      </c>
    </row>
    <row r="356">
      <c r="A356" t="inlineStr">
        <is>
          <t>open</t>
        </is>
      </c>
      <c r="B356" t="n">
        <v>2026</v>
      </c>
      <c r="C356" t="n">
        <v>3</v>
      </c>
      <c r="D356" t="inlineStr">
        <is>
          <t>Louisiana Tech</t>
        </is>
      </c>
      <c r="E356" t="inlineStr">
        <is>
          <t>Baylor</t>
        </is>
      </c>
      <c r="F356" t="inlineStr">
        <is>
          <t>Away</t>
        </is>
      </c>
      <c r="G356" t="n">
        <v>-14.43</v>
      </c>
      <c r="H356" t="n">
        <v>-18.25</v>
      </c>
      <c r="I356" t="n">
        <v>-20.25</v>
      </c>
      <c r="J356" t="n">
        <v>-3.82</v>
      </c>
      <c r="K356" t="inlineStr">
        <is>
          <t>Yes</t>
        </is>
      </c>
      <c r="L356" t="n">
        <v>-2</v>
      </c>
      <c r="M356" t="inlineStr">
        <is>
          <t>Win</t>
        </is>
      </c>
    </row>
    <row r="357">
      <c r="A357" t="inlineStr">
        <is>
          <t>open</t>
        </is>
      </c>
      <c r="B357" t="n">
        <v>2026</v>
      </c>
      <c r="C357" t="n">
        <v>3</v>
      </c>
      <c r="D357" t="inlineStr">
        <is>
          <t>Coastal Carolina</t>
        </is>
      </c>
      <c r="E357" t="inlineStr">
        <is>
          <t>Delaware</t>
        </is>
      </c>
      <c r="F357" t="inlineStr">
        <is>
          <t>Home</t>
        </is>
      </c>
      <c r="G357" t="n">
        <v>-7.42</v>
      </c>
      <c r="H357" t="n">
        <v>-4.75</v>
      </c>
      <c r="I357" t="n">
        <v>-5</v>
      </c>
      <c r="J357" t="n">
        <v>2.67</v>
      </c>
      <c r="K357" t="inlineStr">
        <is>
          <t>Yes</t>
        </is>
      </c>
      <c r="L357" t="n">
        <v>0.25</v>
      </c>
      <c r="M357" t="inlineStr">
        <is>
          <t>Win</t>
        </is>
      </c>
    </row>
    <row r="358">
      <c r="A358" t="inlineStr">
        <is>
          <t>open</t>
        </is>
      </c>
      <c r="B358" t="n">
        <v>2026</v>
      </c>
      <c r="C358" t="n">
        <v>3</v>
      </c>
      <c r="D358" t="inlineStr">
        <is>
          <t>Georgia Southern</t>
        </is>
      </c>
      <c r="E358" t="inlineStr">
        <is>
          <t>Jacksonville State</t>
        </is>
      </c>
      <c r="F358" t="inlineStr">
        <is>
          <t>Home</t>
        </is>
      </c>
      <c r="G358" t="n">
        <v>-4.87</v>
      </c>
      <c r="H358" t="n">
        <v>-3</v>
      </c>
      <c r="I358" t="n">
        <v>-3.5</v>
      </c>
      <c r="J358" t="n">
        <v>1.87</v>
      </c>
      <c r="L358" t="n">
        <v>0.5</v>
      </c>
      <c r="M358" t="inlineStr">
        <is>
          <t>Win</t>
        </is>
      </c>
    </row>
    <row r="359">
      <c r="A359" t="inlineStr">
        <is>
          <t>open</t>
        </is>
      </c>
      <c r="B359" t="n">
        <v>2026</v>
      </c>
      <c r="C359" t="n">
        <v>3</v>
      </c>
      <c r="D359" t="inlineStr">
        <is>
          <t>Marshall</t>
        </is>
      </c>
      <c r="E359" t="inlineStr">
        <is>
          <t>Missouri State</t>
        </is>
      </c>
      <c r="F359" t="inlineStr">
        <is>
          <t>Home</t>
        </is>
      </c>
      <c r="G359" t="n">
        <v>-4.45</v>
      </c>
      <c r="H359" t="n">
        <v>4.25</v>
      </c>
      <c r="I359" t="n">
        <v>4</v>
      </c>
      <c r="J359" t="n">
        <v>8.699999999999999</v>
      </c>
      <c r="K359" t="inlineStr">
        <is>
          <t>Yes</t>
        </is>
      </c>
      <c r="L359" t="n">
        <v>0.25</v>
      </c>
      <c r="M359" t="inlineStr">
        <is>
          <t>Loss</t>
        </is>
      </c>
    </row>
    <row r="360">
      <c r="A360" t="inlineStr">
        <is>
          <t>open</t>
        </is>
      </c>
      <c r="B360" t="n">
        <v>2026</v>
      </c>
      <c r="C360" t="n">
        <v>2</v>
      </c>
      <c r="D360" t="inlineStr">
        <is>
          <t>Arkansas</t>
        </is>
      </c>
      <c r="E360" t="inlineStr">
        <is>
          <t>Utah</t>
        </is>
      </c>
      <c r="F360" t="inlineStr">
        <is>
          <t>Home</t>
        </is>
      </c>
      <c r="G360" t="n">
        <v>-18.2</v>
      </c>
      <c r="H360" t="n">
        <v>-11.25</v>
      </c>
      <c r="I360" t="n">
        <v>-13</v>
      </c>
      <c r="J360" t="n">
        <v>6.95</v>
      </c>
      <c r="K360" t="inlineStr">
        <is>
          <t>Yes</t>
        </is>
      </c>
      <c r="L360" t="n">
        <v>1.75</v>
      </c>
      <c r="M360" t="inlineStr">
        <is>
          <t>Win</t>
        </is>
      </c>
    </row>
    <row r="361">
      <c r="A361" t="inlineStr">
        <is>
          <t>open</t>
        </is>
      </c>
      <c r="B361" t="n">
        <v>2026</v>
      </c>
      <c r="C361" t="n">
        <v>2</v>
      </c>
      <c r="D361" t="inlineStr">
        <is>
          <t>Southern Miss</t>
        </is>
      </c>
      <c r="E361" t="inlineStr">
        <is>
          <t>Auburn</t>
        </is>
      </c>
      <c r="F361" t="inlineStr">
        <is>
          <t>Away</t>
        </is>
      </c>
      <c r="G361" t="n">
        <v>-18.33</v>
      </c>
      <c r="H361" t="n">
        <v>-29.75</v>
      </c>
      <c r="I361" t="n">
        <v>-32.75</v>
      </c>
      <c r="J361" t="n">
        <v>-11.42</v>
      </c>
      <c r="K361" t="inlineStr">
        <is>
          <t>Yes</t>
        </is>
      </c>
      <c r="L361" t="n">
        <v>-3</v>
      </c>
      <c r="M361" t="inlineStr">
        <is>
          <t>Loss</t>
        </is>
      </c>
    </row>
    <row r="362">
      <c r="A362" t="inlineStr">
        <is>
          <t>open</t>
        </is>
      </c>
      <c r="B362" t="n">
        <v>2026</v>
      </c>
      <c r="C362" t="n">
        <v>2</v>
      </c>
      <c r="D362" t="inlineStr">
        <is>
          <t>Western Kentucky</t>
        </is>
      </c>
      <c r="E362" t="inlineStr">
        <is>
          <t>Georgia</t>
        </is>
      </c>
      <c r="F362" t="inlineStr">
        <is>
          <t>Away</t>
        </is>
      </c>
      <c r="G362" t="n">
        <v>-30.33</v>
      </c>
      <c r="H362" t="n">
        <v>-37.5</v>
      </c>
      <c r="I362" t="n">
        <v>-40.25</v>
      </c>
      <c r="J362" t="n">
        <v>-7.17</v>
      </c>
      <c r="K362" t="inlineStr">
        <is>
          <t>Yes</t>
        </is>
      </c>
      <c r="L362" t="n">
        <v>-2.75</v>
      </c>
      <c r="M362" t="inlineStr">
        <is>
          <t>Loss</t>
        </is>
      </c>
    </row>
    <row r="363">
      <c r="A363" t="inlineStr">
        <is>
          <t>open</t>
        </is>
      </c>
      <c r="B363" t="n">
        <v>2026</v>
      </c>
      <c r="C363" t="n">
        <v>2</v>
      </c>
      <c r="D363" t="inlineStr">
        <is>
          <t>Alabama</t>
        </is>
      </c>
      <c r="E363" t="inlineStr">
        <is>
          <t>Kentucky</t>
        </is>
      </c>
      <c r="F363" t="inlineStr">
        <is>
          <t>Away</t>
        </is>
      </c>
      <c r="G363" t="n">
        <v>11.16</v>
      </c>
      <c r="H363" t="n">
        <v>10.5</v>
      </c>
      <c r="I363" t="n">
        <v>8.75</v>
      </c>
      <c r="J363" t="n">
        <v>-0.66</v>
      </c>
      <c r="L363" t="n">
        <v>-1.75</v>
      </c>
      <c r="M363" t="inlineStr">
        <is>
          <t>Win</t>
        </is>
      </c>
    </row>
    <row r="364">
      <c r="A364" t="inlineStr">
        <is>
          <t>open</t>
        </is>
      </c>
      <c r="B364" t="n">
        <v>2026</v>
      </c>
      <c r="C364" t="n">
        <v>2</v>
      </c>
      <c r="D364" t="inlineStr">
        <is>
          <t>Charlotte</t>
        </is>
      </c>
      <c r="E364" t="inlineStr">
        <is>
          <t>Ole Miss</t>
        </is>
      </c>
      <c r="F364" t="inlineStr">
        <is>
          <t>Away</t>
        </is>
      </c>
      <c r="G364" t="n">
        <v>-44.03</v>
      </c>
      <c r="H364" t="n">
        <v>-47</v>
      </c>
      <c r="I364" t="n">
        <v>-44.5</v>
      </c>
      <c r="J364" t="n">
        <v>-2.97</v>
      </c>
      <c r="K364" t="inlineStr">
        <is>
          <t>Yes</t>
        </is>
      </c>
      <c r="L364" t="n">
        <v>2.5</v>
      </c>
      <c r="M364" t="inlineStr">
        <is>
          <t>Win</t>
        </is>
      </c>
    </row>
    <row r="365">
      <c r="A365" t="inlineStr">
        <is>
          <t>open</t>
        </is>
      </c>
      <c r="B365" t="n">
        <v>2026</v>
      </c>
      <c r="C365" t="n">
        <v>2</v>
      </c>
      <c r="D365" t="inlineStr">
        <is>
          <t>Mississippi State</t>
        </is>
      </c>
      <c r="E365" t="inlineStr">
        <is>
          <t>Minnesota</t>
        </is>
      </c>
      <c r="F365" t="inlineStr">
        <is>
          <t>Home</t>
        </is>
      </c>
      <c r="G365" t="n">
        <v>-4.28</v>
      </c>
      <c r="H365" t="n">
        <v>-0.75</v>
      </c>
      <c r="I365" t="n">
        <v>0.25</v>
      </c>
      <c r="J365" t="n">
        <v>3.53</v>
      </c>
      <c r="K365" t="inlineStr">
        <is>
          <t>Yes</t>
        </is>
      </c>
      <c r="L365" t="n">
        <v>-1</v>
      </c>
      <c r="M365" t="inlineStr">
        <is>
          <t>Loss</t>
        </is>
      </c>
    </row>
    <row r="366">
      <c r="A366" t="inlineStr">
        <is>
          <t>open</t>
        </is>
      </c>
      <c r="B366" t="n">
        <v>2026</v>
      </c>
      <c r="C366" t="n">
        <v>2</v>
      </c>
      <c r="D366" t="inlineStr">
        <is>
          <t>Missouri</t>
        </is>
      </c>
      <c r="E366" t="inlineStr">
        <is>
          <t>Kansas</t>
        </is>
      </c>
      <c r="F366" t="inlineStr">
        <is>
          <t>Away</t>
        </is>
      </c>
      <c r="G366" t="n">
        <v>6.8</v>
      </c>
      <c r="H366" t="n">
        <v>6.75</v>
      </c>
      <c r="I366" t="n">
        <v>4</v>
      </c>
      <c r="J366" t="n">
        <v>-0.05</v>
      </c>
      <c r="L366" t="n">
        <v>-2.75</v>
      </c>
      <c r="M366" t="inlineStr">
        <is>
          <t>Win</t>
        </is>
      </c>
    </row>
    <row r="367">
      <c r="A367" t="inlineStr">
        <is>
          <t>open</t>
        </is>
      </c>
      <c r="B367" t="n">
        <v>2026</v>
      </c>
      <c r="C367" t="n">
        <v>2</v>
      </c>
      <c r="D367" t="inlineStr">
        <is>
          <t>Oklahoma</t>
        </is>
      </c>
      <c r="E367" t="inlineStr">
        <is>
          <t>Michigan</t>
        </is>
      </c>
      <c r="F367" t="inlineStr">
        <is>
          <t>Away</t>
        </is>
      </c>
      <c r="G367" t="n">
        <v>6.93</v>
      </c>
      <c r="H367" t="n">
        <v>-1.5</v>
      </c>
      <c r="I367" t="n">
        <v>5</v>
      </c>
      <c r="J367" t="n">
        <v>-8.43</v>
      </c>
      <c r="K367" t="inlineStr">
        <is>
          <t>Yes</t>
        </is>
      </c>
      <c r="L367" t="n">
        <v>6.5</v>
      </c>
      <c r="M367" t="inlineStr">
        <is>
          <t>Loss</t>
        </is>
      </c>
    </row>
    <row r="368">
      <c r="A368" t="inlineStr">
        <is>
          <t>open</t>
        </is>
      </c>
      <c r="B368" t="n">
        <v>2026</v>
      </c>
      <c r="C368" t="n">
        <v>2</v>
      </c>
      <c r="D368" t="inlineStr">
        <is>
          <t>Tennessee</t>
        </is>
      </c>
      <c r="E368" t="inlineStr">
        <is>
          <t>Georgia Tech</t>
        </is>
      </c>
      <c r="F368" t="inlineStr">
        <is>
          <t>Home</t>
        </is>
      </c>
      <c r="G368" t="n">
        <v>6.79</v>
      </c>
      <c r="H368" t="n">
        <v>11</v>
      </c>
      <c r="I368" t="n">
        <v>12.5</v>
      </c>
      <c r="J368" t="n">
        <v>4.21</v>
      </c>
      <c r="K368" t="inlineStr">
        <is>
          <t>Yes</t>
        </is>
      </c>
      <c r="L368" t="n">
        <v>-1.5</v>
      </c>
      <c r="M368" t="inlineStr">
        <is>
          <t>Loss</t>
        </is>
      </c>
    </row>
    <row r="369">
      <c r="A369" t="inlineStr">
        <is>
          <t>open</t>
        </is>
      </c>
      <c r="B369" t="n">
        <v>2026</v>
      </c>
      <c r="C369" t="n">
        <v>2</v>
      </c>
      <c r="D369" t="inlineStr">
        <is>
          <t>Ohio State</t>
        </is>
      </c>
      <c r="E369" t="inlineStr">
        <is>
          <t>Texas</t>
        </is>
      </c>
      <c r="F369" t="inlineStr">
        <is>
          <t>Away</t>
        </is>
      </c>
      <c r="G369" t="n">
        <v>4.71</v>
      </c>
      <c r="H369" t="n">
        <v>-2</v>
      </c>
      <c r="I369" t="n">
        <v>-2.25</v>
      </c>
      <c r="J369" t="n">
        <v>-6.71</v>
      </c>
      <c r="K369" t="inlineStr">
        <is>
          <t>Yes</t>
        </is>
      </c>
      <c r="L369" t="n">
        <v>-0.25</v>
      </c>
      <c r="M369" t="inlineStr">
        <is>
          <t>Win</t>
        </is>
      </c>
    </row>
    <row r="370">
      <c r="A370" t="inlineStr">
        <is>
          <t>open</t>
        </is>
      </c>
      <c r="B370" t="n">
        <v>2026</v>
      </c>
      <c r="C370" t="n">
        <v>2</v>
      </c>
      <c r="D370" t="inlineStr">
        <is>
          <t>Arizona State</t>
        </is>
      </c>
      <c r="E370" t="inlineStr">
        <is>
          <t>Texas A&amp;M</t>
        </is>
      </c>
      <c r="F370" t="inlineStr">
        <is>
          <t>Home</t>
        </is>
      </c>
      <c r="G370" t="n">
        <v>-16.94</v>
      </c>
      <c r="H370" t="n">
        <v>-14.25</v>
      </c>
      <c r="I370" t="n">
        <v>-15.25</v>
      </c>
      <c r="J370" t="n">
        <v>2.69</v>
      </c>
      <c r="K370" t="inlineStr">
        <is>
          <t>Yes</t>
        </is>
      </c>
      <c r="L370" t="n">
        <v>1</v>
      </c>
      <c r="M370" t="inlineStr">
        <is>
          <t>Win</t>
        </is>
      </c>
    </row>
    <row r="371">
      <c r="A371" t="inlineStr">
        <is>
          <t>open</t>
        </is>
      </c>
      <c r="B371" t="n">
        <v>2026</v>
      </c>
      <c r="C371" t="n">
        <v>2</v>
      </c>
      <c r="D371" t="inlineStr">
        <is>
          <t>Delaware</t>
        </is>
      </c>
      <c r="E371" t="inlineStr">
        <is>
          <t>Vanderbilt</t>
        </is>
      </c>
      <c r="F371" t="inlineStr">
        <is>
          <t>Home</t>
        </is>
      </c>
      <c r="G371" t="n">
        <v>-27.03</v>
      </c>
      <c r="H371" t="n">
        <v>-21.25</v>
      </c>
      <c r="I371" t="n">
        <v>-20.75</v>
      </c>
      <c r="J371" t="n">
        <v>5.78</v>
      </c>
      <c r="K371" t="inlineStr">
        <is>
          <t>Yes</t>
        </is>
      </c>
      <c r="L371" t="n">
        <v>-0.5</v>
      </c>
      <c r="M371" t="inlineStr">
        <is>
          <t>Loss</t>
        </is>
      </c>
    </row>
    <row r="372">
      <c r="A372" t="inlineStr">
        <is>
          <t>open</t>
        </is>
      </c>
      <c r="B372" t="n">
        <v>2026</v>
      </c>
      <c r="C372" t="n">
        <v>2</v>
      </c>
      <c r="D372" t="inlineStr">
        <is>
          <t>Washington State</t>
        </is>
      </c>
      <c r="E372" t="inlineStr">
        <is>
          <t>Kansas State</t>
        </is>
      </c>
      <c r="F372" t="inlineStr">
        <is>
          <t>Away</t>
        </is>
      </c>
      <c r="G372" t="n">
        <v>-7.91</v>
      </c>
      <c r="H372" t="n">
        <v>-17.5</v>
      </c>
      <c r="I372" t="n">
        <v>-17.75</v>
      </c>
      <c r="J372" t="n">
        <v>-9.59</v>
      </c>
      <c r="K372" t="inlineStr">
        <is>
          <t>Yes</t>
        </is>
      </c>
      <c r="L372" t="n">
        <v>-0.25</v>
      </c>
      <c r="M372" t="inlineStr">
        <is>
          <t>Loss</t>
        </is>
      </c>
    </row>
    <row r="373">
      <c r="A373" t="inlineStr">
        <is>
          <t>open</t>
        </is>
      </c>
      <c r="B373" t="n">
        <v>2026</v>
      </c>
      <c r="C373" t="n">
        <v>2</v>
      </c>
      <c r="D373" t="inlineStr">
        <is>
          <t>Oregon</t>
        </is>
      </c>
      <c r="E373" t="inlineStr">
        <is>
          <t>Oklahoma State</t>
        </is>
      </c>
      <c r="F373" t="inlineStr">
        <is>
          <t>Away</t>
        </is>
      </c>
      <c r="G373" t="n">
        <v>31.07</v>
      </c>
      <c r="H373" t="n">
        <v>20.5</v>
      </c>
      <c r="I373" t="n">
        <v>24.25</v>
      </c>
      <c r="J373" t="n">
        <v>-10.57</v>
      </c>
      <c r="K373" t="inlineStr">
        <is>
          <t>Yes</t>
        </is>
      </c>
      <c r="L373" t="n">
        <v>3.75</v>
      </c>
      <c r="M373" t="inlineStr">
        <is>
          <t>Loss</t>
        </is>
      </c>
    </row>
    <row r="374">
      <c r="A374" t="inlineStr">
        <is>
          <t>open</t>
        </is>
      </c>
      <c r="B374" t="n">
        <v>2026</v>
      </c>
      <c r="C374" t="n">
        <v>2</v>
      </c>
      <c r="D374" t="inlineStr">
        <is>
          <t>Texas Tech</t>
        </is>
      </c>
      <c r="E374" t="inlineStr">
        <is>
          <t>Oregon State</t>
        </is>
      </c>
      <c r="F374" t="inlineStr">
        <is>
          <t>Away</t>
        </is>
      </c>
      <c r="G374" t="n">
        <v>29.23</v>
      </c>
      <c r="H374" t="n">
        <v>27</v>
      </c>
      <c r="I374" t="n">
        <v>25.5</v>
      </c>
      <c r="J374" t="n">
        <v>-2.23</v>
      </c>
      <c r="K374" t="inlineStr">
        <is>
          <t>Yes</t>
        </is>
      </c>
      <c r="L374" t="n">
        <v>-1.5</v>
      </c>
      <c r="M374" t="inlineStr">
        <is>
          <t>Loss</t>
        </is>
      </c>
    </row>
    <row r="375">
      <c r="A375" t="inlineStr">
        <is>
          <t>open</t>
        </is>
      </c>
      <c r="B375" t="n">
        <v>2026</v>
      </c>
      <c r="C375" t="n">
        <v>2</v>
      </c>
      <c r="D375" t="inlineStr">
        <is>
          <t>Iowa State</t>
        </is>
      </c>
      <c r="E375" t="inlineStr">
        <is>
          <t>Iowa</t>
        </is>
      </c>
      <c r="F375" t="inlineStr">
        <is>
          <t>Home</t>
        </is>
      </c>
      <c r="G375" t="n">
        <v>-15.76</v>
      </c>
      <c r="H375" t="n">
        <v>-12.75</v>
      </c>
      <c r="I375" t="n">
        <v>-14</v>
      </c>
      <c r="J375" t="n">
        <v>3.01</v>
      </c>
      <c r="K375" t="inlineStr">
        <is>
          <t>Yes</t>
        </is>
      </c>
      <c r="L375" t="n">
        <v>1.25</v>
      </c>
      <c r="M375" t="inlineStr">
        <is>
          <t>Loss</t>
        </is>
      </c>
    </row>
    <row r="376">
      <c r="A376" t="inlineStr">
        <is>
          <t>open</t>
        </is>
      </c>
      <c r="B376" t="n">
        <v>2026</v>
      </c>
      <c r="C376" t="n">
        <v>2</v>
      </c>
      <c r="D376" t="inlineStr">
        <is>
          <t>UCF</t>
        </is>
      </c>
      <c r="E376" t="inlineStr">
        <is>
          <t>Pittsburgh</t>
        </is>
      </c>
      <c r="F376" t="inlineStr">
        <is>
          <t>Home</t>
        </is>
      </c>
      <c r="G376" t="n">
        <v>-16.06</v>
      </c>
      <c r="H376" t="n">
        <v>-8</v>
      </c>
      <c r="I376" t="n">
        <v>-7.25</v>
      </c>
      <c r="J376" t="n">
        <v>8.06</v>
      </c>
      <c r="K376" t="inlineStr">
        <is>
          <t>Yes</t>
        </is>
      </c>
      <c r="L376" t="n">
        <v>-0.75</v>
      </c>
      <c r="M376" t="inlineStr">
        <is>
          <t>Loss</t>
        </is>
      </c>
    </row>
    <row r="377">
      <c r="A377" t="inlineStr">
        <is>
          <t>open</t>
        </is>
      </c>
      <c r="B377" t="n">
        <v>2026</v>
      </c>
      <c r="C377" t="n">
        <v>2</v>
      </c>
      <c r="D377" t="inlineStr">
        <is>
          <t>Arizona</t>
        </is>
      </c>
      <c r="E377" t="inlineStr">
        <is>
          <t>BYU</t>
        </is>
      </c>
      <c r="F377" t="inlineStr">
        <is>
          <t>Home</t>
        </is>
      </c>
      <c r="G377" t="n">
        <v>-7.89</v>
      </c>
      <c r="H377" t="n">
        <v>-7</v>
      </c>
      <c r="I377" t="n">
        <v>-6.75</v>
      </c>
      <c r="J377" t="n">
        <v>0.89</v>
      </c>
      <c r="L377" t="n">
        <v>-0.25</v>
      </c>
      <c r="M377" t="inlineStr">
        <is>
          <t>Win</t>
        </is>
      </c>
    </row>
    <row r="378">
      <c r="A378" t="inlineStr">
        <is>
          <t>open</t>
        </is>
      </c>
      <c r="B378" t="n">
        <v>2026</v>
      </c>
      <c r="C378" t="n">
        <v>2</v>
      </c>
      <c r="D378" t="inlineStr">
        <is>
          <t>Rutgers</t>
        </is>
      </c>
      <c r="E378" t="inlineStr">
        <is>
          <t>Boston College</t>
        </is>
      </c>
      <c r="F378" t="inlineStr">
        <is>
          <t>Away</t>
        </is>
      </c>
      <c r="G378" t="n">
        <v>-1.92</v>
      </c>
      <c r="H378" t="n">
        <v>-3.5</v>
      </c>
      <c r="I378" t="n">
        <v>-3</v>
      </c>
      <c r="J378" t="n">
        <v>-1.58</v>
      </c>
      <c r="L378" t="n">
        <v>0.5</v>
      </c>
      <c r="M378" t="inlineStr">
        <is>
          <t>Loss</t>
        </is>
      </c>
    </row>
    <row r="379">
      <c r="A379" t="inlineStr">
        <is>
          <t>open</t>
        </is>
      </c>
      <c r="B379" t="n">
        <v>2026</v>
      </c>
      <c r="C379" t="n">
        <v>2</v>
      </c>
      <c r="D379" t="inlineStr">
        <is>
          <t>California</t>
        </is>
      </c>
      <c r="E379" t="inlineStr">
        <is>
          <t>Syracuse</t>
        </is>
      </c>
      <c r="F379" t="inlineStr">
        <is>
          <t>Away</t>
        </is>
      </c>
      <c r="G379" t="n">
        <v>1.1</v>
      </c>
      <c r="H379" t="n">
        <v>-0.75</v>
      </c>
      <c r="I379" t="n">
        <v>-4</v>
      </c>
      <c r="J379" t="n">
        <v>-1.85</v>
      </c>
      <c r="L379" t="n">
        <v>-3.25</v>
      </c>
      <c r="M379" t="inlineStr">
        <is>
          <t>Win</t>
        </is>
      </c>
    </row>
    <row r="380">
      <c r="A380" t="inlineStr">
        <is>
          <t>open</t>
        </is>
      </c>
      <c r="B380" t="n">
        <v>2026</v>
      </c>
      <c r="C380" t="n">
        <v>2</v>
      </c>
      <c r="D380" t="inlineStr">
        <is>
          <t>Duke</t>
        </is>
      </c>
      <c r="E380" t="inlineStr">
        <is>
          <t>Illinois</t>
        </is>
      </c>
      <c r="F380" t="inlineStr">
        <is>
          <t>Away</t>
        </is>
      </c>
      <c r="G380" t="n">
        <v>1</v>
      </c>
      <c r="H380" t="n">
        <v>-7.25</v>
      </c>
      <c r="I380" t="n">
        <v>-6.25</v>
      </c>
      <c r="J380" t="n">
        <v>-8.25</v>
      </c>
      <c r="K380" t="inlineStr">
        <is>
          <t>Yes</t>
        </is>
      </c>
      <c r="L380" t="n">
        <v>1</v>
      </c>
      <c r="M380" t="inlineStr">
        <is>
          <t>Win</t>
        </is>
      </c>
    </row>
    <row r="381">
      <c r="A381" t="inlineStr">
        <is>
          <t>open</t>
        </is>
      </c>
      <c r="B381" t="n">
        <v>2026</v>
      </c>
      <c r="C381" t="n">
        <v>2</v>
      </c>
      <c r="D381" t="inlineStr">
        <is>
          <t>Georgia Southern</t>
        </is>
      </c>
      <c r="E381" t="inlineStr">
        <is>
          <t>Clemson</t>
        </is>
      </c>
      <c r="F381" t="inlineStr">
        <is>
          <t>Away</t>
        </is>
      </c>
      <c r="G381" t="n">
        <v>-14.91</v>
      </c>
      <c r="H381" t="n">
        <v>-23.75</v>
      </c>
      <c r="I381" t="n">
        <v>-20</v>
      </c>
      <c r="J381" t="n">
        <v>-8.84</v>
      </c>
      <c r="K381" t="inlineStr">
        <is>
          <t>Yes</t>
        </is>
      </c>
      <c r="L381" t="n">
        <v>3.75</v>
      </c>
      <c r="M381" t="inlineStr">
        <is>
          <t>Win</t>
        </is>
      </c>
    </row>
    <row r="382">
      <c r="A382" t="inlineStr">
        <is>
          <t>open</t>
        </is>
      </c>
      <c r="B382" t="n">
        <v>2026</v>
      </c>
      <c r="C382" t="n">
        <v>2</v>
      </c>
      <c r="D382" t="inlineStr">
        <is>
          <t>Old Dominion</t>
        </is>
      </c>
      <c r="E382" t="inlineStr">
        <is>
          <t>Virginia Tech</t>
        </is>
      </c>
      <c r="F382" t="inlineStr">
        <is>
          <t>Away</t>
        </is>
      </c>
      <c r="G382" t="n">
        <v>5.32</v>
      </c>
      <c r="H382" t="n">
        <v>-16.25</v>
      </c>
      <c r="I382" t="n">
        <v>-17.75</v>
      </c>
      <c r="J382" t="n">
        <v>-21.57</v>
      </c>
      <c r="K382" t="inlineStr">
        <is>
          <t>Yes</t>
        </is>
      </c>
      <c r="L382" t="n">
        <v>-1.5</v>
      </c>
      <c r="M382" t="inlineStr">
        <is>
          <t>Loss</t>
        </is>
      </c>
    </row>
    <row r="383">
      <c r="A383" t="inlineStr">
        <is>
          <t>open</t>
        </is>
      </c>
      <c r="B383" t="n">
        <v>2026</v>
      </c>
      <c r="C383" t="n">
        <v>2</v>
      </c>
      <c r="D383" t="inlineStr">
        <is>
          <t>Wake Forest</t>
        </is>
      </c>
      <c r="E383" t="inlineStr">
        <is>
          <t>Purdue</t>
        </is>
      </c>
      <c r="F383" t="inlineStr">
        <is>
          <t>Away</t>
        </is>
      </c>
      <c r="G383" t="n">
        <v>11.28</v>
      </c>
      <c r="H383" t="n">
        <v>4</v>
      </c>
      <c r="I383" t="n">
        <v>2.5</v>
      </c>
      <c r="J383" t="n">
        <v>-7.28</v>
      </c>
      <c r="K383" t="inlineStr">
        <is>
          <t>Yes</t>
        </is>
      </c>
      <c r="L383" t="n">
        <v>-1.5</v>
      </c>
      <c r="M383" t="inlineStr">
        <is>
          <t>Loss</t>
        </is>
      </c>
    </row>
    <row r="384">
      <c r="A384" t="inlineStr">
        <is>
          <t>open</t>
        </is>
      </c>
      <c r="B384" t="n">
        <v>2026</v>
      </c>
      <c r="C384" t="n">
        <v>2</v>
      </c>
      <c r="D384" t="inlineStr">
        <is>
          <t>Eastern Michigan</t>
        </is>
      </c>
      <c r="E384" t="inlineStr">
        <is>
          <t>Michigan State</t>
        </is>
      </c>
      <c r="F384" t="inlineStr">
        <is>
          <t>Home</t>
        </is>
      </c>
      <c r="G384" t="n">
        <v>-22.12</v>
      </c>
      <c r="H384" t="n">
        <v>-16.25</v>
      </c>
      <c r="I384" t="n">
        <v>-17.5</v>
      </c>
      <c r="J384" t="n">
        <v>5.87</v>
      </c>
      <c r="K384" t="inlineStr">
        <is>
          <t>Yes</t>
        </is>
      </c>
      <c r="L384" t="n">
        <v>1.25</v>
      </c>
      <c r="M384" t="inlineStr">
        <is>
          <t>Win</t>
        </is>
      </c>
    </row>
    <row r="385">
      <c r="A385" t="inlineStr">
        <is>
          <t>open</t>
        </is>
      </c>
      <c r="B385" t="n">
        <v>2026</v>
      </c>
      <c r="C385" t="n">
        <v>2</v>
      </c>
      <c r="D385" t="inlineStr">
        <is>
          <t>Bowling Green</t>
        </is>
      </c>
      <c r="E385" t="inlineStr">
        <is>
          <t>Nebraska</t>
        </is>
      </c>
      <c r="F385" t="inlineStr">
        <is>
          <t>Home</t>
        </is>
      </c>
      <c r="G385" t="n">
        <v>-26.73</v>
      </c>
      <c r="H385" t="n">
        <v>-27.25</v>
      </c>
      <c r="I385" t="n">
        <v>-30.5</v>
      </c>
      <c r="J385" t="n">
        <v>-0.52</v>
      </c>
      <c r="L385" t="n">
        <v>3.25</v>
      </c>
      <c r="M385" t="inlineStr">
        <is>
          <t>Win</t>
        </is>
      </c>
    </row>
    <row r="386">
      <c r="A386" t="inlineStr">
        <is>
          <t>open</t>
        </is>
      </c>
      <c r="B386" t="n">
        <v>2026</v>
      </c>
      <c r="C386" t="n">
        <v>2</v>
      </c>
      <c r="D386" t="inlineStr">
        <is>
          <t>Penn State</t>
        </is>
      </c>
      <c r="E386" t="inlineStr">
        <is>
          <t>Temple</t>
        </is>
      </c>
      <c r="F386" t="inlineStr">
        <is>
          <t>Home</t>
        </is>
      </c>
      <c r="G386" t="n">
        <v>21.15</v>
      </c>
      <c r="H386" t="n">
        <v>22.5</v>
      </c>
      <c r="I386" t="n">
        <v>24.25</v>
      </c>
      <c r="J386" t="n">
        <v>1.35</v>
      </c>
      <c r="L386" t="n">
        <v>-1.75</v>
      </c>
      <c r="M386" t="inlineStr">
        <is>
          <t>Win</t>
        </is>
      </c>
    </row>
    <row r="387">
      <c r="A387" t="inlineStr">
        <is>
          <t>open</t>
        </is>
      </c>
      <c r="B387" t="n">
        <v>2026</v>
      </c>
      <c r="C387" t="n">
        <v>2</v>
      </c>
      <c r="D387" t="inlineStr">
        <is>
          <t>San Diego State</t>
        </is>
      </c>
      <c r="E387" t="inlineStr">
        <is>
          <t>UCLA</t>
        </is>
      </c>
      <c r="F387" t="inlineStr">
        <is>
          <t>Away</t>
        </is>
      </c>
      <c r="G387" t="n">
        <v>-0.67</v>
      </c>
      <c r="H387" t="n">
        <v>-10</v>
      </c>
      <c r="I387" t="n">
        <v>-13.5</v>
      </c>
      <c r="J387" t="n">
        <v>-9.33</v>
      </c>
      <c r="K387" t="inlineStr">
        <is>
          <t>Yes</t>
        </is>
      </c>
      <c r="L387" t="n">
        <v>-3.5</v>
      </c>
      <c r="M387" t="inlineStr">
        <is>
          <t>Loss</t>
        </is>
      </c>
    </row>
    <row r="388">
      <c r="A388" t="inlineStr">
        <is>
          <t>open</t>
        </is>
      </c>
      <c r="B388" t="n">
        <v>2026</v>
      </c>
      <c r="C388" t="n">
        <v>2</v>
      </c>
      <c r="D388" t="inlineStr">
        <is>
          <t>Maryland</t>
        </is>
      </c>
      <c r="E388" t="inlineStr">
        <is>
          <t>UConn</t>
        </is>
      </c>
      <c r="F388" t="inlineStr">
        <is>
          <t>Home</t>
        </is>
      </c>
      <c r="G388" t="n">
        <v>0.85</v>
      </c>
      <c r="H388" t="n">
        <v>12.5</v>
      </c>
      <c r="I388" t="n">
        <v>11.5</v>
      </c>
      <c r="J388" t="n">
        <v>11.65</v>
      </c>
      <c r="K388" t="inlineStr">
        <is>
          <t>Yes</t>
        </is>
      </c>
      <c r="L388" t="n">
        <v>1</v>
      </c>
      <c r="M388" t="inlineStr">
        <is>
          <t>Loss</t>
        </is>
      </c>
    </row>
    <row r="389">
      <c r="A389" t="inlineStr">
        <is>
          <t>open</t>
        </is>
      </c>
      <c r="B389" t="n">
        <v>2026</v>
      </c>
      <c r="C389" t="n">
        <v>2</v>
      </c>
      <c r="D389" t="inlineStr">
        <is>
          <t>Louisiana</t>
        </is>
      </c>
      <c r="E389" t="inlineStr">
        <is>
          <t>USC</t>
        </is>
      </c>
      <c r="F389" t="inlineStr">
        <is>
          <t>Home</t>
        </is>
      </c>
      <c r="G389" t="n">
        <v>-30.02</v>
      </c>
      <c r="H389" t="n">
        <v>-29.75</v>
      </c>
      <c r="I389" t="n">
        <v>-30.75</v>
      </c>
      <c r="J389" t="n">
        <v>0.27</v>
      </c>
      <c r="L389" t="n">
        <v>1</v>
      </c>
      <c r="M389" t="inlineStr">
        <is>
          <t>Loss</t>
        </is>
      </c>
    </row>
    <row r="390">
      <c r="A390" t="inlineStr">
        <is>
          <t>open</t>
        </is>
      </c>
      <c r="B390" t="n">
        <v>2026</v>
      </c>
      <c r="C390" t="n">
        <v>2</v>
      </c>
      <c r="D390" t="inlineStr">
        <is>
          <t>Utah State</t>
        </is>
      </c>
      <c r="E390" t="inlineStr">
        <is>
          <t>Washington</t>
        </is>
      </c>
      <c r="F390" t="inlineStr">
        <is>
          <t>Away</t>
        </is>
      </c>
      <c r="G390" t="n">
        <v>-20.1</v>
      </c>
      <c r="H390" t="n">
        <v>-25.5</v>
      </c>
      <c r="I390" t="n">
        <v>-28.5</v>
      </c>
      <c r="J390" t="n">
        <v>-5.4</v>
      </c>
      <c r="K390" t="inlineStr">
        <is>
          <t>Yes</t>
        </is>
      </c>
      <c r="L390" t="n">
        <v>-3</v>
      </c>
      <c r="M390" t="inlineStr">
        <is>
          <t>Win</t>
        </is>
      </c>
    </row>
    <row r="391">
      <c r="A391" t="inlineStr">
        <is>
          <t>open</t>
        </is>
      </c>
      <c r="B391" t="n">
        <v>2026</v>
      </c>
      <c r="C391" t="n">
        <v>2</v>
      </c>
      <c r="D391" t="inlineStr">
        <is>
          <t>Rice</t>
        </is>
      </c>
      <c r="E391" t="inlineStr">
        <is>
          <t>Notre Dame</t>
        </is>
      </c>
      <c r="F391" t="inlineStr">
        <is>
          <t>Home</t>
        </is>
      </c>
      <c r="G391" t="n">
        <v>-45.17</v>
      </c>
      <c r="H391" t="n">
        <v>-44.5</v>
      </c>
      <c r="I391" t="n">
        <v>-44.75</v>
      </c>
      <c r="J391" t="n">
        <v>0.67</v>
      </c>
      <c r="L391" t="n">
        <v>0.25</v>
      </c>
      <c r="M391" t="inlineStr">
        <is>
          <t>Win</t>
        </is>
      </c>
    </row>
    <row r="392">
      <c r="A392" t="inlineStr">
        <is>
          <t>open</t>
        </is>
      </c>
      <c r="B392" t="n">
        <v>2026</v>
      </c>
      <c r="C392" t="n">
        <v>2</v>
      </c>
      <c r="D392" t="inlineStr">
        <is>
          <t>Memphis</t>
        </is>
      </c>
      <c r="E392" t="inlineStr">
        <is>
          <t>Boise State</t>
        </is>
      </c>
      <c r="F392" t="inlineStr">
        <is>
          <t>Away</t>
        </is>
      </c>
      <c r="G392" t="n">
        <v>-5.94</v>
      </c>
      <c r="H392" t="n">
        <v>-7</v>
      </c>
      <c r="I392" t="n">
        <v>-9.25</v>
      </c>
      <c r="J392" t="n">
        <v>-1.06</v>
      </c>
      <c r="L392" t="n">
        <v>-2.25</v>
      </c>
      <c r="M392" t="inlineStr">
        <is>
          <t>Loss</t>
        </is>
      </c>
    </row>
    <row r="393">
      <c r="A393" t="inlineStr">
        <is>
          <t>open</t>
        </is>
      </c>
      <c r="B393" t="n">
        <v>2026</v>
      </c>
      <c r="C393" t="n">
        <v>2</v>
      </c>
      <c r="D393" t="inlineStr">
        <is>
          <t>Sacramento State</t>
        </is>
      </c>
      <c r="E393" t="inlineStr">
        <is>
          <t>Fresno State</t>
        </is>
      </c>
      <c r="F393" t="inlineStr">
        <is>
          <t>Home</t>
        </is>
      </c>
      <c r="G393" t="n">
        <v>-17.83</v>
      </c>
      <c r="H393" t="n">
        <v>-18.25</v>
      </c>
      <c r="I393" t="n">
        <v>-18</v>
      </c>
      <c r="J393" t="n">
        <v>-0.42</v>
      </c>
      <c r="L393" t="n">
        <v>-0.25</v>
      </c>
      <c r="M393" t="inlineStr">
        <is>
          <t>Win</t>
        </is>
      </c>
    </row>
    <row r="394">
      <c r="A394" t="inlineStr">
        <is>
          <t>open</t>
        </is>
      </c>
      <c r="B394" t="n">
        <v>2026</v>
      </c>
      <c r="C394" t="n">
        <v>2</v>
      </c>
      <c r="D394" t="inlineStr">
        <is>
          <t>UTSA</t>
        </is>
      </c>
      <c r="E394" t="inlineStr">
        <is>
          <t>Texas State</t>
        </is>
      </c>
      <c r="F394" t="inlineStr">
        <is>
          <t>Away</t>
        </is>
      </c>
      <c r="G394" t="n">
        <v>5.61</v>
      </c>
      <c r="H394" t="n">
        <v>-0.25</v>
      </c>
      <c r="I394" t="n">
        <v>-1.5</v>
      </c>
      <c r="J394" t="n">
        <v>-5.86</v>
      </c>
      <c r="K394" t="inlineStr">
        <is>
          <t>Yes</t>
        </is>
      </c>
      <c r="L394" t="n">
        <v>-1.25</v>
      </c>
      <c r="M394" t="inlineStr">
        <is>
          <t>Win</t>
        </is>
      </c>
    </row>
    <row r="395">
      <c r="A395" t="inlineStr">
        <is>
          <t>open</t>
        </is>
      </c>
      <c r="B395" t="n">
        <v>2026</v>
      </c>
      <c r="C395" t="n">
        <v>2</v>
      </c>
      <c r="D395" t="inlineStr">
        <is>
          <t>South Florida</t>
        </is>
      </c>
      <c r="E395" t="inlineStr">
        <is>
          <t>Army</t>
        </is>
      </c>
      <c r="F395" t="inlineStr">
        <is>
          <t>Away</t>
        </is>
      </c>
      <c r="G395" t="n">
        <v>0.23</v>
      </c>
      <c r="H395" t="n">
        <v>-2.5</v>
      </c>
      <c r="I395" t="n">
        <v>-3</v>
      </c>
      <c r="J395" t="n">
        <v>-2.73</v>
      </c>
      <c r="K395" t="inlineStr">
        <is>
          <t>Yes</t>
        </is>
      </c>
      <c r="L395" t="n">
        <v>-0.5</v>
      </c>
      <c r="M395" t="inlineStr">
        <is>
          <t>Win</t>
        </is>
      </c>
    </row>
    <row r="396">
      <c r="A396" t="inlineStr">
        <is>
          <t>open</t>
        </is>
      </c>
      <c r="B396" t="n">
        <v>2026</v>
      </c>
      <c r="C396" t="n">
        <v>2</v>
      </c>
      <c r="D396" t="inlineStr">
        <is>
          <t>Navy</t>
        </is>
      </c>
      <c r="E396" t="inlineStr">
        <is>
          <t>Florida Atlantic</t>
        </is>
      </c>
      <c r="F396" t="inlineStr">
        <is>
          <t>Away</t>
        </is>
      </c>
      <c r="G396" t="n">
        <v>18.18</v>
      </c>
      <c r="H396" t="n">
        <v>6</v>
      </c>
      <c r="I396" t="n">
        <v>4.5</v>
      </c>
      <c r="J396" t="n">
        <v>-12.18</v>
      </c>
      <c r="K396" t="inlineStr">
        <is>
          <t>Yes</t>
        </is>
      </c>
      <c r="L396" t="n">
        <v>-1.5</v>
      </c>
      <c r="M396" t="inlineStr">
        <is>
          <t>Loss</t>
        </is>
      </c>
    </row>
    <row r="397">
      <c r="A397" t="inlineStr">
        <is>
          <t>open</t>
        </is>
      </c>
      <c r="B397" t="n">
        <v>2026</v>
      </c>
      <c r="C397" t="n">
        <v>2</v>
      </c>
      <c r="D397" t="inlineStr">
        <is>
          <t>UNLV</t>
        </is>
      </c>
      <c r="E397" t="inlineStr">
        <is>
          <t>North Texas</t>
        </is>
      </c>
      <c r="F397" t="inlineStr">
        <is>
          <t>Home</t>
        </is>
      </c>
      <c r="G397" t="n">
        <v>-6.72</v>
      </c>
      <c r="H397" t="n">
        <v>5.5</v>
      </c>
      <c r="I397" t="n">
        <v>2.75</v>
      </c>
      <c r="J397" t="n">
        <v>12.22</v>
      </c>
      <c r="K397" t="inlineStr">
        <is>
          <t>Yes</t>
        </is>
      </c>
      <c r="L397" t="n">
        <v>2.75</v>
      </c>
      <c r="M397" t="inlineStr">
        <is>
          <t>Win</t>
        </is>
      </c>
    </row>
    <row r="398">
      <c r="A398" t="inlineStr">
        <is>
          <t>open</t>
        </is>
      </c>
      <c r="B398" t="n">
        <v>2026</v>
      </c>
      <c r="C398" t="n">
        <v>2</v>
      </c>
      <c r="D398" t="inlineStr">
        <is>
          <t>Tulsa</t>
        </is>
      </c>
      <c r="E398" t="inlineStr">
        <is>
          <t>Sam Houston</t>
        </is>
      </c>
      <c r="F398" t="inlineStr">
        <is>
          <t>Home</t>
        </is>
      </c>
      <c r="G398" t="n">
        <v>7.73</v>
      </c>
      <c r="H398" t="n">
        <v>12</v>
      </c>
      <c r="I398" t="n">
        <v>12</v>
      </c>
      <c r="J398" t="n">
        <v>4.27</v>
      </c>
      <c r="K398" t="inlineStr">
        <is>
          <t>Yes</t>
        </is>
      </c>
      <c r="L398" t="n">
        <v>0</v>
      </c>
      <c r="M398" t="inlineStr">
        <is>
          <t>Win</t>
        </is>
      </c>
    </row>
    <row r="399">
      <c r="A399" t="inlineStr">
        <is>
          <t>open</t>
        </is>
      </c>
      <c r="B399" t="n">
        <v>2026</v>
      </c>
      <c r="C399" t="n">
        <v>2</v>
      </c>
      <c r="D399" t="inlineStr">
        <is>
          <t>UL Monroe</t>
        </is>
      </c>
      <c r="E399" t="inlineStr">
        <is>
          <t>UAB</t>
        </is>
      </c>
      <c r="F399" t="inlineStr">
        <is>
          <t>Home</t>
        </is>
      </c>
      <c r="G399" t="n">
        <v>-12.64</v>
      </c>
      <c r="H399" t="n">
        <v>-9</v>
      </c>
      <c r="I399" t="n">
        <v>-9.25</v>
      </c>
      <c r="J399" t="n">
        <v>3.64</v>
      </c>
      <c r="K399" t="inlineStr">
        <is>
          <t>Yes</t>
        </is>
      </c>
      <c r="L399" t="n">
        <v>0.25</v>
      </c>
      <c r="M399" t="inlineStr">
        <is>
          <t>Loss</t>
        </is>
      </c>
    </row>
    <row r="400">
      <c r="A400" t="inlineStr">
        <is>
          <t>open</t>
        </is>
      </c>
      <c r="B400" t="n">
        <v>2026</v>
      </c>
      <c r="C400" t="n">
        <v>2</v>
      </c>
      <c r="D400" t="inlineStr">
        <is>
          <t>North Dakota State</t>
        </is>
      </c>
      <c r="E400" t="inlineStr">
        <is>
          <t>Air Force</t>
        </is>
      </c>
      <c r="F400" t="inlineStr">
        <is>
          <t>Away</t>
        </is>
      </c>
      <c r="G400" t="n">
        <v>18.67</v>
      </c>
      <c r="H400" t="n">
        <v>5</v>
      </c>
      <c r="I400" t="n">
        <v>1.75</v>
      </c>
      <c r="J400" t="n">
        <v>-13.67</v>
      </c>
      <c r="K400" t="inlineStr">
        <is>
          <t>Yes</t>
        </is>
      </c>
      <c r="L400" t="n">
        <v>-3.25</v>
      </c>
      <c r="M400" t="inlineStr">
        <is>
          <t>Win</t>
        </is>
      </c>
    </row>
    <row r="401">
      <c r="A401" t="inlineStr">
        <is>
          <t>open</t>
        </is>
      </c>
      <c r="B401" t="n">
        <v>2026</v>
      </c>
      <c r="C401" t="n">
        <v>2</v>
      </c>
      <c r="D401" t="inlineStr">
        <is>
          <t>App State</t>
        </is>
      </c>
      <c r="E401" t="inlineStr">
        <is>
          <t>East Carolina</t>
        </is>
      </c>
      <c r="F401" t="inlineStr">
        <is>
          <t>Home</t>
        </is>
      </c>
      <c r="G401" t="n">
        <v>-17.44</v>
      </c>
      <c r="H401" t="n">
        <v>-9.75</v>
      </c>
      <c r="I401" t="n">
        <v>-6.5</v>
      </c>
      <c r="J401" t="n">
        <v>7.69</v>
      </c>
      <c r="K401" t="inlineStr">
        <is>
          <t>Yes</t>
        </is>
      </c>
      <c r="L401" t="n">
        <v>-3.25</v>
      </c>
      <c r="M401" t="inlineStr">
        <is>
          <t>Loss</t>
        </is>
      </c>
    </row>
    <row r="402">
      <c r="A402" t="inlineStr">
        <is>
          <t>open</t>
        </is>
      </c>
      <c r="B402" t="n">
        <v>2026</v>
      </c>
      <c r="C402" t="n">
        <v>2</v>
      </c>
      <c r="D402" t="inlineStr">
        <is>
          <t>South Alabama</t>
        </is>
      </c>
      <c r="E402" t="inlineStr">
        <is>
          <t>Tulane</t>
        </is>
      </c>
      <c r="F402" t="inlineStr">
        <is>
          <t>Home</t>
        </is>
      </c>
      <c r="G402" t="n">
        <v>-15.05</v>
      </c>
      <c r="H402" t="n">
        <v>-10</v>
      </c>
      <c r="I402" t="n">
        <v>-9.5</v>
      </c>
      <c r="J402" t="n">
        <v>5.05</v>
      </c>
      <c r="K402" t="inlineStr">
        <is>
          <t>Yes</t>
        </is>
      </c>
      <c r="L402" t="n">
        <v>-0.5</v>
      </c>
      <c r="M402" t="inlineStr">
        <is>
          <t>Loss</t>
        </is>
      </c>
    </row>
    <row r="403">
      <c r="A403" t="inlineStr">
        <is>
          <t>open</t>
        </is>
      </c>
      <c r="B403" t="n">
        <v>2026</v>
      </c>
      <c r="C403" t="n">
        <v>2</v>
      </c>
      <c r="D403" t="inlineStr">
        <is>
          <t>New Mexico State</t>
        </is>
      </c>
      <c r="E403" t="inlineStr">
        <is>
          <t>Hawai'i</t>
        </is>
      </c>
      <c r="F403" t="inlineStr">
        <is>
          <t>Away</t>
        </is>
      </c>
      <c r="G403" t="n">
        <v>-7.09</v>
      </c>
      <c r="H403" t="n">
        <v>-10.75</v>
      </c>
      <c r="I403" t="n">
        <v>-7.5</v>
      </c>
      <c r="J403" t="n">
        <v>-3.66</v>
      </c>
      <c r="K403" t="inlineStr">
        <is>
          <t>Yes</t>
        </is>
      </c>
      <c r="L403" t="n">
        <v>3.25</v>
      </c>
      <c r="M403" t="inlineStr">
        <is>
          <t>Win</t>
        </is>
      </c>
    </row>
    <row r="404">
      <c r="A404" t="inlineStr">
        <is>
          <t>open</t>
        </is>
      </c>
      <c r="B404" t="n">
        <v>2026</v>
      </c>
      <c r="C404" t="n">
        <v>2</v>
      </c>
      <c r="D404" t="inlineStr">
        <is>
          <t>Buffalo</t>
        </is>
      </c>
      <c r="E404" t="inlineStr">
        <is>
          <t>Florida International</t>
        </is>
      </c>
      <c r="F404" t="inlineStr">
        <is>
          <t>Away</t>
        </is>
      </c>
      <c r="G404" t="n">
        <v>-7.48</v>
      </c>
      <c r="H404" t="n">
        <v>-10.25</v>
      </c>
      <c r="I404" t="n">
        <v>-8.75</v>
      </c>
      <c r="J404" t="n">
        <v>-2.77</v>
      </c>
      <c r="K404" t="inlineStr">
        <is>
          <t>Yes</t>
        </is>
      </c>
      <c r="L404" t="n">
        <v>1.5</v>
      </c>
      <c r="M404" t="inlineStr">
        <is>
          <t>Loss</t>
        </is>
      </c>
    </row>
    <row r="405">
      <c r="A405" t="inlineStr">
        <is>
          <t>open</t>
        </is>
      </c>
      <c r="B405" t="n">
        <v>2026</v>
      </c>
      <c r="C405" t="n">
        <v>2</v>
      </c>
      <c r="D405" t="inlineStr">
        <is>
          <t>Jacksonville State</t>
        </is>
      </c>
      <c r="E405" t="inlineStr">
        <is>
          <t>Ohio</t>
        </is>
      </c>
      <c r="F405" t="inlineStr">
        <is>
          <t>Home</t>
        </is>
      </c>
      <c r="G405" t="n">
        <v>-2.27</v>
      </c>
      <c r="H405" t="n">
        <v>-2.25</v>
      </c>
      <c r="I405" t="n">
        <v>-1.75</v>
      </c>
      <c r="J405" t="n">
        <v>0.02</v>
      </c>
      <c r="L405" t="n">
        <v>-0.5</v>
      </c>
      <c r="M405" t="inlineStr">
        <is>
          <t>Loss</t>
        </is>
      </c>
    </row>
    <row r="406">
      <c r="A406" t="inlineStr">
        <is>
          <t>open</t>
        </is>
      </c>
      <c r="B406" t="n">
        <v>2026</v>
      </c>
      <c r="C406" t="n">
        <v>2</v>
      </c>
      <c r="D406" t="inlineStr">
        <is>
          <t>Louisiana Tech</t>
        </is>
      </c>
      <c r="E406" t="inlineStr">
        <is>
          <t>LSU</t>
        </is>
      </c>
      <c r="F406" t="inlineStr">
        <is>
          <t>Away</t>
        </is>
      </c>
      <c r="G406" t="n">
        <v>-23.63</v>
      </c>
      <c r="H406" t="n">
        <v>-32.5</v>
      </c>
      <c r="I406" t="n">
        <v>-34.75</v>
      </c>
      <c r="J406" t="n">
        <v>-8.869999999999999</v>
      </c>
      <c r="K406" t="inlineStr">
        <is>
          <t>Yes</t>
        </is>
      </c>
      <c r="L406" t="n">
        <v>-2.25</v>
      </c>
      <c r="M406" t="inlineStr">
        <is>
          <t>Win</t>
        </is>
      </c>
    </row>
    <row r="407">
      <c r="A407" t="inlineStr">
        <is>
          <t>open</t>
        </is>
      </c>
      <c r="B407" t="n">
        <v>2026</v>
      </c>
      <c r="C407" t="n">
        <v>2</v>
      </c>
      <c r="D407" t="inlineStr">
        <is>
          <t>Georgia State</t>
        </is>
      </c>
      <c r="E407" t="inlineStr">
        <is>
          <t>Kennesaw State</t>
        </is>
      </c>
      <c r="F407" t="inlineStr">
        <is>
          <t>Home</t>
        </is>
      </c>
      <c r="G407" t="n">
        <v>-11.26</v>
      </c>
      <c r="H407" t="n">
        <v>-9.25</v>
      </c>
      <c r="I407" t="n">
        <v>-7.5</v>
      </c>
      <c r="J407" t="n">
        <v>2.01</v>
      </c>
      <c r="K407" t="inlineStr">
        <is>
          <t>Yes</t>
        </is>
      </c>
      <c r="L407" t="n">
        <v>-1.75</v>
      </c>
      <c r="M407" t="inlineStr">
        <is>
          <t>Loss</t>
        </is>
      </c>
    </row>
    <row r="408">
      <c r="A408" t="inlineStr">
        <is>
          <t>open</t>
        </is>
      </c>
      <c r="B408" t="n">
        <v>2026</v>
      </c>
      <c r="C408" t="n">
        <v>2</v>
      </c>
      <c r="D408" t="inlineStr">
        <is>
          <t>Middle Tennessee</t>
        </is>
      </c>
      <c r="E408" t="inlineStr">
        <is>
          <t>Marshall</t>
        </is>
      </c>
      <c r="F408" t="inlineStr">
        <is>
          <t>Away</t>
        </is>
      </c>
      <c r="G408" t="n">
        <v>-7.94</v>
      </c>
      <c r="H408" t="n">
        <v>-15.75</v>
      </c>
      <c r="I408" t="n">
        <v>-12.25</v>
      </c>
      <c r="J408" t="n">
        <v>-7.81</v>
      </c>
      <c r="K408" t="inlineStr">
        <is>
          <t>Yes</t>
        </is>
      </c>
      <c r="L408" t="n">
        <v>3.5</v>
      </c>
      <c r="M408" t="inlineStr">
        <is>
          <t>Win</t>
        </is>
      </c>
    </row>
  </sheetData>
  <mergeCells count="1">
    <mergeCell ref="A2:L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1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8" customWidth="1" min="4" max="4"/>
    <col width="18" customWidth="1" min="5" max="5"/>
    <col width="11" customWidth="1" min="6" max="6"/>
    <col width="11" customWidth="1" min="7" max="7"/>
    <col width="10" customWidth="1" min="8" max="8"/>
    <col width="15" customWidth="1" min="9" max="9"/>
    <col width="11" customWidth="1" min="10" max="10"/>
    <col width="11" customWidth="1" min="11" max="11"/>
    <col width="10" customWidth="1" min="12" max="12"/>
    <col width="15" customWidth="1" min="13" max="13"/>
    <col width="11" customWidth="1" min="14" max="14"/>
    <col width="11" customWidth="1" min="15" max="15"/>
    <col width="10" customWidth="1" min="16" max="16"/>
    <col width="15" customWidth="1" min="17" max="17"/>
    <col width="11" customWidth="1" min="18" max="18"/>
    <col width="11" customWidth="1" min="19" max="19"/>
    <col width="10" customWidth="1" min="20" max="20"/>
    <col width="15" customWidth="1" min="21" max="21"/>
    <col width="17" customWidth="1" min="22" max="22"/>
    <col width="20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62" t="inlineStr">
        <is>
          <t>Dub Gamma vs. Ridge vs. XGBoost vs. Massey -- Model Comparison</t>
        </is>
      </c>
    </row>
    <row r="2">
      <c r="A2" s="44" t="inlineStr">
        <is>
          <t>Informational only. The Dub Gamma Model (Sonny-Moore-seeded) is the live model everywhere else in this workbook and on the website -- Ridge, XGBoost, and Massey are candidates being evaluated here, not replacements. Gamma has no rating (and so no prediction) for any season before it was seeded -- its columns read "n/a" for older games. Massey (a simultaneous-solve rating method, see src/massey_model.py) needs no seed, so it's graded across every season here; it isn't shown in the live Upcoming Games table below since predict_week.py doesn't produce a Massey prediction yet.</t>
        </is>
      </c>
    </row>
    <row r="4">
      <c r="A4" s="63" t="inlineStr">
        <is>
          <t>All-Time (every season in the backtest)</t>
        </is>
      </c>
    </row>
    <row r="5">
      <c r="A5" s="64" t="inlineStr">
        <is>
          <t>Model</t>
        </is>
      </c>
      <c r="B5" s="64" t="inlineStr">
        <is>
          <t>Games Graded</t>
        </is>
      </c>
      <c r="C5" s="64" t="inlineStr">
        <is>
          <t>Picks Graded</t>
        </is>
      </c>
      <c r="D5" s="64" t="inlineStr">
        <is>
          <t>Wins</t>
        </is>
      </c>
      <c r="E5" s="64" t="inlineStr">
        <is>
          <t>Losses</t>
        </is>
      </c>
      <c r="F5" s="64" t="inlineStr">
        <is>
          <t>Pushes</t>
        </is>
      </c>
      <c r="G5" s="64" t="inlineStr">
        <is>
          <t>ATS Win %</t>
        </is>
      </c>
      <c r="H5" s="64" t="inlineStr">
        <is>
          <t>ROI (flat stake)</t>
        </is>
      </c>
      <c r="I5" s="64" t="inlineStr">
        <is>
          <t>Real Edge Bets</t>
        </is>
      </c>
      <c r="J5" s="64" t="inlineStr">
        <is>
          <t>Real Edge Win %</t>
        </is>
      </c>
      <c r="K5" s="64" t="inlineStr">
        <is>
          <t>Tightest Of The Four (CLV)</t>
        </is>
      </c>
      <c r="L5" s="64" t="inlineStr">
        <is>
          <t>CLV Pts (cum.)</t>
        </is>
      </c>
    </row>
    <row r="6">
      <c r="A6" s="42" t="inlineStr">
        <is>
          <t>Dub Gamma Model (live model) -- all FBS</t>
        </is>
      </c>
      <c r="B6" s="42" t="n">
        <v>8999</v>
      </c>
      <c r="C6" s="42" t="n">
        <v>559</v>
      </c>
      <c r="D6" s="42" t="n">
        <v>296</v>
      </c>
      <c r="E6" s="42" t="n">
        <v>263</v>
      </c>
      <c r="F6" s="42" t="n">
        <v>7</v>
      </c>
      <c r="G6" s="42" t="inlineStr">
        <is>
          <t>52.9%</t>
        </is>
      </c>
      <c r="H6" s="42" t="inlineStr">
        <is>
          <t>+1.1%</t>
        </is>
      </c>
      <c r="I6" s="42" t="n">
        <v>423</v>
      </c>
      <c r="J6" s="42" t="inlineStr">
        <is>
          <t>53.0%</t>
        </is>
      </c>
      <c r="K6" s="42" t="inlineStr">
        <is>
          <t>195/566 (34%)</t>
        </is>
      </c>
      <c r="L6" s="42" t="inlineStr">
        <is>
          <t>+577.4</t>
        </is>
      </c>
    </row>
    <row r="7">
      <c r="A7" s="42" t="inlineStr">
        <is>
          <t>Dub Gamma Model (live model) -- MW-involved</t>
        </is>
      </c>
      <c r="B7" s="42" t="n">
        <v>1010</v>
      </c>
      <c r="C7" s="42" t="n">
        <v>54</v>
      </c>
      <c r="D7" s="42" t="n">
        <v>35</v>
      </c>
      <c r="E7" s="42" t="n">
        <v>19</v>
      </c>
      <c r="F7" s="42" t="n">
        <v>0</v>
      </c>
      <c r="G7" s="42" t="inlineStr">
        <is>
          <t>64.8%</t>
        </is>
      </c>
      <c r="H7" s="42" t="inlineStr">
        <is>
          <t>+23.7%</t>
        </is>
      </c>
      <c r="I7" s="42" t="n">
        <v>41</v>
      </c>
      <c r="J7" s="42" t="inlineStr">
        <is>
          <t>61.0%</t>
        </is>
      </c>
      <c r="K7" s="42" t="inlineStr">
        <is>
          <t>13/54 (24%)</t>
        </is>
      </c>
      <c r="L7" s="42" t="inlineStr">
        <is>
          <t>+128.8</t>
        </is>
      </c>
    </row>
    <row r="8">
      <c r="A8" s="42" t="inlineStr">
        <is>
          <t>Ridge (candidate) -- all FBS</t>
        </is>
      </c>
      <c r="B8" s="42" t="n">
        <v>8999</v>
      </c>
      <c r="C8" s="42" t="n">
        <v>8924</v>
      </c>
      <c r="D8" s="42" t="n">
        <v>4436</v>
      </c>
      <c r="E8" s="42" t="n">
        <v>4488</v>
      </c>
      <c r="F8" s="42" t="n">
        <v>75</v>
      </c>
      <c r="G8" s="42" t="inlineStr">
        <is>
          <t>49.7%</t>
        </is>
      </c>
      <c r="H8" s="42" t="inlineStr">
        <is>
          <t>-5.1%</t>
        </is>
      </c>
      <c r="I8" s="42" t="n">
        <v>7047</v>
      </c>
      <c r="J8" s="42" t="inlineStr">
        <is>
          <t>49.8%</t>
        </is>
      </c>
      <c r="K8" s="42" t="inlineStr">
        <is>
          <t>2702/8999 (30%)</t>
        </is>
      </c>
      <c r="L8" s="42" t="inlineStr">
        <is>
          <t>+5404.5</t>
        </is>
      </c>
    </row>
    <row r="9">
      <c r="A9" s="42" t="inlineStr">
        <is>
          <t>Ridge (candidate) -- MW-involved</t>
        </is>
      </c>
      <c r="B9" s="42" t="n">
        <v>1010</v>
      </c>
      <c r="C9" s="42" t="n">
        <v>998</v>
      </c>
      <c r="D9" s="42" t="n">
        <v>505</v>
      </c>
      <c r="E9" s="42" t="n">
        <v>493</v>
      </c>
      <c r="F9" s="42" t="n">
        <v>12</v>
      </c>
      <c r="G9" s="42" t="inlineStr">
        <is>
          <t>50.6%</t>
        </is>
      </c>
      <c r="H9" s="42" t="inlineStr">
        <is>
          <t>-3.4%</t>
        </is>
      </c>
      <c r="I9" s="42" t="n">
        <v>807</v>
      </c>
      <c r="J9" s="42" t="inlineStr">
        <is>
          <t>49.4%</t>
        </is>
      </c>
      <c r="K9" s="42" t="inlineStr">
        <is>
          <t>314/1010 (31%)</t>
        </is>
      </c>
      <c r="L9" s="42" t="inlineStr">
        <is>
          <t>+649.6</t>
        </is>
      </c>
    </row>
    <row r="10">
      <c r="A10" s="42" t="inlineStr">
        <is>
          <t>XGBoost (candidate) -- all FBS</t>
        </is>
      </c>
      <c r="B10" s="42" t="n">
        <v>8999</v>
      </c>
      <c r="C10" s="42" t="n">
        <v>8924</v>
      </c>
      <c r="D10" s="42" t="n">
        <v>4490</v>
      </c>
      <c r="E10" s="42" t="n">
        <v>4434</v>
      </c>
      <c r="F10" s="42" t="n">
        <v>75</v>
      </c>
      <c r="G10" s="42" t="inlineStr">
        <is>
          <t>50.3%</t>
        </is>
      </c>
      <c r="H10" s="42" t="inlineStr">
        <is>
          <t>-4.0%</t>
        </is>
      </c>
      <c r="I10" s="42" t="n">
        <v>6995</v>
      </c>
      <c r="J10" s="42" t="inlineStr">
        <is>
          <t>50.6%</t>
        </is>
      </c>
      <c r="K10" s="42" t="inlineStr">
        <is>
          <t>3118/8999 (35%)</t>
        </is>
      </c>
      <c r="L10" s="42" t="inlineStr">
        <is>
          <t>-198.0</t>
        </is>
      </c>
    </row>
    <row r="11">
      <c r="A11" s="42" t="inlineStr">
        <is>
          <t>XGBoost (candidate) -- MW-involved</t>
        </is>
      </c>
      <c r="B11" s="42" t="n">
        <v>1010</v>
      </c>
      <c r="C11" s="42" t="n">
        <v>998</v>
      </c>
      <c r="D11" s="42" t="n">
        <v>510</v>
      </c>
      <c r="E11" s="42" t="n">
        <v>488</v>
      </c>
      <c r="F11" s="42" t="n">
        <v>12</v>
      </c>
      <c r="G11" s="42" t="inlineStr">
        <is>
          <t>51.1%</t>
        </is>
      </c>
      <c r="H11" s="42" t="inlineStr">
        <is>
          <t>-2.4%</t>
        </is>
      </c>
      <c r="I11" s="42" t="n">
        <v>781</v>
      </c>
      <c r="J11" s="42" t="inlineStr">
        <is>
          <t>50.8%</t>
        </is>
      </c>
      <c r="K11" s="42" t="inlineStr">
        <is>
          <t>345/1010 (34%)</t>
        </is>
      </c>
      <c r="L11" s="42" t="inlineStr">
        <is>
          <t>+879.1</t>
        </is>
      </c>
    </row>
    <row r="12">
      <c r="A12" s="42" t="inlineStr">
        <is>
          <t>Massey (candidate) -- all FBS</t>
        </is>
      </c>
      <c r="B12" s="42" t="n">
        <v>8999</v>
      </c>
      <c r="C12" s="42" t="n">
        <v>7745</v>
      </c>
      <c r="D12" s="42" t="n">
        <v>3919</v>
      </c>
      <c r="E12" s="42" t="n">
        <v>3826</v>
      </c>
      <c r="F12" s="42" t="n">
        <v>65</v>
      </c>
      <c r="G12" s="42" t="inlineStr">
        <is>
          <t>50.6%</t>
        </is>
      </c>
      <c r="H12" s="42" t="inlineStr">
        <is>
          <t>-3.4%</t>
        </is>
      </c>
      <c r="I12" s="42" t="n">
        <v>5840</v>
      </c>
      <c r="J12" s="42" t="inlineStr">
        <is>
          <t>50.8%</t>
        </is>
      </c>
      <c r="K12" s="42" t="inlineStr">
        <is>
          <t>2984/7810 (38%)</t>
        </is>
      </c>
      <c r="L12" s="42" t="inlineStr">
        <is>
          <t>-21743.0</t>
        </is>
      </c>
    </row>
    <row r="13">
      <c r="A13" s="42" t="inlineStr">
        <is>
          <t>Massey (candidate) -- MW-involved</t>
        </is>
      </c>
      <c r="B13" s="42" t="n">
        <v>1010</v>
      </c>
      <c r="C13" s="42" t="n">
        <v>857</v>
      </c>
      <c r="D13" s="42" t="n">
        <v>438</v>
      </c>
      <c r="E13" s="42" t="n">
        <v>419</v>
      </c>
      <c r="F13" s="42" t="n">
        <v>10</v>
      </c>
      <c r="G13" s="42" t="inlineStr">
        <is>
          <t>51.1%</t>
        </is>
      </c>
      <c r="H13" s="42" t="inlineStr">
        <is>
          <t>-2.4%</t>
        </is>
      </c>
      <c r="I13" s="42" t="n">
        <v>649</v>
      </c>
      <c r="J13" s="42" t="inlineStr">
        <is>
          <t>52.2%</t>
        </is>
      </c>
      <c r="K13" s="42" t="inlineStr">
        <is>
          <t>338/867 (39%)</t>
        </is>
      </c>
      <c r="L13" s="42" t="inlineStr">
        <is>
          <t>-1358.4</t>
        </is>
      </c>
    </row>
    <row r="15">
      <c r="A15" s="63" t="inlineStr">
        <is>
          <t>2026 Season Only</t>
        </is>
      </c>
    </row>
    <row r="16">
      <c r="A16" s="64" t="inlineStr">
        <is>
          <t>Model</t>
        </is>
      </c>
      <c r="B16" s="64" t="inlineStr">
        <is>
          <t>Games Graded</t>
        </is>
      </c>
      <c r="C16" s="64" t="inlineStr">
        <is>
          <t>Picks Graded</t>
        </is>
      </c>
      <c r="D16" s="64" t="inlineStr">
        <is>
          <t>Wins</t>
        </is>
      </c>
      <c r="E16" s="64" t="inlineStr">
        <is>
          <t>Losses</t>
        </is>
      </c>
      <c r="F16" s="64" t="inlineStr">
        <is>
          <t>Pushes</t>
        </is>
      </c>
      <c r="G16" s="64" t="inlineStr">
        <is>
          <t>ATS Win %</t>
        </is>
      </c>
      <c r="H16" s="64" t="inlineStr">
        <is>
          <t>ROI (flat stake)</t>
        </is>
      </c>
      <c r="I16" s="64" t="inlineStr">
        <is>
          <t>Real Edge Bets</t>
        </is>
      </c>
      <c r="J16" s="64" t="inlineStr">
        <is>
          <t>Real Edge Win %</t>
        </is>
      </c>
      <c r="K16" s="64" t="inlineStr">
        <is>
          <t>Tightest Of The Four (CLV)</t>
        </is>
      </c>
      <c r="L16" s="64" t="inlineStr">
        <is>
          <t>CLV Pts (cum.)</t>
        </is>
      </c>
    </row>
    <row r="17">
      <c r="A17" s="42" t="inlineStr">
        <is>
          <t>Dub Gamma Model (live model) -- all FBS</t>
        </is>
      </c>
      <c r="B17" s="42" t="n">
        <v>566</v>
      </c>
      <c r="C17" s="42" t="n">
        <v>559</v>
      </c>
      <c r="D17" s="42" t="n">
        <v>296</v>
      </c>
      <c r="E17" s="42" t="n">
        <v>263</v>
      </c>
      <c r="F17" s="42" t="n">
        <v>7</v>
      </c>
      <c r="G17" s="42" t="inlineStr">
        <is>
          <t>52.9%</t>
        </is>
      </c>
      <c r="H17" s="42" t="inlineStr">
        <is>
          <t>+1.1%</t>
        </is>
      </c>
      <c r="I17" s="42" t="n">
        <v>423</v>
      </c>
      <c r="J17" s="42" t="inlineStr">
        <is>
          <t>53.0%</t>
        </is>
      </c>
      <c r="K17" s="42" t="inlineStr">
        <is>
          <t>195/566 (34%)</t>
        </is>
      </c>
      <c r="L17" s="42" t="inlineStr">
        <is>
          <t>+577.4</t>
        </is>
      </c>
    </row>
    <row r="18">
      <c r="A18" s="42" t="inlineStr">
        <is>
          <t>Dub Gamma Model (live model) -- MW-involved</t>
        </is>
      </c>
      <c r="B18" s="42" t="n">
        <v>54</v>
      </c>
      <c r="C18" s="42" t="n">
        <v>54</v>
      </c>
      <c r="D18" s="42" t="n">
        <v>35</v>
      </c>
      <c r="E18" s="42" t="n">
        <v>19</v>
      </c>
      <c r="F18" s="42" t="n">
        <v>0</v>
      </c>
      <c r="G18" s="42" t="inlineStr">
        <is>
          <t>64.8%</t>
        </is>
      </c>
      <c r="H18" s="42" t="inlineStr">
        <is>
          <t>+23.7%</t>
        </is>
      </c>
      <c r="I18" s="42" t="n">
        <v>41</v>
      </c>
      <c r="J18" s="42" t="inlineStr">
        <is>
          <t>61.0%</t>
        </is>
      </c>
      <c r="K18" s="42" t="inlineStr">
        <is>
          <t>13/54 (24%)</t>
        </is>
      </c>
      <c r="L18" s="42" t="inlineStr">
        <is>
          <t>+128.8</t>
        </is>
      </c>
    </row>
    <row r="19">
      <c r="A19" s="42" t="inlineStr">
        <is>
          <t>Ridge (candidate) -- all FBS</t>
        </is>
      </c>
      <c r="B19" s="42" t="n">
        <v>566</v>
      </c>
      <c r="C19" s="42" t="n">
        <v>559</v>
      </c>
      <c r="D19" s="42" t="n">
        <v>278</v>
      </c>
      <c r="E19" s="42" t="n">
        <v>281</v>
      </c>
      <c r="F19" s="42" t="n">
        <v>7</v>
      </c>
      <c r="G19" s="42" t="inlineStr">
        <is>
          <t>49.7%</t>
        </is>
      </c>
      <c r="H19" s="42" t="inlineStr">
        <is>
          <t>-5.1%</t>
        </is>
      </c>
      <c r="I19" s="42" t="n">
        <v>451</v>
      </c>
      <c r="J19" s="42" t="inlineStr">
        <is>
          <t>48.2%</t>
        </is>
      </c>
      <c r="K19" s="42" t="inlineStr">
        <is>
          <t>129/566 (23%)</t>
        </is>
      </c>
      <c r="L19" s="42" t="inlineStr">
        <is>
          <t>-690.4</t>
        </is>
      </c>
    </row>
    <row r="20">
      <c r="A20" s="42" t="inlineStr">
        <is>
          <t>Ridge (candidate) -- MW-involved</t>
        </is>
      </c>
      <c r="B20" s="42" t="n">
        <v>54</v>
      </c>
      <c r="C20" s="42" t="n">
        <v>54</v>
      </c>
      <c r="D20" s="42" t="n">
        <v>28</v>
      </c>
      <c r="E20" s="42" t="n">
        <v>26</v>
      </c>
      <c r="F20" s="42" t="n">
        <v>0</v>
      </c>
      <c r="G20" s="42" t="inlineStr">
        <is>
          <t>51.8%</t>
        </is>
      </c>
      <c r="H20" s="42" t="inlineStr">
        <is>
          <t>-1.0%</t>
        </is>
      </c>
      <c r="I20" s="42" t="n">
        <v>42</v>
      </c>
      <c r="J20" s="42" t="inlineStr">
        <is>
          <t>47.6%</t>
        </is>
      </c>
      <c r="K20" s="42" t="inlineStr">
        <is>
          <t>13/54 (24%)</t>
        </is>
      </c>
      <c r="L20" s="42" t="inlineStr">
        <is>
          <t>+60.0</t>
        </is>
      </c>
    </row>
    <row r="21">
      <c r="A21" s="42" t="inlineStr">
        <is>
          <t>XGBoost (candidate) -- all FBS</t>
        </is>
      </c>
      <c r="B21" s="42" t="n">
        <v>566</v>
      </c>
      <c r="C21" s="42" t="n">
        <v>559</v>
      </c>
      <c r="D21" s="42" t="n">
        <v>275</v>
      </c>
      <c r="E21" s="42" t="n">
        <v>284</v>
      </c>
      <c r="F21" s="42" t="n">
        <v>7</v>
      </c>
      <c r="G21" s="42" t="inlineStr">
        <is>
          <t>49.2%</t>
        </is>
      </c>
      <c r="H21" s="42" t="inlineStr">
        <is>
          <t>-6.1%</t>
        </is>
      </c>
      <c r="I21" s="42" t="n">
        <v>437</v>
      </c>
      <c r="J21" s="42" t="inlineStr">
        <is>
          <t>47.7%</t>
        </is>
      </c>
      <c r="K21" s="42" t="inlineStr">
        <is>
          <t>137/566 (24%)</t>
        </is>
      </c>
      <c r="L21" s="42" t="inlineStr">
        <is>
          <t>-704.0</t>
        </is>
      </c>
    </row>
    <row r="22">
      <c r="A22" s="42" t="inlineStr">
        <is>
          <t>XGBoost (candidate) -- MW-involved</t>
        </is>
      </c>
      <c r="B22" s="42" t="n">
        <v>54</v>
      </c>
      <c r="C22" s="42" t="n">
        <v>54</v>
      </c>
      <c r="D22" s="42" t="n">
        <v>26</v>
      </c>
      <c r="E22" s="42" t="n">
        <v>28</v>
      </c>
      <c r="F22" s="42" t="n">
        <v>0</v>
      </c>
      <c r="G22" s="42" t="inlineStr">
        <is>
          <t>48.1%</t>
        </is>
      </c>
      <c r="H22" s="42" t="inlineStr">
        <is>
          <t>-8.1%</t>
        </is>
      </c>
      <c r="I22" s="42" t="n">
        <v>41</v>
      </c>
      <c r="J22" s="42" t="inlineStr">
        <is>
          <t>41.5%</t>
        </is>
      </c>
      <c r="K22" s="42" t="inlineStr">
        <is>
          <t>17/54 (31%)</t>
        </is>
      </c>
      <c r="L22" s="42" t="inlineStr">
        <is>
          <t>+31.9</t>
        </is>
      </c>
    </row>
    <row r="23">
      <c r="A23" s="42" t="inlineStr">
        <is>
          <t>Massey (candidate) -- all FBS</t>
        </is>
      </c>
      <c r="B23" s="42" t="n">
        <v>566</v>
      </c>
      <c r="C23" s="42" t="n">
        <v>462</v>
      </c>
      <c r="D23" s="42" t="n">
        <v>211</v>
      </c>
      <c r="E23" s="42" t="n">
        <v>251</v>
      </c>
      <c r="F23" s="42" t="n">
        <v>5</v>
      </c>
      <c r="G23" s="42" t="inlineStr">
        <is>
          <t>45.7%</t>
        </is>
      </c>
      <c r="H23" s="42" t="inlineStr">
        <is>
          <t>-12.8%</t>
        </is>
      </c>
      <c r="I23" s="42" t="n">
        <v>374</v>
      </c>
      <c r="J23" s="42" t="inlineStr">
        <is>
          <t>47.0%</t>
        </is>
      </c>
      <c r="K23" s="42" t="inlineStr">
        <is>
          <t>105/467 (22%)</t>
        </is>
      </c>
      <c r="L23" s="42" t="inlineStr">
        <is>
          <t>-2829.9</t>
        </is>
      </c>
    </row>
    <row r="24">
      <c r="A24" s="42" t="inlineStr">
        <is>
          <t>Massey (candidate) -- MW-involved</t>
        </is>
      </c>
      <c r="B24" s="42" t="n">
        <v>54</v>
      </c>
      <c r="C24" s="42" t="n">
        <v>41</v>
      </c>
      <c r="D24" s="42" t="n">
        <v>26</v>
      </c>
      <c r="E24" s="42" t="n">
        <v>15</v>
      </c>
      <c r="F24" s="42" t="n">
        <v>0</v>
      </c>
      <c r="G24" s="42" t="inlineStr">
        <is>
          <t>63.4%</t>
        </is>
      </c>
      <c r="H24" s="42" t="inlineStr">
        <is>
          <t>+21.1%</t>
        </is>
      </c>
      <c r="I24" s="42" t="n">
        <v>34</v>
      </c>
      <c r="J24" s="42" t="inlineStr">
        <is>
          <t>61.8%</t>
        </is>
      </c>
      <c r="K24" s="42" t="inlineStr">
        <is>
          <t>11/41 (27%)</t>
        </is>
      </c>
      <c r="L24" s="42" t="inlineStr">
        <is>
          <t>-120.9</t>
        </is>
      </c>
    </row>
    <row r="26">
      <c r="A26" s="44" t="inlineStr">
        <is>
          <t>Ridge and XGBoost (the two candidates) agree with each other in 76.8% of all graded games. Ridge agrees with the live model (Gamma) in 61.1% of games it has a rating for. XGBoost agrees with the live model (Gamma) in 64.8% of games it has a rating for. Massey agrees with the live model (Gamma) in 46.9% of games it has a rating for.</t>
        </is>
      </c>
    </row>
    <row r="28">
      <c r="A28" s="63" t="inlineStr">
        <is>
          <t>Upcoming Games -- Ridge vs. XGBoost vs. Dub Gamma (Not Yet Graded)</t>
        </is>
      </c>
    </row>
    <row r="29">
      <c r="A29" s="44" t="inlineStr">
        <is>
          <t>Massey (the fourth candidate below in the graded tables) isn't shown here -- predict_week.py doesn't produce a Massey prediction yet, so it has no live line to show for upcoming games.</t>
        </is>
      </c>
    </row>
    <row r="30">
      <c r="A30" s="64" t="inlineStr">
        <is>
          <t>Week</t>
        </is>
      </c>
      <c r="B30" s="64" t="inlineStr">
        <is>
          <t>Matchup</t>
        </is>
      </c>
      <c r="C30" s="64" t="inlineStr">
        <is>
          <t>Market Line (Home)</t>
        </is>
      </c>
      <c r="D30" s="64" t="inlineStr">
        <is>
          <t>Ridge Line</t>
        </is>
      </c>
      <c r="E30" s="64" t="inlineStr">
        <is>
          <t>XGBoost Line</t>
        </is>
      </c>
      <c r="F30" s="64" t="inlineStr">
        <is>
          <t>Gamma Line</t>
        </is>
      </c>
      <c r="G30" s="64" t="inlineStr">
        <is>
          <t>Ridge Lean</t>
        </is>
      </c>
      <c r="H30" s="64" t="inlineStr">
        <is>
          <t>XGBoost Lean</t>
        </is>
      </c>
      <c r="I30" s="64" t="inlineStr">
        <is>
          <t>Gamma Lean</t>
        </is>
      </c>
      <c r="J30" s="64" t="inlineStr">
        <is>
          <t>Ridge/XGBoost Agree?</t>
        </is>
      </c>
      <c r="K30" s="64" t="inlineStr">
        <is>
          <t>Tightest (Live)*</t>
        </is>
      </c>
    </row>
    <row r="31">
      <c r="A31" s="42" t="n">
        <v>9</v>
      </c>
      <c r="B31" s="42" t="inlineStr">
        <is>
          <t>Delaware @ Western Kentucky</t>
        </is>
      </c>
      <c r="C31" s="42" t="inlineStr">
        <is>
          <t>+1.5</t>
        </is>
      </c>
      <c r="D31" s="42" t="inlineStr">
        <is>
          <t>-6.7</t>
        </is>
      </c>
      <c r="E31" s="42" t="inlineStr">
        <is>
          <t>-8.0</t>
        </is>
      </c>
      <c r="F31" s="42" t="inlineStr">
        <is>
          <t>-2.7</t>
        </is>
      </c>
      <c r="G31" s="42" t="inlineStr">
        <is>
          <t>Home</t>
        </is>
      </c>
      <c r="H31" s="42" t="inlineStr">
        <is>
          <t>Home</t>
        </is>
      </c>
      <c r="I31" s="42" t="inlineStr">
        <is>
          <t>Home</t>
        </is>
      </c>
      <c r="J31" s="42" t="inlineStr">
        <is>
          <t>Yes</t>
        </is>
      </c>
      <c r="K31" s="65" t="inlineStr">
        <is>
          <t>Gamma</t>
        </is>
      </c>
    </row>
    <row r="32">
      <c r="A32" s="42" t="n">
        <v>9</v>
      </c>
      <c r="B32" s="42" t="inlineStr">
        <is>
          <t>Sam Houston @ Missouri State</t>
        </is>
      </c>
      <c r="C32" s="42" t="inlineStr">
        <is>
          <t>-6.0</t>
        </is>
      </c>
      <c r="D32" s="42" t="inlineStr">
        <is>
          <t>-6.2</t>
        </is>
      </c>
      <c r="E32" s="42" t="inlineStr">
        <is>
          <t>-6.7</t>
        </is>
      </c>
      <c r="F32" s="42" t="inlineStr">
        <is>
          <t>-9.1</t>
        </is>
      </c>
      <c r="G32" s="42" t="inlineStr">
        <is>
          <t>Home (auto)</t>
        </is>
      </c>
      <c r="H32" s="42" t="inlineStr">
        <is>
          <t>Home (auto)</t>
        </is>
      </c>
      <c r="I32" s="42" t="inlineStr">
        <is>
          <t>Home</t>
        </is>
      </c>
      <c r="J32" s="42" t="inlineStr">
        <is>
          <t>Yes</t>
        </is>
      </c>
      <c r="K32" s="65" t="inlineStr">
        <is>
          <t>Ridge</t>
        </is>
      </c>
    </row>
    <row r="33">
      <c r="A33" s="42" t="n">
        <v>9</v>
      </c>
      <c r="B33" s="42" t="inlineStr">
        <is>
          <t>Kennesaw State @ Middle Tennessee</t>
        </is>
      </c>
      <c r="C33" s="42" t="inlineStr">
        <is>
          <t>-3.0</t>
        </is>
      </c>
      <c r="D33" s="42" t="inlineStr">
        <is>
          <t>-3.4</t>
        </is>
      </c>
      <c r="E33" s="42" t="inlineStr">
        <is>
          <t>+1.2</t>
        </is>
      </c>
      <c r="F33" s="42" t="inlineStr">
        <is>
          <t>-0.8</t>
        </is>
      </c>
      <c r="G33" s="42" t="inlineStr">
        <is>
          <t>Home (auto)</t>
        </is>
      </c>
      <c r="H33" s="42" t="inlineStr">
        <is>
          <t>Away</t>
        </is>
      </c>
      <c r="I33" s="42" t="inlineStr">
        <is>
          <t>Away</t>
        </is>
      </c>
      <c r="J33" s="42" t="inlineStr">
        <is>
          <t>No</t>
        </is>
      </c>
      <c r="K33" s="65" t="inlineStr">
        <is>
          <t>Ridge</t>
        </is>
      </c>
    </row>
    <row r="34">
      <c r="A34" s="42" t="n">
        <v>9</v>
      </c>
      <c r="B34" s="42" t="inlineStr">
        <is>
          <t>Jacksonville State @ New Mexico State</t>
        </is>
      </c>
      <c r="C34" s="42" t="inlineStr">
        <is>
          <t>+3.0</t>
        </is>
      </c>
      <c r="D34" s="42" t="inlineStr">
        <is>
          <t>+10.5</t>
        </is>
      </c>
      <c r="E34" s="42" t="inlineStr">
        <is>
          <t>+10.8</t>
        </is>
      </c>
      <c r="F34" s="42" t="inlineStr">
        <is>
          <t>+3.8</t>
        </is>
      </c>
      <c r="G34" s="42" t="inlineStr">
        <is>
          <t>Away</t>
        </is>
      </c>
      <c r="H34" s="42" t="inlineStr">
        <is>
          <t>Away</t>
        </is>
      </c>
      <c r="I34" s="42" t="inlineStr">
        <is>
          <t>Away (auto)</t>
        </is>
      </c>
      <c r="J34" s="42" t="inlineStr">
        <is>
          <t>Yes</t>
        </is>
      </c>
      <c r="K34" s="65" t="inlineStr">
        <is>
          <t>Gamma</t>
        </is>
      </c>
    </row>
    <row r="35">
      <c r="A35" s="42" t="n">
        <v>9</v>
      </c>
      <c r="B35" s="42" t="inlineStr">
        <is>
          <t>Troy @ James Madison</t>
        </is>
      </c>
      <c r="C35" s="42" t="inlineStr">
        <is>
          <t>-19.5</t>
        </is>
      </c>
      <c r="D35" s="42" t="inlineStr">
        <is>
          <t>-20.2</t>
        </is>
      </c>
      <c r="E35" s="42" t="inlineStr">
        <is>
          <t>-22.4</t>
        </is>
      </c>
      <c r="F35" s="42" t="inlineStr">
        <is>
          <t>-21.2</t>
        </is>
      </c>
      <c r="G35" s="42" t="inlineStr">
        <is>
          <t>Home (auto)</t>
        </is>
      </c>
      <c r="H35" s="42" t="inlineStr">
        <is>
          <t>Home</t>
        </is>
      </c>
      <c r="I35" s="42" t="inlineStr">
        <is>
          <t>Home (auto)</t>
        </is>
      </c>
      <c r="J35" s="42" t="inlineStr">
        <is>
          <t>Yes</t>
        </is>
      </c>
      <c r="K35" s="65" t="inlineStr">
        <is>
          <t>Ridge</t>
        </is>
      </c>
    </row>
    <row r="36">
      <c r="A36" s="42" t="n">
        <v>9</v>
      </c>
      <c r="B36" s="42" t="inlineStr">
        <is>
          <t>Florida Atlantic @ North Texas</t>
        </is>
      </c>
      <c r="C36" s="42" t="inlineStr">
        <is>
          <t>-13.5</t>
        </is>
      </c>
      <c r="D36" s="42" t="inlineStr">
        <is>
          <t>-8.4</t>
        </is>
      </c>
      <c r="E36" s="42" t="inlineStr">
        <is>
          <t>-13.2</t>
        </is>
      </c>
      <c r="F36" s="42" t="inlineStr">
        <is>
          <t>-15.3</t>
        </is>
      </c>
      <c r="G36" s="42" t="inlineStr">
        <is>
          <t>Away</t>
        </is>
      </c>
      <c r="H36" s="42" t="inlineStr">
        <is>
          <t>Home (auto)</t>
        </is>
      </c>
      <c r="I36" s="42" t="inlineStr">
        <is>
          <t>Home (auto)</t>
        </is>
      </c>
      <c r="J36" s="42" t="inlineStr">
        <is>
          <t>No</t>
        </is>
      </c>
      <c r="K36" s="65" t="inlineStr">
        <is>
          <t>XGBoost</t>
        </is>
      </c>
    </row>
    <row r="37">
      <c r="A37" s="42" t="n">
        <v>9</v>
      </c>
      <c r="B37" s="42" t="inlineStr">
        <is>
          <t>Tulane @ Charlotte</t>
        </is>
      </c>
      <c r="C37" s="42" t="inlineStr">
        <is>
          <t>+10.5</t>
        </is>
      </c>
      <c r="D37" s="42" t="inlineStr">
        <is>
          <t>+15.7</t>
        </is>
      </c>
      <c r="E37" s="42" t="inlineStr">
        <is>
          <t>+14.2</t>
        </is>
      </c>
      <c r="F37" s="42" t="inlineStr">
        <is>
          <t>+14.0</t>
        </is>
      </c>
      <c r="G37" s="42" t="inlineStr">
        <is>
          <t>Away</t>
        </is>
      </c>
      <c r="H37" s="42" t="inlineStr">
        <is>
          <t>Away</t>
        </is>
      </c>
      <c r="I37" s="42" t="inlineStr">
        <is>
          <t>Away</t>
        </is>
      </c>
      <c r="J37" s="42" t="inlineStr">
        <is>
          <t>Yes</t>
        </is>
      </c>
      <c r="K37" s="65" t="inlineStr">
        <is>
          <t>Gamma</t>
        </is>
      </c>
    </row>
    <row r="38">
      <c r="A38" s="42" t="n">
        <v>9</v>
      </c>
      <c r="B38" s="42" t="inlineStr">
        <is>
          <t>Baylor @ UCF</t>
        </is>
      </c>
      <c r="C38" s="42" t="inlineStr">
        <is>
          <t>-2.5</t>
        </is>
      </c>
      <c r="D38" s="42" t="inlineStr">
        <is>
          <t>+3.0</t>
        </is>
      </c>
      <c r="E38" s="42" t="inlineStr">
        <is>
          <t>+3.1</t>
        </is>
      </c>
      <c r="F38" s="42" t="inlineStr">
        <is>
          <t>+1.1</t>
        </is>
      </c>
      <c r="G38" s="42" t="inlineStr">
        <is>
          <t>Away</t>
        </is>
      </c>
      <c r="H38" s="42" t="inlineStr">
        <is>
          <t>Away</t>
        </is>
      </c>
      <c r="I38" s="42" t="inlineStr">
        <is>
          <t>Away</t>
        </is>
      </c>
      <c r="J38" s="42" t="inlineStr">
        <is>
          <t>Yes</t>
        </is>
      </c>
      <c r="K38" s="65" t="inlineStr">
        <is>
          <t>Gamma</t>
        </is>
      </c>
    </row>
    <row r="39">
      <c r="A39" s="42" t="n">
        <v>9</v>
      </c>
      <c r="B39" s="42" t="inlineStr">
        <is>
          <t>Kent State @ Sacramento State</t>
        </is>
      </c>
      <c r="C39" s="42" t="inlineStr">
        <is>
          <t>+11.5</t>
        </is>
      </c>
      <c r="D39" s="42" t="inlineStr">
        <is>
          <t>+2.7</t>
        </is>
      </c>
      <c r="E39" s="42" t="inlineStr">
        <is>
          <t>+2.0</t>
        </is>
      </c>
      <c r="F39" s="42" t="inlineStr">
        <is>
          <t>+8.2</t>
        </is>
      </c>
      <c r="G39" s="42" t="inlineStr">
        <is>
          <t>Home</t>
        </is>
      </c>
      <c r="H39" s="42" t="inlineStr">
        <is>
          <t>Home</t>
        </is>
      </c>
      <c r="I39" s="42" t="inlineStr">
        <is>
          <t>Home</t>
        </is>
      </c>
      <c r="J39" s="42" t="inlineStr">
        <is>
          <t>Yes</t>
        </is>
      </c>
      <c r="K39" s="65" t="inlineStr">
        <is>
          <t>Gamma</t>
        </is>
      </c>
    </row>
    <row r="40">
      <c r="A40" s="42" t="n">
        <v>9</v>
      </c>
      <c r="B40" s="42" t="inlineStr">
        <is>
          <t>Boston College @ Duke</t>
        </is>
      </c>
      <c r="C40" s="42" t="inlineStr">
        <is>
          <t>-7.0</t>
        </is>
      </c>
      <c r="D40" s="42" t="inlineStr">
        <is>
          <t>-11.3</t>
        </is>
      </c>
      <c r="E40" s="42" t="inlineStr">
        <is>
          <t>-12.3</t>
        </is>
      </c>
      <c r="F40" s="42" t="inlineStr">
        <is>
          <t>-14.4</t>
        </is>
      </c>
      <c r="G40" s="42" t="inlineStr">
        <is>
          <t>Home</t>
        </is>
      </c>
      <c r="H40" s="42" t="inlineStr">
        <is>
          <t>Home</t>
        </is>
      </c>
      <c r="I40" s="42" t="inlineStr">
        <is>
          <t>Home</t>
        </is>
      </c>
      <c r="J40" s="42" t="inlineStr">
        <is>
          <t>Yes</t>
        </is>
      </c>
      <c r="K40" s="65" t="inlineStr">
        <is>
          <t>Ridge</t>
        </is>
      </c>
    </row>
    <row r="41">
      <c r="A41" s="42" t="n">
        <v>9</v>
      </c>
      <c r="B41" s="42" t="inlineStr">
        <is>
          <t>California @ NC State</t>
        </is>
      </c>
      <c r="C41" s="42" t="inlineStr">
        <is>
          <t>-8.5</t>
        </is>
      </c>
      <c r="D41" s="42" t="inlineStr">
        <is>
          <t>-9.0</t>
        </is>
      </c>
      <c r="E41" s="42" t="inlineStr">
        <is>
          <t>-10.2</t>
        </is>
      </c>
      <c r="F41" s="42" t="inlineStr">
        <is>
          <t>-11.5</t>
        </is>
      </c>
      <c r="G41" s="42" t="inlineStr">
        <is>
          <t>Home (auto)</t>
        </is>
      </c>
      <c r="H41" s="42" t="inlineStr">
        <is>
          <t>Home (auto)</t>
        </is>
      </c>
      <c r="I41" s="42" t="inlineStr">
        <is>
          <t>Home</t>
        </is>
      </c>
      <c r="J41" s="42" t="inlineStr">
        <is>
          <t>Yes</t>
        </is>
      </c>
      <c r="K41" s="65" t="inlineStr">
        <is>
          <t>Ridge</t>
        </is>
      </c>
    </row>
    <row r="42">
      <c r="A42" s="42" t="n">
        <v>9</v>
      </c>
      <c r="B42" s="42" t="inlineStr">
        <is>
          <t>Arizona @ Texas Tech</t>
        </is>
      </c>
      <c r="C42" s="42" t="inlineStr">
        <is>
          <t>-3.5</t>
        </is>
      </c>
      <c r="D42" s="42" t="inlineStr">
        <is>
          <t>-3.6</t>
        </is>
      </c>
      <c r="E42" s="42" t="inlineStr">
        <is>
          <t>-6.1</t>
        </is>
      </c>
      <c r="F42" s="42" t="inlineStr">
        <is>
          <t>-4.6</t>
        </is>
      </c>
      <c r="G42" s="42" t="inlineStr">
        <is>
          <t>Home (auto)</t>
        </is>
      </c>
      <c r="H42" s="42" t="inlineStr">
        <is>
          <t>Home</t>
        </is>
      </c>
      <c r="I42" s="42" t="inlineStr">
        <is>
          <t>Home (auto)</t>
        </is>
      </c>
      <c r="J42" s="42" t="inlineStr">
        <is>
          <t>Yes</t>
        </is>
      </c>
      <c r="K42" s="65" t="inlineStr">
        <is>
          <t>Ridge</t>
        </is>
      </c>
    </row>
    <row r="43">
      <c r="A43" s="42" t="n">
        <v>9</v>
      </c>
      <c r="B43" s="42" t="inlineStr">
        <is>
          <t>Illinois @ Maryland</t>
        </is>
      </c>
      <c r="C43" s="42" t="inlineStr">
        <is>
          <t>+2.5</t>
        </is>
      </c>
      <c r="D43" s="42" t="inlineStr">
        <is>
          <t>+11.3</t>
        </is>
      </c>
      <c r="E43" s="42" t="inlineStr">
        <is>
          <t>+6.1</t>
        </is>
      </c>
      <c r="F43" s="42" t="inlineStr">
        <is>
          <t>+8.0</t>
        </is>
      </c>
      <c r="G43" s="42" t="inlineStr">
        <is>
          <t>Away</t>
        </is>
      </c>
      <c r="H43" s="42" t="inlineStr">
        <is>
          <t>Away</t>
        </is>
      </c>
      <c r="I43" s="42" t="inlineStr">
        <is>
          <t>Away</t>
        </is>
      </c>
      <c r="J43" s="42" t="inlineStr">
        <is>
          <t>Yes</t>
        </is>
      </c>
      <c r="K43" s="65" t="inlineStr">
        <is>
          <t>XGBoost</t>
        </is>
      </c>
    </row>
    <row r="44">
      <c r="A44" s="42" t="n">
        <v>9</v>
      </c>
      <c r="B44" s="42" t="inlineStr">
        <is>
          <t>Notre Dame @ Navy</t>
        </is>
      </c>
      <c r="C44" s="42" t="inlineStr">
        <is>
          <t>+29.5</t>
        </is>
      </c>
      <c r="D44" s="42" t="inlineStr">
        <is>
          <t>+23.7</t>
        </is>
      </c>
      <c r="E44" s="42" t="inlineStr">
        <is>
          <t>+20.1</t>
        </is>
      </c>
      <c r="F44" s="42" t="inlineStr">
        <is>
          <t>+20.0</t>
        </is>
      </c>
      <c r="G44" s="42" t="inlineStr">
        <is>
          <t>Home</t>
        </is>
      </c>
      <c r="H44" s="42" t="inlineStr">
        <is>
          <t>Home</t>
        </is>
      </c>
      <c r="I44" s="42" t="inlineStr">
        <is>
          <t>Home</t>
        </is>
      </c>
      <c r="J44" s="42" t="inlineStr">
        <is>
          <t>Yes</t>
        </is>
      </c>
      <c r="K44" s="65" t="inlineStr">
        <is>
          <t>Ridge</t>
        </is>
      </c>
    </row>
    <row r="45">
      <c r="A45" s="42" t="n">
        <v>9</v>
      </c>
      <c r="B45" s="42" t="inlineStr">
        <is>
          <t>Wisconsin @ Iowa</t>
        </is>
      </c>
      <c r="C45" s="42" t="inlineStr">
        <is>
          <t>-3.5</t>
        </is>
      </c>
      <c r="D45" s="42" t="inlineStr">
        <is>
          <t>-10.2</t>
        </is>
      </c>
      <c r="E45" s="42" t="inlineStr">
        <is>
          <t>-11.0</t>
        </is>
      </c>
      <c r="F45" s="42" t="inlineStr">
        <is>
          <t>-10.3</t>
        </is>
      </c>
      <c r="G45" s="42" t="inlineStr">
        <is>
          <t>Home</t>
        </is>
      </c>
      <c r="H45" s="42" t="inlineStr">
        <is>
          <t>Home</t>
        </is>
      </c>
      <c r="I45" s="42" t="inlineStr">
        <is>
          <t>Home</t>
        </is>
      </c>
      <c r="J45" s="42" t="inlineStr">
        <is>
          <t>Yes</t>
        </is>
      </c>
      <c r="K45" s="65" t="inlineStr">
        <is>
          <t>Ridge</t>
        </is>
      </c>
    </row>
    <row r="46">
      <c r="A46" s="42" t="n">
        <v>9</v>
      </c>
      <c r="B46" s="42" t="inlineStr">
        <is>
          <t>SMU @ Syracuse</t>
        </is>
      </c>
      <c r="C46" s="42" t="inlineStr">
        <is>
          <t>+8.5</t>
        </is>
      </c>
      <c r="D46" s="42" t="inlineStr">
        <is>
          <t>+12.8</t>
        </is>
      </c>
      <c r="E46" s="42" t="inlineStr">
        <is>
          <t>+15.9</t>
        </is>
      </c>
      <c r="F46" s="42" t="inlineStr">
        <is>
          <t>+10.5</t>
        </is>
      </c>
      <c r="G46" s="42" t="inlineStr">
        <is>
          <t>Away</t>
        </is>
      </c>
      <c r="H46" s="42" t="inlineStr">
        <is>
          <t>Away</t>
        </is>
      </c>
      <c r="I46" s="42" t="inlineStr">
        <is>
          <t>Away</t>
        </is>
      </c>
      <c r="J46" s="42" t="inlineStr">
        <is>
          <t>Yes</t>
        </is>
      </c>
      <c r="K46" s="65" t="inlineStr">
        <is>
          <t>Gamma</t>
        </is>
      </c>
    </row>
    <row r="47">
      <c r="A47" s="42" t="n">
        <v>9</v>
      </c>
      <c r="B47" s="42" t="inlineStr">
        <is>
          <t>Bowling Green @ Western Michigan</t>
        </is>
      </c>
      <c r="C47" s="42" t="inlineStr">
        <is>
          <t>-14.0</t>
        </is>
      </c>
      <c r="D47" s="42" t="inlineStr">
        <is>
          <t>-19.7</t>
        </is>
      </c>
      <c r="E47" s="42" t="inlineStr">
        <is>
          <t>-16.1</t>
        </is>
      </c>
      <c r="F47" s="42" t="inlineStr">
        <is>
          <t>-16.5</t>
        </is>
      </c>
      <c r="G47" s="42" t="inlineStr">
        <is>
          <t>Home</t>
        </is>
      </c>
      <c r="H47" s="42" t="inlineStr">
        <is>
          <t>Home</t>
        </is>
      </c>
      <c r="I47" s="42" t="inlineStr">
        <is>
          <t>Home</t>
        </is>
      </c>
      <c r="J47" s="42" t="inlineStr">
        <is>
          <t>Yes</t>
        </is>
      </c>
      <c r="K47" s="65" t="inlineStr">
        <is>
          <t>XGBoost</t>
        </is>
      </c>
    </row>
    <row r="48">
      <c r="A48" s="42" t="n">
        <v>9</v>
      </c>
      <c r="B48" s="42" t="inlineStr">
        <is>
          <t>UAB @ South Florida</t>
        </is>
      </c>
      <c r="C48" s="42" t="inlineStr">
        <is>
          <t>-7.5</t>
        </is>
      </c>
      <c r="D48" s="42" t="inlineStr">
        <is>
          <t>-8.3</t>
        </is>
      </c>
      <c r="E48" s="42" t="inlineStr">
        <is>
          <t>-8.1</t>
        </is>
      </c>
      <c r="F48" s="42" t="inlineStr">
        <is>
          <t>-13.7</t>
        </is>
      </c>
      <c r="G48" s="42" t="inlineStr">
        <is>
          <t>Home (auto)</t>
        </is>
      </c>
      <c r="H48" s="42" t="inlineStr">
        <is>
          <t>Home (auto)</t>
        </is>
      </c>
      <c r="I48" s="42" t="inlineStr">
        <is>
          <t>Home</t>
        </is>
      </c>
      <c r="J48" s="42" t="inlineStr">
        <is>
          <t>Yes</t>
        </is>
      </c>
      <c r="K48" s="65" t="inlineStr">
        <is>
          <t>XGBoost</t>
        </is>
      </c>
    </row>
    <row r="49">
      <c r="A49" s="42" t="n">
        <v>9</v>
      </c>
      <c r="B49" s="42" t="inlineStr">
        <is>
          <t>Michigan @ Rutgers</t>
        </is>
      </c>
      <c r="C49" s="42" t="inlineStr">
        <is>
          <t>+14.0</t>
        </is>
      </c>
      <c r="D49" s="42" t="inlineStr">
        <is>
          <t>+12.4</t>
        </is>
      </c>
      <c r="E49" s="42" t="inlineStr">
        <is>
          <t>+12.6</t>
        </is>
      </c>
      <c r="F49" s="42" t="inlineStr">
        <is>
          <t>+8.3</t>
        </is>
      </c>
      <c r="G49" s="42" t="inlineStr">
        <is>
          <t>Home (auto)</t>
        </is>
      </c>
      <c r="H49" s="42" t="inlineStr">
        <is>
          <t>Home (auto)</t>
        </is>
      </c>
      <c r="I49" s="42" t="inlineStr">
        <is>
          <t>Home</t>
        </is>
      </c>
      <c r="J49" s="42" t="inlineStr">
        <is>
          <t>Yes</t>
        </is>
      </c>
      <c r="K49" s="65" t="inlineStr">
        <is>
          <t>XGBoost</t>
        </is>
      </c>
    </row>
    <row r="50">
      <c r="A50" s="42" t="n">
        <v>9</v>
      </c>
      <c r="B50" s="42" t="inlineStr">
        <is>
          <t>Auburn @ Ole Miss</t>
        </is>
      </c>
      <c r="C50" s="42" t="inlineStr">
        <is>
          <t>-13.5</t>
        </is>
      </c>
      <c r="D50" s="42" t="inlineStr">
        <is>
          <t>-19.5</t>
        </is>
      </c>
      <c r="E50" s="42" t="inlineStr">
        <is>
          <t>-16.8</t>
        </is>
      </c>
      <c r="F50" s="42" t="inlineStr">
        <is>
          <t>-14.7</t>
        </is>
      </c>
      <c r="G50" s="42" t="inlineStr">
        <is>
          <t>Home</t>
        </is>
      </c>
      <c r="H50" s="42" t="inlineStr">
        <is>
          <t>Home</t>
        </is>
      </c>
      <c r="I50" s="42" t="inlineStr">
        <is>
          <t>Home (auto)</t>
        </is>
      </c>
      <c r="J50" s="42" t="inlineStr">
        <is>
          <t>Yes</t>
        </is>
      </c>
      <c r="K50" s="65" t="inlineStr">
        <is>
          <t>Gamma</t>
        </is>
      </c>
    </row>
    <row r="51">
      <c r="A51" s="42" t="n">
        <v>9</v>
      </c>
      <c r="B51" s="42" t="inlineStr">
        <is>
          <t>Marshall @ Old Dominion</t>
        </is>
      </c>
      <c r="C51" s="42" t="inlineStr">
        <is>
          <t>+3.0</t>
        </is>
      </c>
      <c r="D51" s="42" t="inlineStr">
        <is>
          <t>+6.8</t>
        </is>
      </c>
      <c r="E51" s="42" t="inlineStr">
        <is>
          <t>+1.5</t>
        </is>
      </c>
      <c r="F51" s="42" t="inlineStr">
        <is>
          <t>-8.8</t>
        </is>
      </c>
      <c r="G51" s="42" t="inlineStr">
        <is>
          <t>Away</t>
        </is>
      </c>
      <c r="H51" s="42" t="inlineStr">
        <is>
          <t>Home (auto)</t>
        </is>
      </c>
      <c r="I51" s="42" t="inlineStr">
        <is>
          <t>Home</t>
        </is>
      </c>
      <c r="J51" s="42" t="inlineStr">
        <is>
          <t>No</t>
        </is>
      </c>
      <c r="K51" s="65" t="inlineStr">
        <is>
          <t>XGBoost</t>
        </is>
      </c>
    </row>
    <row r="52">
      <c r="A52" s="42" t="n">
        <v>9</v>
      </c>
      <c r="B52" s="42" t="inlineStr">
        <is>
          <t>Kansas State @ Colorado</t>
        </is>
      </c>
      <c r="C52" s="42" t="inlineStr">
        <is>
          <t>+2.5</t>
        </is>
      </c>
      <c r="D52" s="42" t="inlineStr">
        <is>
          <t>+10.4</t>
        </is>
      </c>
      <c r="E52" s="42" t="inlineStr">
        <is>
          <t>+11.1</t>
        </is>
      </c>
      <c r="F52" s="42" t="inlineStr">
        <is>
          <t>+4.7</t>
        </is>
      </c>
      <c r="G52" s="42" t="inlineStr">
        <is>
          <t>Away</t>
        </is>
      </c>
      <c r="H52" s="42" t="inlineStr">
        <is>
          <t>Away</t>
        </is>
      </c>
      <c r="I52" s="42" t="inlineStr">
        <is>
          <t>Away</t>
        </is>
      </c>
      <c r="J52" s="42" t="inlineStr">
        <is>
          <t>Yes</t>
        </is>
      </c>
      <c r="K52" s="65" t="inlineStr">
        <is>
          <t>Gamma</t>
        </is>
      </c>
    </row>
    <row r="53">
      <c r="A53" s="42" t="n">
        <v>9</v>
      </c>
      <c r="B53" s="42" t="inlineStr">
        <is>
          <t>Coastal Carolina @ Georgia State</t>
        </is>
      </c>
      <c r="C53" s="42" t="inlineStr">
        <is>
          <t>-6.5</t>
        </is>
      </c>
      <c r="D53" s="42" t="inlineStr">
        <is>
          <t>-8.5</t>
        </is>
      </c>
      <c r="E53" s="42" t="inlineStr">
        <is>
          <t>-8.4</t>
        </is>
      </c>
      <c r="F53" s="42" t="inlineStr">
        <is>
          <t>-5.6</t>
        </is>
      </c>
      <c r="G53" s="42" t="inlineStr">
        <is>
          <t>Home</t>
        </is>
      </c>
      <c r="H53" s="42" t="inlineStr">
        <is>
          <t>Home (auto)</t>
        </is>
      </c>
      <c r="I53" s="42" t="inlineStr">
        <is>
          <t>Home (auto)</t>
        </is>
      </c>
      <c r="J53" s="42" t="inlineStr">
        <is>
          <t>Yes</t>
        </is>
      </c>
      <c r="K53" s="65" t="inlineStr">
        <is>
          <t>Gamma</t>
        </is>
      </c>
    </row>
    <row r="54">
      <c r="A54" s="42" t="n">
        <v>9</v>
      </c>
      <c r="B54" s="42" t="inlineStr">
        <is>
          <t>Temple @ East Carolina</t>
        </is>
      </c>
      <c r="C54" s="42" t="inlineStr">
        <is>
          <t>-5.5</t>
        </is>
      </c>
      <c r="D54" s="42" t="inlineStr">
        <is>
          <t>-11.1</t>
        </is>
      </c>
      <c r="E54" s="42" t="inlineStr">
        <is>
          <t>-8.0</t>
        </is>
      </c>
      <c r="F54" s="42" t="inlineStr">
        <is>
          <t>-9.2</t>
        </is>
      </c>
      <c r="G54" s="42" t="inlineStr">
        <is>
          <t>Home</t>
        </is>
      </c>
      <c r="H54" s="42" t="inlineStr">
        <is>
          <t>Home</t>
        </is>
      </c>
      <c r="I54" s="42" t="inlineStr">
        <is>
          <t>Home</t>
        </is>
      </c>
      <c r="J54" s="42" t="inlineStr">
        <is>
          <t>Yes</t>
        </is>
      </c>
      <c r="K54" s="65" t="inlineStr">
        <is>
          <t>XGBoost</t>
        </is>
      </c>
    </row>
    <row r="55">
      <c r="A55" s="42" t="n">
        <v>9</v>
      </c>
      <c r="B55" s="42" t="inlineStr">
        <is>
          <t>Louisiana Tech @ South Alabama</t>
        </is>
      </c>
      <c r="C55" s="42" t="inlineStr">
        <is>
          <t>+5.5</t>
        </is>
      </c>
      <c r="D55" s="42" t="inlineStr">
        <is>
          <t>-3.1</t>
        </is>
      </c>
      <c r="E55" s="42" t="inlineStr">
        <is>
          <t>-3.2</t>
        </is>
      </c>
      <c r="F55" s="42" t="inlineStr">
        <is>
          <t>+6.9</t>
        </is>
      </c>
      <c r="G55" s="42" t="inlineStr">
        <is>
          <t>Home</t>
        </is>
      </c>
      <c r="H55" s="42" t="inlineStr">
        <is>
          <t>Home</t>
        </is>
      </c>
      <c r="I55" s="42" t="inlineStr">
        <is>
          <t>Away (auto)</t>
        </is>
      </c>
      <c r="J55" s="42" t="inlineStr">
        <is>
          <t>Yes</t>
        </is>
      </c>
      <c r="K55" s="65" t="inlineStr">
        <is>
          <t>Gamma</t>
        </is>
      </c>
    </row>
    <row r="56">
      <c r="A56" s="42" t="n">
        <v>9</v>
      </c>
      <c r="B56" s="42" t="inlineStr">
        <is>
          <t>UConn @ Air Force</t>
        </is>
      </c>
      <c r="C56" s="42" t="inlineStr">
        <is>
          <t>-3.0</t>
        </is>
      </c>
      <c r="D56" s="42" t="inlineStr">
        <is>
          <t>-9.8</t>
        </is>
      </c>
      <c r="E56" s="42" t="inlineStr">
        <is>
          <t>-2.8</t>
        </is>
      </c>
      <c r="F56" s="42" t="inlineStr">
        <is>
          <t>-5.2</t>
        </is>
      </c>
      <c r="G56" s="42" t="inlineStr">
        <is>
          <t>Home</t>
        </is>
      </c>
      <c r="H56" s="42" t="inlineStr">
        <is>
          <t>Home (auto)</t>
        </is>
      </c>
      <c r="I56" s="42" t="inlineStr">
        <is>
          <t>Home</t>
        </is>
      </c>
      <c r="J56" s="42" t="inlineStr">
        <is>
          <t>Yes</t>
        </is>
      </c>
      <c r="K56" s="65" t="inlineStr">
        <is>
          <t>XGBoost</t>
        </is>
      </c>
    </row>
    <row r="57">
      <c r="A57" s="42" t="n">
        <v>9</v>
      </c>
      <c r="B57" s="42" t="inlineStr">
        <is>
          <t>Stanford @ Louisville</t>
        </is>
      </c>
      <c r="C57" s="42" t="inlineStr">
        <is>
          <t>-22.5</t>
        </is>
      </c>
      <c r="D57" s="42" t="inlineStr">
        <is>
          <t>-14.9</t>
        </is>
      </c>
      <c r="E57" s="42" t="inlineStr">
        <is>
          <t>-18.0</t>
        </is>
      </c>
      <c r="F57" s="42" t="inlineStr">
        <is>
          <t>-19.6</t>
        </is>
      </c>
      <c r="G57" s="42" t="inlineStr">
        <is>
          <t>Away</t>
        </is>
      </c>
      <c r="H57" s="42" t="inlineStr">
        <is>
          <t>Away</t>
        </is>
      </c>
      <c r="I57" s="42" t="inlineStr">
        <is>
          <t>Away</t>
        </is>
      </c>
      <c r="J57" s="42" t="inlineStr">
        <is>
          <t>Yes</t>
        </is>
      </c>
      <c r="K57" s="65" t="inlineStr">
        <is>
          <t>Gamma</t>
        </is>
      </c>
    </row>
    <row r="58">
      <c r="A58" s="42" t="n">
        <v>9</v>
      </c>
      <c r="B58" s="42" t="inlineStr">
        <is>
          <t>Florida @ Georgia</t>
        </is>
      </c>
      <c r="C58" s="42" t="inlineStr">
        <is>
          <t>-10.5</t>
        </is>
      </c>
      <c r="D58" s="42" t="inlineStr">
        <is>
          <t>-13.4</t>
        </is>
      </c>
      <c r="E58" s="42" t="inlineStr">
        <is>
          <t>-16.9</t>
        </is>
      </c>
      <c r="F58" s="42" t="inlineStr">
        <is>
          <t>-11.7</t>
        </is>
      </c>
      <c r="G58" s="42" t="inlineStr">
        <is>
          <t>Home</t>
        </is>
      </c>
      <c r="H58" s="42" t="inlineStr">
        <is>
          <t>Home</t>
        </is>
      </c>
      <c r="I58" s="42" t="inlineStr">
        <is>
          <t>Home (auto)</t>
        </is>
      </c>
      <c r="J58" s="42" t="inlineStr">
        <is>
          <t>Yes</t>
        </is>
      </c>
      <c r="K58" s="65" t="inlineStr">
        <is>
          <t>Gamma</t>
        </is>
      </c>
    </row>
    <row r="59">
      <c r="A59" s="42" t="n">
        <v>9</v>
      </c>
      <c r="B59" s="42" t="inlineStr">
        <is>
          <t>Arizona State @ BYU</t>
        </is>
      </c>
      <c r="C59" s="42" t="inlineStr">
        <is>
          <t>-15.5</t>
        </is>
      </c>
      <c r="D59" s="42" t="inlineStr">
        <is>
          <t>-16.9</t>
        </is>
      </c>
      <c r="E59" s="42" t="inlineStr">
        <is>
          <t>-16.1</t>
        </is>
      </c>
      <c r="F59" s="42" t="inlineStr">
        <is>
          <t>-14.5</t>
        </is>
      </c>
      <c r="G59" s="42" t="inlineStr">
        <is>
          <t>Home (auto)</t>
        </is>
      </c>
      <c r="H59" s="42" t="inlineStr">
        <is>
          <t>Home (auto)</t>
        </is>
      </c>
      <c r="I59" s="42" t="inlineStr">
        <is>
          <t>Away (auto)</t>
        </is>
      </c>
      <c r="J59" s="42" t="inlineStr">
        <is>
          <t>Yes</t>
        </is>
      </c>
      <c r="K59" s="65" t="inlineStr">
        <is>
          <t>XGBoost</t>
        </is>
      </c>
    </row>
    <row r="60">
      <c r="A60" s="42" t="n">
        <v>9</v>
      </c>
      <c r="B60" s="42" t="inlineStr">
        <is>
          <t>Kansas @ TCU</t>
        </is>
      </c>
      <c r="C60" s="42" t="inlineStr">
        <is>
          <t>-5.5</t>
        </is>
      </c>
      <c r="D60" s="42" t="inlineStr">
        <is>
          <t>-9.7</t>
        </is>
      </c>
      <c r="E60" s="42" t="inlineStr">
        <is>
          <t>-9.6</t>
        </is>
      </c>
      <c r="F60" s="42" t="inlineStr">
        <is>
          <t>-6.0</t>
        </is>
      </c>
      <c r="G60" s="42" t="inlineStr">
        <is>
          <t>Home</t>
        </is>
      </c>
      <c r="H60" s="42" t="inlineStr">
        <is>
          <t>Home</t>
        </is>
      </c>
      <c r="I60" s="42" t="inlineStr">
        <is>
          <t>Home (auto)</t>
        </is>
      </c>
      <c r="J60" s="42" t="inlineStr">
        <is>
          <t>Yes</t>
        </is>
      </c>
      <c r="K60" s="65" t="inlineStr">
        <is>
          <t>Gamma</t>
        </is>
      </c>
    </row>
    <row r="61">
      <c r="A61" s="42" t="n">
        <v>9</v>
      </c>
      <c r="B61" s="42" t="inlineStr">
        <is>
          <t>UTEP @ North Dakota State</t>
        </is>
      </c>
      <c r="C61" s="42" t="inlineStr">
        <is>
          <t>-26.5</t>
        </is>
      </c>
      <c r="D61" s="42" t="inlineStr">
        <is>
          <t>-31.6</t>
        </is>
      </c>
      <c r="E61" s="42" t="inlineStr">
        <is>
          <t>-18.6</t>
        </is>
      </c>
      <c r="F61" s="42" t="inlineStr">
        <is>
          <t>-36.0</t>
        </is>
      </c>
      <c r="G61" s="42" t="inlineStr">
        <is>
          <t>Home</t>
        </is>
      </c>
      <c r="H61" s="42" t="inlineStr">
        <is>
          <t>Away</t>
        </is>
      </c>
      <c r="I61" s="42" t="inlineStr">
        <is>
          <t>Home</t>
        </is>
      </c>
      <c r="J61" s="42" t="inlineStr">
        <is>
          <t>No</t>
        </is>
      </c>
      <c r="K61" s="65" t="inlineStr">
        <is>
          <t>Ridge</t>
        </is>
      </c>
    </row>
    <row r="62">
      <c r="A62" s="42" t="n">
        <v>9</v>
      </c>
      <c r="B62" s="42" t="inlineStr">
        <is>
          <t>Colorado State @ Utah State</t>
        </is>
      </c>
      <c r="C62" s="42" t="inlineStr">
        <is>
          <t>-5.5</t>
        </is>
      </c>
      <c r="D62" s="42" t="inlineStr">
        <is>
          <t>-5.9</t>
        </is>
      </c>
      <c r="E62" s="42" t="inlineStr">
        <is>
          <t>-5.3</t>
        </is>
      </c>
      <c r="F62" s="42" t="inlineStr">
        <is>
          <t>-11.7</t>
        </is>
      </c>
      <c r="G62" s="42" t="inlineStr">
        <is>
          <t>Home (auto)</t>
        </is>
      </c>
      <c r="H62" s="42" t="inlineStr">
        <is>
          <t>Home (auto)</t>
        </is>
      </c>
      <c r="I62" s="42" t="inlineStr">
        <is>
          <t>Home</t>
        </is>
      </c>
      <c r="J62" s="42" t="inlineStr">
        <is>
          <t>Yes</t>
        </is>
      </c>
      <c r="K62" s="65" t="inlineStr">
        <is>
          <t>XGBoost</t>
        </is>
      </c>
    </row>
    <row r="63">
      <c r="A63" s="42" t="n">
        <v>9</v>
      </c>
      <c r="B63" s="42" t="inlineStr">
        <is>
          <t>Minnesota @ Indiana</t>
        </is>
      </c>
      <c r="C63" s="42" t="inlineStr">
        <is>
          <t>-19.5</t>
        </is>
      </c>
      <c r="D63" s="42" t="inlineStr">
        <is>
          <t>-16.3</t>
        </is>
      </c>
      <c r="E63" s="42" t="inlineStr">
        <is>
          <t>-14.7</t>
        </is>
      </c>
      <c r="F63" s="42" t="inlineStr">
        <is>
          <t>-22.2</t>
        </is>
      </c>
      <c r="G63" s="42" t="inlineStr">
        <is>
          <t>Away</t>
        </is>
      </c>
      <c r="H63" s="42" t="inlineStr">
        <is>
          <t>Away</t>
        </is>
      </c>
      <c r="I63" s="42" t="inlineStr">
        <is>
          <t>Home</t>
        </is>
      </c>
      <c r="J63" s="42" t="inlineStr">
        <is>
          <t>Yes</t>
        </is>
      </c>
      <c r="K63" s="65" t="inlineStr">
        <is>
          <t>Gamma</t>
        </is>
      </c>
    </row>
    <row r="64">
      <c r="A64" s="42" t="n">
        <v>9</v>
      </c>
      <c r="B64" s="42" t="inlineStr">
        <is>
          <t>Southern Miss @ UL Monroe</t>
        </is>
      </c>
      <c r="C64" s="42" t="inlineStr">
        <is>
          <t>+3.0</t>
        </is>
      </c>
      <c r="D64" s="42" t="inlineStr">
        <is>
          <t>+5.3</t>
        </is>
      </c>
      <c r="E64" s="42" t="inlineStr">
        <is>
          <t>+8.0</t>
        </is>
      </c>
      <c r="F64" s="42" t="inlineStr">
        <is>
          <t>+6.3</t>
        </is>
      </c>
      <c r="G64" s="42" t="inlineStr">
        <is>
          <t>Away</t>
        </is>
      </c>
      <c r="H64" s="42" t="inlineStr">
        <is>
          <t>Away</t>
        </is>
      </c>
      <c r="I64" s="42" t="inlineStr">
        <is>
          <t>Away</t>
        </is>
      </c>
      <c r="J64" s="42" t="inlineStr">
        <is>
          <t>Yes</t>
        </is>
      </c>
      <c r="K64" s="65" t="inlineStr">
        <is>
          <t>Ridge</t>
        </is>
      </c>
    </row>
    <row r="65">
      <c r="A65" s="42" t="n">
        <v>9</v>
      </c>
      <c r="B65" s="42" t="inlineStr">
        <is>
          <t>Northwestern @ Oregon</t>
        </is>
      </c>
      <c r="C65" s="42" t="inlineStr">
        <is>
          <t>-3.5</t>
        </is>
      </c>
      <c r="D65" s="42" t="inlineStr">
        <is>
          <t>-11.5</t>
        </is>
      </c>
      <c r="E65" s="42" t="inlineStr">
        <is>
          <t>-10.3</t>
        </is>
      </c>
      <c r="F65" s="42" t="inlineStr">
        <is>
          <t>-8.4</t>
        </is>
      </c>
      <c r="G65" s="42" t="inlineStr">
        <is>
          <t>Home</t>
        </is>
      </c>
      <c r="H65" s="42" t="inlineStr">
        <is>
          <t>Home</t>
        </is>
      </c>
      <c r="I65" s="42" t="inlineStr">
        <is>
          <t>Home</t>
        </is>
      </c>
      <c r="J65" s="42" t="inlineStr">
        <is>
          <t>Yes</t>
        </is>
      </c>
      <c r="K65" s="65" t="inlineStr">
        <is>
          <t>Gamma</t>
        </is>
      </c>
    </row>
    <row r="66">
      <c r="A66" s="42" t="n">
        <v>9</v>
      </c>
      <c r="B66" s="42" t="inlineStr">
        <is>
          <t>Florida International @ Liberty</t>
        </is>
      </c>
      <c r="C66" s="42" t="inlineStr">
        <is>
          <t>-13.5</t>
        </is>
      </c>
      <c r="D66" s="42" t="inlineStr">
        <is>
          <t>-14.0</t>
        </is>
      </c>
      <c r="E66" s="42" t="inlineStr">
        <is>
          <t>-11.2</t>
        </is>
      </c>
      <c r="F66" s="42" t="inlineStr">
        <is>
          <t>-10.3</t>
        </is>
      </c>
      <c r="G66" s="42" t="inlineStr">
        <is>
          <t>Home (auto)</t>
        </is>
      </c>
      <c r="H66" s="42" t="inlineStr">
        <is>
          <t>Away</t>
        </is>
      </c>
      <c r="I66" s="42" t="inlineStr">
        <is>
          <t>Away</t>
        </is>
      </c>
      <c r="J66" s="42" t="inlineStr">
        <is>
          <t>No</t>
        </is>
      </c>
      <c r="K66" s="65" t="inlineStr">
        <is>
          <t>Ridge</t>
        </is>
      </c>
    </row>
    <row r="67">
      <c r="A67" s="42" t="n">
        <v>9</v>
      </c>
      <c r="B67" s="42" t="inlineStr">
        <is>
          <t>Utah @ Cincinnati</t>
        </is>
      </c>
      <c r="C67" s="42" t="inlineStr">
        <is>
          <t>+6.5</t>
        </is>
      </c>
      <c r="D67" s="42" t="inlineStr">
        <is>
          <t>+14.6</t>
        </is>
      </c>
      <c r="E67" s="42" t="inlineStr">
        <is>
          <t>+11.0</t>
        </is>
      </c>
      <c r="F67" s="42" t="inlineStr">
        <is>
          <t>+8.9</t>
        </is>
      </c>
      <c r="G67" s="42" t="inlineStr">
        <is>
          <t>Away</t>
        </is>
      </c>
      <c r="H67" s="42" t="inlineStr">
        <is>
          <t>Away</t>
        </is>
      </c>
      <c r="I67" s="42" t="inlineStr">
        <is>
          <t>Away</t>
        </is>
      </c>
      <c r="J67" s="42" t="inlineStr">
        <is>
          <t>Yes</t>
        </is>
      </c>
      <c r="K67" s="65" t="inlineStr">
        <is>
          <t>Gamma</t>
        </is>
      </c>
    </row>
    <row r="68">
      <c r="A68" s="42" t="n">
        <v>9</v>
      </c>
      <c r="B68" s="42" t="inlineStr">
        <is>
          <t>Virginia @ Wake Forest</t>
        </is>
      </c>
      <c r="C68" s="42" t="inlineStr">
        <is>
          <t>-14.0</t>
        </is>
      </c>
      <c r="D68" s="42" t="inlineStr">
        <is>
          <t>-11.2</t>
        </is>
      </c>
      <c r="E68" s="42" t="inlineStr">
        <is>
          <t>-9.2</t>
        </is>
      </c>
      <c r="F68" s="42" t="inlineStr">
        <is>
          <t>-9.5</t>
        </is>
      </c>
      <c r="G68" s="42" t="inlineStr">
        <is>
          <t>Away</t>
        </is>
      </c>
      <c r="H68" s="42" t="inlineStr">
        <is>
          <t>Away</t>
        </is>
      </c>
      <c r="I68" s="42" t="inlineStr">
        <is>
          <t>Away</t>
        </is>
      </c>
      <c r="J68" s="42" t="inlineStr">
        <is>
          <t>Yes</t>
        </is>
      </c>
      <c r="K68" s="65" t="inlineStr">
        <is>
          <t>Ridge</t>
        </is>
      </c>
    </row>
    <row r="69">
      <c r="A69" s="42" t="n">
        <v>9</v>
      </c>
      <c r="B69" s="42" t="inlineStr">
        <is>
          <t>New Mexico @ San José State</t>
        </is>
      </c>
      <c r="C69" s="42" t="inlineStr">
        <is>
          <t>+14.5</t>
        </is>
      </c>
      <c r="D69" s="42" t="inlineStr">
        <is>
          <t>+20.2</t>
        </is>
      </c>
      <c r="E69" s="42" t="inlineStr">
        <is>
          <t>+16.0</t>
        </is>
      </c>
      <c r="F69" s="42" t="inlineStr">
        <is>
          <t>+14.9</t>
        </is>
      </c>
      <c r="G69" s="42" t="inlineStr">
        <is>
          <t>Away</t>
        </is>
      </c>
      <c r="H69" s="42" t="inlineStr">
        <is>
          <t>Away (auto)</t>
        </is>
      </c>
      <c r="I69" s="42" t="inlineStr">
        <is>
          <t>Away (auto)</t>
        </is>
      </c>
      <c r="J69" s="42" t="inlineStr">
        <is>
          <t>Yes</t>
        </is>
      </c>
      <c r="K69" s="65" t="inlineStr">
        <is>
          <t>Gamma</t>
        </is>
      </c>
    </row>
    <row r="70">
      <c r="A70" s="42" t="n">
        <v>9</v>
      </c>
      <c r="B70" s="42" t="inlineStr">
        <is>
          <t>Nevada @ UCLA</t>
        </is>
      </c>
      <c r="C70" s="42" t="inlineStr">
        <is>
          <t>-22.5</t>
        </is>
      </c>
      <c r="D70" s="42" t="inlineStr">
        <is>
          <t>-23.3</t>
        </is>
      </c>
      <c r="E70" s="42" t="inlineStr">
        <is>
          <t>-20.6</t>
        </is>
      </c>
      <c r="F70" s="42" t="inlineStr">
        <is>
          <t>-21.2</t>
        </is>
      </c>
      <c r="G70" s="42" t="inlineStr">
        <is>
          <t>Home (auto)</t>
        </is>
      </c>
      <c r="H70" s="42" t="inlineStr">
        <is>
          <t>Away (auto)</t>
        </is>
      </c>
      <c r="I70" s="42" t="inlineStr">
        <is>
          <t>Away (auto)</t>
        </is>
      </c>
      <c r="J70" s="42" t="inlineStr">
        <is>
          <t>No</t>
        </is>
      </c>
      <c r="K70" s="65" t="inlineStr">
        <is>
          <t>Ridge</t>
        </is>
      </c>
    </row>
    <row r="71">
      <c r="A71" s="42" t="n">
        <v>9</v>
      </c>
      <c r="B71" s="42" t="inlineStr">
        <is>
          <t>South Carolina @ Oklahoma</t>
        </is>
      </c>
      <c r="C71" s="42" t="inlineStr">
        <is>
          <t>-3.5</t>
        </is>
      </c>
      <c r="D71" s="42" t="inlineStr">
        <is>
          <t>-6.2</t>
        </is>
      </c>
      <c r="E71" s="42" t="inlineStr">
        <is>
          <t>-6.6</t>
        </is>
      </c>
      <c r="F71" s="42" t="inlineStr">
        <is>
          <t>-0.6</t>
        </is>
      </c>
      <c r="G71" s="42" t="inlineStr">
        <is>
          <t>Home</t>
        </is>
      </c>
      <c r="H71" s="42" t="inlineStr">
        <is>
          <t>Home</t>
        </is>
      </c>
      <c r="I71" s="42" t="inlineStr">
        <is>
          <t>Away</t>
        </is>
      </c>
      <c r="J71" s="42" t="inlineStr">
        <is>
          <t>Yes</t>
        </is>
      </c>
      <c r="K71" s="65" t="inlineStr">
        <is>
          <t>Ridge</t>
        </is>
      </c>
    </row>
    <row r="72">
      <c r="A72" s="42" t="n">
        <v>9</v>
      </c>
      <c r="B72" s="42" t="inlineStr">
        <is>
          <t>Purdue @ Penn State</t>
        </is>
      </c>
      <c r="C72" s="42" t="inlineStr">
        <is>
          <t>-7.5</t>
        </is>
      </c>
      <c r="D72" s="42" t="inlineStr">
        <is>
          <t>-10.9</t>
        </is>
      </c>
      <c r="E72" s="42" t="inlineStr">
        <is>
          <t>-11.9</t>
        </is>
      </c>
      <c r="F72" s="42" t="inlineStr">
        <is>
          <t>-14.9</t>
        </is>
      </c>
      <c r="G72" s="42" t="inlineStr">
        <is>
          <t>Home</t>
        </is>
      </c>
      <c r="H72" s="42" t="inlineStr">
        <is>
          <t>Home</t>
        </is>
      </c>
      <c r="I72" s="42" t="inlineStr">
        <is>
          <t>Home</t>
        </is>
      </c>
      <c r="J72" s="42" t="inlineStr">
        <is>
          <t>Yes</t>
        </is>
      </c>
      <c r="K72" s="65" t="inlineStr">
        <is>
          <t>Ridge</t>
        </is>
      </c>
    </row>
    <row r="73">
      <c r="A73" s="42" t="n">
        <v>9</v>
      </c>
      <c r="B73" s="42" t="inlineStr">
        <is>
          <t>App State @ Georgia Southern</t>
        </is>
      </c>
      <c r="C73" s="42" t="inlineStr">
        <is>
          <t>-4.5</t>
        </is>
      </c>
      <c r="D73" s="42" t="inlineStr">
        <is>
          <t>+1.3</t>
        </is>
      </c>
      <c r="E73" s="42" t="inlineStr">
        <is>
          <t>+0.4</t>
        </is>
      </c>
      <c r="F73" s="42" t="inlineStr">
        <is>
          <t>-7.7</t>
        </is>
      </c>
      <c r="G73" s="42" t="inlineStr">
        <is>
          <t>Away</t>
        </is>
      </c>
      <c r="H73" s="42" t="inlineStr">
        <is>
          <t>Away</t>
        </is>
      </c>
      <c r="I73" s="42" t="inlineStr">
        <is>
          <t>Home</t>
        </is>
      </c>
      <c r="J73" s="42" t="inlineStr">
        <is>
          <t>Yes</t>
        </is>
      </c>
      <c r="K73" s="65" t="inlineStr">
        <is>
          <t>Gamma</t>
        </is>
      </c>
    </row>
    <row r="74">
      <c r="A74" s="42" t="n">
        <v>9</v>
      </c>
      <c r="B74" s="42" t="inlineStr">
        <is>
          <t>Clemson @ Florida State</t>
        </is>
      </c>
      <c r="C74" s="42" t="inlineStr">
        <is>
          <t>-6.0</t>
        </is>
      </c>
      <c r="D74" s="42" t="inlineStr">
        <is>
          <t>+2.2</t>
        </is>
      </c>
      <c r="E74" s="42" t="inlineStr">
        <is>
          <t>+0.9</t>
        </is>
      </c>
      <c r="F74" s="42" t="inlineStr">
        <is>
          <t>-4.9</t>
        </is>
      </c>
      <c r="G74" s="42" t="inlineStr">
        <is>
          <t>Away</t>
        </is>
      </c>
      <c r="H74" s="42" t="inlineStr">
        <is>
          <t>Away</t>
        </is>
      </c>
      <c r="I74" s="42" t="inlineStr">
        <is>
          <t>Away (auto)</t>
        </is>
      </c>
      <c r="J74" s="42" t="inlineStr">
        <is>
          <t>Yes</t>
        </is>
      </c>
      <c r="K74" s="65" t="inlineStr">
        <is>
          <t>Gamma</t>
        </is>
      </c>
    </row>
    <row r="75">
      <c r="A75" s="42" t="n">
        <v>9</v>
      </c>
      <c r="B75" s="42" t="inlineStr">
        <is>
          <t>Oklahoma State @ Iowa State</t>
        </is>
      </c>
      <c r="C75" s="42" t="inlineStr">
        <is>
          <t>+10.0</t>
        </is>
      </c>
      <c r="D75" s="42" t="inlineStr">
        <is>
          <t>-5.6</t>
        </is>
      </c>
      <c r="E75" s="42" t="inlineStr">
        <is>
          <t>-11.0</t>
        </is>
      </c>
      <c r="F75" s="42" t="inlineStr">
        <is>
          <t>-6.0</t>
        </is>
      </c>
      <c r="G75" s="42" t="inlineStr">
        <is>
          <t>Home</t>
        </is>
      </c>
      <c r="H75" s="42" t="inlineStr">
        <is>
          <t>Home</t>
        </is>
      </c>
      <c r="I75" s="42" t="inlineStr">
        <is>
          <t>Home</t>
        </is>
      </c>
      <c r="J75" s="42" t="inlineStr">
        <is>
          <t>Yes</t>
        </is>
      </c>
      <c r="K75" s="65" t="inlineStr">
        <is>
          <t>Ridge</t>
        </is>
      </c>
    </row>
    <row r="76">
      <c r="A76" s="42" t="n">
        <v>9</v>
      </c>
      <c r="B76" s="42" t="inlineStr">
        <is>
          <t>Washington State @ San Diego State</t>
        </is>
      </c>
      <c r="C76" s="42" t="inlineStr">
        <is>
          <t>-3.0</t>
        </is>
      </c>
      <c r="D76" s="42" t="inlineStr">
        <is>
          <t>-3.7</t>
        </is>
      </c>
      <c r="E76" s="42" t="inlineStr">
        <is>
          <t>-6.2</t>
        </is>
      </c>
      <c r="F76" s="42" t="inlineStr">
        <is>
          <t>-1.6</t>
        </is>
      </c>
      <c r="G76" s="42" t="inlineStr">
        <is>
          <t>Home (auto)</t>
        </is>
      </c>
      <c r="H76" s="42" t="inlineStr">
        <is>
          <t>Home</t>
        </is>
      </c>
      <c r="I76" s="42" t="inlineStr">
        <is>
          <t>Away (auto)</t>
        </is>
      </c>
      <c r="J76" s="42" t="inlineStr">
        <is>
          <t>Yes</t>
        </is>
      </c>
      <c r="K76" s="65" t="inlineStr">
        <is>
          <t>Ridge</t>
        </is>
      </c>
    </row>
    <row r="77">
      <c r="A77" s="42" t="n">
        <v>9</v>
      </c>
      <c r="B77" s="42" t="inlineStr">
        <is>
          <t>Georgia Tech @ Pittsburgh</t>
        </is>
      </c>
      <c r="C77" s="42" t="inlineStr">
        <is>
          <t>-7.5</t>
        </is>
      </c>
      <c r="D77" s="42" t="inlineStr">
        <is>
          <t>-10.6</t>
        </is>
      </c>
      <c r="E77" s="42" t="inlineStr">
        <is>
          <t>-6.9</t>
        </is>
      </c>
      <c r="F77" s="42" t="inlineStr">
        <is>
          <t>-11.0</t>
        </is>
      </c>
      <c r="G77" s="42" t="inlineStr">
        <is>
          <t>Home</t>
        </is>
      </c>
      <c r="H77" s="42" t="inlineStr">
        <is>
          <t>Home (auto)</t>
        </is>
      </c>
      <c r="I77" s="42" t="inlineStr">
        <is>
          <t>Home</t>
        </is>
      </c>
      <c r="J77" s="42" t="inlineStr">
        <is>
          <t>Yes</t>
        </is>
      </c>
      <c r="K77" s="65" t="inlineStr">
        <is>
          <t>XGBoost</t>
        </is>
      </c>
    </row>
    <row r="78">
      <c r="A78" s="42" t="n">
        <v>9</v>
      </c>
      <c r="B78" s="42" t="inlineStr">
        <is>
          <t>Ohio State @ USC</t>
        </is>
      </c>
      <c r="C78" s="42" t="inlineStr">
        <is>
          <t>+7.0</t>
        </is>
      </c>
      <c r="D78" s="42" t="inlineStr">
        <is>
          <t>+9.8</t>
        </is>
      </c>
      <c r="E78" s="42" t="inlineStr">
        <is>
          <t>+9.9</t>
        </is>
      </c>
      <c r="F78" s="42" t="inlineStr">
        <is>
          <t>+12.6</t>
        </is>
      </c>
      <c r="G78" s="42" t="inlineStr">
        <is>
          <t>Away</t>
        </is>
      </c>
      <c r="H78" s="42" t="inlineStr">
        <is>
          <t>Away</t>
        </is>
      </c>
      <c r="I78" s="42" t="inlineStr">
        <is>
          <t>Away</t>
        </is>
      </c>
      <c r="J78" s="42" t="inlineStr">
        <is>
          <t>Yes</t>
        </is>
      </c>
      <c r="K78" s="65" t="inlineStr">
        <is>
          <t>Ridge</t>
        </is>
      </c>
    </row>
    <row r="79">
      <c r="A79" s="42" t="n">
        <v>9</v>
      </c>
      <c r="B79" s="42" t="inlineStr">
        <is>
          <t>Miami @ North Carolina</t>
        </is>
      </c>
      <c r="C79" s="42" t="inlineStr">
        <is>
          <t>+14.5</t>
        </is>
      </c>
      <c r="D79" s="42" t="inlineStr">
        <is>
          <t>+18.0</t>
        </is>
      </c>
      <c r="E79" s="42" t="inlineStr">
        <is>
          <t>+16.9</t>
        </is>
      </c>
      <c r="F79" s="42" t="inlineStr">
        <is>
          <t>+18.7</t>
        </is>
      </c>
      <c r="G79" s="42" t="inlineStr">
        <is>
          <t>Away</t>
        </is>
      </c>
      <c r="H79" s="42" t="inlineStr">
        <is>
          <t>Away</t>
        </is>
      </c>
      <c r="I79" s="42" t="inlineStr">
        <is>
          <t>Away</t>
        </is>
      </c>
      <c r="J79" s="42" t="inlineStr">
        <is>
          <t>Yes</t>
        </is>
      </c>
      <c r="K79" s="65" t="inlineStr">
        <is>
          <t>XGBoost</t>
        </is>
      </c>
    </row>
    <row r="80">
      <c r="A80" s="42" t="n">
        <v>9</v>
      </c>
      <c r="B80" s="42" t="inlineStr">
        <is>
          <t>Mississippi State @ Texas</t>
        </is>
      </c>
      <c r="C80" s="42" t="inlineStr">
        <is>
          <t>-21.0</t>
        </is>
      </c>
      <c r="D80" s="42" t="inlineStr">
        <is>
          <t>-24.0</t>
        </is>
      </c>
      <c r="E80" s="42" t="inlineStr">
        <is>
          <t>-19.1</t>
        </is>
      </c>
      <c r="F80" s="42" t="inlineStr">
        <is>
          <t>-16.9</t>
        </is>
      </c>
      <c r="G80" s="42" t="inlineStr">
        <is>
          <t>Home</t>
        </is>
      </c>
      <c r="H80" s="42" t="inlineStr">
        <is>
          <t>Away (auto)</t>
        </is>
      </c>
      <c r="I80" s="42" t="inlineStr">
        <is>
          <t>Away</t>
        </is>
      </c>
      <c r="J80" s="42" t="inlineStr">
        <is>
          <t>No</t>
        </is>
      </c>
      <c r="K80" s="65" t="inlineStr">
        <is>
          <t>XGBoost</t>
        </is>
      </c>
    </row>
    <row r="81">
      <c r="A81" s="42" t="n">
        <v>9</v>
      </c>
      <c r="B81" s="42" t="inlineStr">
        <is>
          <t>Missouri @ Arkansas</t>
        </is>
      </c>
      <c r="C81" s="42" t="inlineStr">
        <is>
          <t>+10.0</t>
        </is>
      </c>
      <c r="D81" s="42" t="inlineStr">
        <is>
          <t>+9.6</t>
        </is>
      </c>
      <c r="E81" s="42" t="inlineStr">
        <is>
          <t>+9.6</t>
        </is>
      </c>
      <c r="F81" s="42" t="inlineStr">
        <is>
          <t>+6.0</t>
        </is>
      </c>
      <c r="G81" s="42" t="inlineStr">
        <is>
          <t>Away (auto)</t>
        </is>
      </c>
      <c r="H81" s="42" t="inlineStr">
        <is>
          <t>Away (auto)</t>
        </is>
      </c>
      <c r="I81" s="42" t="inlineStr">
        <is>
          <t>Home</t>
        </is>
      </c>
      <c r="J81" s="42" t="inlineStr">
        <is>
          <t>Yes</t>
        </is>
      </c>
      <c r="K81" s="42" t="inlineStr">
        <is>
          <t>Tie</t>
        </is>
      </c>
    </row>
    <row r="82">
      <c r="A82" s="42" t="n">
        <v>9</v>
      </c>
      <c r="B82" s="42" t="inlineStr">
        <is>
          <t>Washington @ Nebraska</t>
        </is>
      </c>
      <c r="C82" s="42" t="inlineStr">
        <is>
          <t>-8.5</t>
        </is>
      </c>
      <c r="D82" s="42" t="inlineStr">
        <is>
          <t>+0.9</t>
        </is>
      </c>
      <c r="E82" s="42" t="inlineStr">
        <is>
          <t>+1.9</t>
        </is>
      </c>
      <c r="F82" s="42" t="inlineStr">
        <is>
          <t>-6.9</t>
        </is>
      </c>
      <c r="G82" s="42" t="inlineStr">
        <is>
          <t>Away</t>
        </is>
      </c>
      <c r="H82" s="42" t="inlineStr">
        <is>
          <t>Away</t>
        </is>
      </c>
      <c r="I82" s="42" t="inlineStr">
        <is>
          <t>Away (auto)</t>
        </is>
      </c>
      <c r="J82" s="42" t="inlineStr">
        <is>
          <t>Yes</t>
        </is>
      </c>
      <c r="K82" s="65" t="inlineStr">
        <is>
          <t>Gamma</t>
        </is>
      </c>
    </row>
    <row r="83">
      <c r="A83" s="42" t="n">
        <v>9</v>
      </c>
      <c r="B83" s="42" t="inlineStr">
        <is>
          <t>Army @ Memphis</t>
        </is>
      </c>
      <c r="C83" s="42" t="inlineStr">
        <is>
          <t>-6.5</t>
        </is>
      </c>
      <c r="D83" s="42" t="inlineStr">
        <is>
          <t>-7.0</t>
        </is>
      </c>
      <c r="E83" s="42" t="inlineStr">
        <is>
          <t>-5.6</t>
        </is>
      </c>
      <c r="F83" s="42" t="inlineStr">
        <is>
          <t>-4.6</t>
        </is>
      </c>
      <c r="G83" s="42" t="inlineStr">
        <is>
          <t>Home (auto)</t>
        </is>
      </c>
      <c r="H83" s="42" t="inlineStr">
        <is>
          <t>Home (auto)</t>
        </is>
      </c>
      <c r="I83" s="42" t="inlineStr">
        <is>
          <t>Away (auto)</t>
        </is>
      </c>
      <c r="J83" s="42" t="inlineStr">
        <is>
          <t>Yes</t>
        </is>
      </c>
      <c r="K83" s="65" t="inlineStr">
        <is>
          <t>Ridge</t>
        </is>
      </c>
    </row>
    <row r="84">
      <c r="A84" s="42" t="n">
        <v>9</v>
      </c>
      <c r="B84" s="42" t="inlineStr">
        <is>
          <t>Texas State @ Boise State</t>
        </is>
      </c>
      <c r="C84" s="42" t="inlineStr">
        <is>
          <t>-11.5</t>
        </is>
      </c>
      <c r="D84" s="42" t="inlineStr">
        <is>
          <t>-14.0</t>
        </is>
      </c>
      <c r="E84" s="42" t="inlineStr">
        <is>
          <t>-13.0</t>
        </is>
      </c>
      <c r="F84" s="42" t="inlineStr">
        <is>
          <t>-12.0</t>
        </is>
      </c>
      <c r="G84" s="42" t="inlineStr">
        <is>
          <t>Home</t>
        </is>
      </c>
      <c r="H84" s="42" t="inlineStr">
        <is>
          <t>Home (auto)</t>
        </is>
      </c>
      <c r="I84" s="42" t="inlineStr">
        <is>
          <t>Home (auto)</t>
        </is>
      </c>
      <c r="J84" s="42" t="inlineStr">
        <is>
          <t>Yes</t>
        </is>
      </c>
      <c r="K84" s="65" t="inlineStr">
        <is>
          <t>Gamma</t>
        </is>
      </c>
    </row>
    <row r="85">
      <c r="A85" s="42" t="n">
        <v>9</v>
      </c>
      <c r="B85" s="42" t="inlineStr">
        <is>
          <t>Northern Illinois @ UNLV</t>
        </is>
      </c>
      <c r="C85" s="42" t="inlineStr">
        <is>
          <t>-24.5</t>
        </is>
      </c>
      <c r="D85" s="42" t="inlineStr">
        <is>
          <t>-21.3</t>
        </is>
      </c>
      <c r="E85" s="42" t="inlineStr">
        <is>
          <t>-19.3</t>
        </is>
      </c>
      <c r="F85" s="42" t="inlineStr">
        <is>
          <t>-27.9</t>
        </is>
      </c>
      <c r="G85" s="42" t="inlineStr">
        <is>
          <t>Away</t>
        </is>
      </c>
      <c r="H85" s="42" t="inlineStr">
        <is>
          <t>Away</t>
        </is>
      </c>
      <c r="I85" s="42" t="inlineStr">
        <is>
          <t>Home</t>
        </is>
      </c>
      <c r="J85" s="42" t="inlineStr">
        <is>
          <t>Yes</t>
        </is>
      </c>
      <c r="K85" s="65" t="inlineStr">
        <is>
          <t>Ridge</t>
        </is>
      </c>
    </row>
    <row r="86">
      <c r="A86" s="42" t="n">
        <v>9</v>
      </c>
      <c r="B86" s="42" t="inlineStr">
        <is>
          <t>Oregon State @ Fresno State</t>
        </is>
      </c>
      <c r="C86" s="42" t="inlineStr">
        <is>
          <t>+7.0</t>
        </is>
      </c>
      <c r="D86" s="42" t="inlineStr">
        <is>
          <t>-4.9</t>
        </is>
      </c>
      <c r="E86" s="42" t="inlineStr">
        <is>
          <t>-6.7</t>
        </is>
      </c>
      <c r="F86" s="42" t="inlineStr">
        <is>
          <t>+1.1</t>
        </is>
      </c>
      <c r="G86" s="42" t="inlineStr">
        <is>
          <t>Home</t>
        </is>
      </c>
      <c r="H86" s="42" t="inlineStr">
        <is>
          <t>Home</t>
        </is>
      </c>
      <c r="I86" s="42" t="inlineStr">
        <is>
          <t>Home</t>
        </is>
      </c>
      <c r="J86" s="42" t="inlineStr">
        <is>
          <t>Yes</t>
        </is>
      </c>
      <c r="K86" s="65" t="inlineStr">
        <is>
          <t>Gamma</t>
        </is>
      </c>
    </row>
    <row r="87">
      <c r="A87" s="44" t="inlineStr">
        <is>
          <t>* Tightest (Live) compares each model's line to TODAY's still-moving market line, not a final closing line -- it will keep changing until kickoff. See the graded Game-by-Game table below for the real, closing-line version of this comparison.</t>
        </is>
      </c>
    </row>
    <row r="90">
      <c r="A90" s="63" t="inlineStr">
        <is>
          <t>2026 Mountain West Games -- Game by Game</t>
        </is>
      </c>
    </row>
    <row r="91">
      <c r="A91" s="64" t="inlineStr">
        <is>
          <t>Week</t>
        </is>
      </c>
      <c r="B91" s="64" t="inlineStr">
        <is>
          <t>Matchup</t>
        </is>
      </c>
      <c r="C91" s="64" t="inlineStr">
        <is>
          <t>Final Score</t>
        </is>
      </c>
      <c r="D91" s="64" t="inlineStr">
        <is>
          <t>Vegas Spread (Home)</t>
        </is>
      </c>
      <c r="E91" s="64" t="inlineStr">
        <is>
          <t>Actual Margin (Home)</t>
        </is>
      </c>
      <c r="F91" s="64" t="inlineStr">
        <is>
          <t>Ridge Line</t>
        </is>
      </c>
      <c r="G91" s="64" t="inlineStr">
        <is>
          <t>Ridge Edge</t>
        </is>
      </c>
      <c r="H91" s="64" t="inlineStr">
        <is>
          <t>Ridge Lean</t>
        </is>
      </c>
      <c r="I91" s="64" t="inlineStr">
        <is>
          <t>Ridge Result</t>
        </is>
      </c>
      <c r="J91" s="64" t="inlineStr">
        <is>
          <t>XGBoost Line</t>
        </is>
      </c>
      <c r="K91" s="64" t="inlineStr">
        <is>
          <t>XGBoost Edge</t>
        </is>
      </c>
      <c r="L91" s="64" t="inlineStr">
        <is>
          <t>XGBoost Lean</t>
        </is>
      </c>
      <c r="M91" s="64" t="inlineStr">
        <is>
          <t>XGBoost Result</t>
        </is>
      </c>
      <c r="N91" s="64" t="inlineStr">
        <is>
          <t>Gamma Line</t>
        </is>
      </c>
      <c r="O91" s="64" t="inlineStr">
        <is>
          <t>Gamma Edge</t>
        </is>
      </c>
      <c r="P91" s="64" t="inlineStr">
        <is>
          <t>Gamma Lean</t>
        </is>
      </c>
      <c r="Q91" s="64" t="inlineStr">
        <is>
          <t>Gamma Result</t>
        </is>
      </c>
      <c r="R91" s="64" t="inlineStr">
        <is>
          <t>Massey Line</t>
        </is>
      </c>
      <c r="S91" s="64" t="inlineStr">
        <is>
          <t>Massey Edge</t>
        </is>
      </c>
      <c r="T91" s="64" t="inlineStr">
        <is>
          <t>Massey Lean</t>
        </is>
      </c>
      <c r="U91" s="64" t="inlineStr">
        <is>
          <t>Massey Result</t>
        </is>
      </c>
      <c r="V91" s="64" t="inlineStr">
        <is>
          <t>Ridge/XGBoost Agree?</t>
        </is>
      </c>
      <c r="W91" s="64" t="inlineStr">
        <is>
          <t>Ridge Agrees (w/ Live Model)?</t>
        </is>
      </c>
      <c r="X91" s="64" t="inlineStr">
        <is>
          <t>Tightest CLV Line</t>
        </is>
      </c>
      <c r="Y91" s="64" t="inlineStr">
        <is>
          <t>Ridge CLV Pts (Cum.)</t>
        </is>
      </c>
      <c r="Z91" s="64" t="inlineStr">
        <is>
          <t>XGBoost CLV Pts (Cum.)</t>
        </is>
      </c>
      <c r="AA91" s="64" t="inlineStr">
        <is>
          <t>Gamma CLV Pts (Cum.)</t>
        </is>
      </c>
      <c r="AB91" s="64" t="inlineStr">
        <is>
          <t>Massey CLV Pts (Cum.)</t>
        </is>
      </c>
    </row>
    <row r="92">
      <c r="A92" s="42" t="n">
        <v>1</v>
      </c>
      <c r="B92" s="42" t="inlineStr">
        <is>
          <t>Duquesne @ Air Force</t>
        </is>
      </c>
      <c r="C92" s="42" t="inlineStr">
        <is>
          <t>0-34</t>
        </is>
      </c>
      <c r="D92" s="42" t="inlineStr">
        <is>
          <t>-30.0</t>
        </is>
      </c>
      <c r="E92" s="42" t="inlineStr">
        <is>
          <t>+34.0</t>
        </is>
      </c>
      <c r="F92" s="42" t="inlineStr">
        <is>
          <t>-17.0</t>
        </is>
      </c>
      <c r="G92" s="42" t="inlineStr">
        <is>
          <t>-13.0</t>
        </is>
      </c>
      <c r="H92" s="42" t="inlineStr">
        <is>
          <t>Away</t>
        </is>
      </c>
      <c r="I92" s="66" t="inlineStr">
        <is>
          <t>Loss</t>
        </is>
      </c>
      <c r="J92" s="42" t="inlineStr">
        <is>
          <t>-28.3</t>
        </is>
      </c>
      <c r="K92" s="42" t="inlineStr">
        <is>
          <t>-1.7</t>
        </is>
      </c>
      <c r="L92" s="42" t="inlineStr">
        <is>
          <t>Away</t>
        </is>
      </c>
      <c r="M92" s="66" t="inlineStr">
        <is>
          <t>Loss (no real edge)</t>
        </is>
      </c>
      <c r="N92" s="42" t="inlineStr">
        <is>
          <t>-35.2</t>
        </is>
      </c>
      <c r="O92" s="42" t="inlineStr">
        <is>
          <t>+5.2</t>
        </is>
      </c>
      <c r="P92" s="42" t="inlineStr">
        <is>
          <t>Home</t>
        </is>
      </c>
      <c r="Q92" s="65" t="inlineStr">
        <is>
          <t>Win (seed week)</t>
        </is>
      </c>
      <c r="R92" s="42" t="inlineStr">
        <is>
          <t>--</t>
        </is>
      </c>
      <c r="S92" s="42" t="inlineStr">
        <is>
          <t>--</t>
        </is>
      </c>
      <c r="T92" s="42" t="inlineStr">
        <is>
          <t>n/a</t>
        </is>
      </c>
      <c r="U92" s="42" t="inlineStr">
        <is>
          <t>n/a</t>
        </is>
      </c>
      <c r="V92" s="42" t="inlineStr">
        <is>
          <t>Yes</t>
        </is>
      </c>
      <c r="W92" s="42" t="inlineStr">
        <is>
          <t>No</t>
        </is>
      </c>
      <c r="X92" s="65" t="inlineStr">
        <is>
          <t>XGBoost</t>
        </is>
      </c>
      <c r="Y92" s="42" t="inlineStr">
        <is>
          <t>-13.0</t>
        </is>
      </c>
      <c r="Z92" s="42" t="inlineStr">
        <is>
          <t>-1.7</t>
        </is>
      </c>
      <c r="AA92" s="42" t="inlineStr">
        <is>
          <t>+5.2</t>
        </is>
      </c>
      <c r="AB92" s="42" t="inlineStr">
        <is>
          <t>+0.0</t>
        </is>
      </c>
    </row>
    <row r="93">
      <c r="A93" s="42" t="n">
        <v>1</v>
      </c>
      <c r="B93" s="42" t="inlineStr">
        <is>
          <t>Wyoming @ Colorado State</t>
        </is>
      </c>
      <c r="C93" s="42" t="inlineStr">
        <is>
          <t>13-35</t>
        </is>
      </c>
      <c r="D93" s="42" t="inlineStr">
        <is>
          <t>-2.8</t>
        </is>
      </c>
      <c r="E93" s="42" t="inlineStr">
        <is>
          <t>+22.0</t>
        </is>
      </c>
      <c r="F93" s="42" t="inlineStr">
        <is>
          <t>-7.8</t>
        </is>
      </c>
      <c r="G93" s="42" t="inlineStr">
        <is>
          <t>+5.1</t>
        </is>
      </c>
      <c r="H93" s="42" t="inlineStr">
        <is>
          <t>Home</t>
        </is>
      </c>
      <c r="I93" s="65" t="inlineStr">
        <is>
          <t>Win</t>
        </is>
      </c>
      <c r="J93" s="42" t="inlineStr">
        <is>
          <t>-2.8</t>
        </is>
      </c>
      <c r="K93" s="42" t="inlineStr">
        <is>
          <t>+0.0</t>
        </is>
      </c>
      <c r="L93" s="42" t="inlineStr">
        <is>
          <t>Home</t>
        </is>
      </c>
      <c r="M93" s="65" t="inlineStr">
        <is>
          <t>Win (no real edge)</t>
        </is>
      </c>
      <c r="N93" s="42" t="inlineStr">
        <is>
          <t>-5.2</t>
        </is>
      </c>
      <c r="O93" s="42" t="inlineStr">
        <is>
          <t>+2.4</t>
        </is>
      </c>
      <c r="P93" s="42" t="inlineStr">
        <is>
          <t>Home</t>
        </is>
      </c>
      <c r="Q93" s="65" t="inlineStr">
        <is>
          <t>Win (seed week)</t>
        </is>
      </c>
      <c r="R93" s="42" t="inlineStr">
        <is>
          <t>--</t>
        </is>
      </c>
      <c r="S93" s="42" t="inlineStr">
        <is>
          <t>--</t>
        </is>
      </c>
      <c r="T93" s="42" t="inlineStr">
        <is>
          <t>n/a</t>
        </is>
      </c>
      <c r="U93" s="42" t="inlineStr">
        <is>
          <t>n/a</t>
        </is>
      </c>
      <c r="V93" s="42" t="inlineStr">
        <is>
          <t>Yes</t>
        </is>
      </c>
      <c r="W93" s="42" t="inlineStr">
        <is>
          <t>Yes</t>
        </is>
      </c>
      <c r="X93" s="65" t="inlineStr">
        <is>
          <t>XGBoost</t>
        </is>
      </c>
      <c r="Y93" s="42" t="inlineStr">
        <is>
          <t>-7.9</t>
        </is>
      </c>
      <c r="Z93" s="42" t="inlineStr">
        <is>
          <t>-1.7</t>
        </is>
      </c>
      <c r="AA93" s="42" t="inlineStr">
        <is>
          <t>+7.6</t>
        </is>
      </c>
      <c r="AB93" s="42" t="inlineStr">
        <is>
          <t>+0.0</t>
        </is>
      </c>
    </row>
    <row r="94">
      <c r="A94" s="42" t="n">
        <v>1</v>
      </c>
      <c r="B94" s="42" t="inlineStr">
        <is>
          <t>San José State @ Eastern Michigan</t>
        </is>
      </c>
      <c r="C94" s="42" t="inlineStr">
        <is>
          <t>27-21</t>
        </is>
      </c>
      <c r="D94" s="42" t="inlineStr">
        <is>
          <t>-1.5</t>
        </is>
      </c>
      <c r="E94" s="42" t="inlineStr">
        <is>
          <t>-6.0</t>
        </is>
      </c>
      <c r="F94" s="42" t="inlineStr">
        <is>
          <t>-15.8</t>
        </is>
      </c>
      <c r="G94" s="42" t="inlineStr">
        <is>
          <t>+14.3</t>
        </is>
      </c>
      <c r="H94" s="42" t="inlineStr">
        <is>
          <t>Home</t>
        </is>
      </c>
      <c r="I94" s="66" t="inlineStr">
        <is>
          <t>Loss</t>
        </is>
      </c>
      <c r="J94" s="42" t="inlineStr">
        <is>
          <t>-10.0</t>
        </is>
      </c>
      <c r="K94" s="42" t="inlineStr">
        <is>
          <t>+8.5</t>
        </is>
      </c>
      <c r="L94" s="42" t="inlineStr">
        <is>
          <t>Home</t>
        </is>
      </c>
      <c r="M94" s="66" t="inlineStr">
        <is>
          <t>Loss</t>
        </is>
      </c>
      <c r="N94" s="42" t="inlineStr">
        <is>
          <t>+0.4</t>
        </is>
      </c>
      <c r="O94" s="42" t="inlineStr">
        <is>
          <t>-1.9</t>
        </is>
      </c>
      <c r="P94" s="42" t="inlineStr">
        <is>
          <t>Away</t>
        </is>
      </c>
      <c r="Q94" s="65" t="inlineStr">
        <is>
          <t>Win (no real edge) (seed week)</t>
        </is>
      </c>
      <c r="R94" s="42" t="inlineStr">
        <is>
          <t>--</t>
        </is>
      </c>
      <c r="S94" s="42" t="inlineStr">
        <is>
          <t>--</t>
        </is>
      </c>
      <c r="T94" s="42" t="inlineStr">
        <is>
          <t>n/a</t>
        </is>
      </c>
      <c r="U94" s="42" t="inlineStr">
        <is>
          <t>n/a</t>
        </is>
      </c>
      <c r="V94" s="42" t="inlineStr">
        <is>
          <t>Yes</t>
        </is>
      </c>
      <c r="W94" s="42" t="inlineStr">
        <is>
          <t>No</t>
        </is>
      </c>
      <c r="X94" s="65" t="inlineStr">
        <is>
          <t>Gamma</t>
        </is>
      </c>
      <c r="Y94" s="42" t="inlineStr">
        <is>
          <t>+6.4</t>
        </is>
      </c>
      <c r="Z94" s="42" t="inlineStr">
        <is>
          <t>+6.8</t>
        </is>
      </c>
      <c r="AA94" s="42" t="inlineStr">
        <is>
          <t>+5.8</t>
        </is>
      </c>
      <c r="AB94" s="42" t="inlineStr">
        <is>
          <t>+0.0</t>
        </is>
      </c>
    </row>
    <row r="95">
      <c r="A95" s="42" t="n">
        <v>1</v>
      </c>
      <c r="B95" s="42" t="inlineStr">
        <is>
          <t>UNLV @ Hawai'i</t>
        </is>
      </c>
      <c r="C95" s="42" t="inlineStr">
        <is>
          <t>21-6</t>
        </is>
      </c>
      <c r="D95" s="42" t="inlineStr">
        <is>
          <t>+2.8</t>
        </is>
      </c>
      <c r="E95" s="42" t="inlineStr">
        <is>
          <t>-15.0</t>
        </is>
      </c>
      <c r="F95" s="42" t="inlineStr">
        <is>
          <t>+2.9</t>
        </is>
      </c>
      <c r="G95" s="42" t="inlineStr">
        <is>
          <t>-0.1</t>
        </is>
      </c>
      <c r="H95" s="42" t="inlineStr">
        <is>
          <t>Away</t>
        </is>
      </c>
      <c r="I95" s="65" t="inlineStr">
        <is>
          <t>Win (no real edge)</t>
        </is>
      </c>
      <c r="J95" s="42" t="inlineStr">
        <is>
          <t>-1.6</t>
        </is>
      </c>
      <c r="K95" s="42" t="inlineStr">
        <is>
          <t>+4.4</t>
        </is>
      </c>
      <c r="L95" s="42" t="inlineStr">
        <is>
          <t>Home</t>
        </is>
      </c>
      <c r="M95" s="66" t="inlineStr">
        <is>
          <t>Loss</t>
        </is>
      </c>
      <c r="N95" s="42" t="inlineStr">
        <is>
          <t>+3.4</t>
        </is>
      </c>
      <c r="O95" s="42" t="inlineStr">
        <is>
          <t>-0.6</t>
        </is>
      </c>
      <c r="P95" s="42" t="inlineStr">
        <is>
          <t>Away</t>
        </is>
      </c>
      <c r="Q95" s="65" t="inlineStr">
        <is>
          <t>Win (no real edge) (seed week)</t>
        </is>
      </c>
      <c r="R95" s="42" t="inlineStr">
        <is>
          <t>--</t>
        </is>
      </c>
      <c r="S95" s="42" t="inlineStr">
        <is>
          <t>--</t>
        </is>
      </c>
      <c r="T95" s="42" t="inlineStr">
        <is>
          <t>n/a</t>
        </is>
      </c>
      <c r="U95" s="42" t="inlineStr">
        <is>
          <t>n/a</t>
        </is>
      </c>
      <c r="V95" s="42" t="inlineStr">
        <is>
          <t>No</t>
        </is>
      </c>
      <c r="W95" s="42" t="inlineStr">
        <is>
          <t>Yes</t>
        </is>
      </c>
      <c r="X95" s="65" t="inlineStr">
        <is>
          <t>Ridge</t>
        </is>
      </c>
      <c r="Y95" s="42" t="inlineStr">
        <is>
          <t>+6.2</t>
        </is>
      </c>
      <c r="Z95" s="42" t="inlineStr">
        <is>
          <t>+11.2</t>
        </is>
      </c>
      <c r="AA95" s="42" t="inlineStr">
        <is>
          <t>+5.1</t>
        </is>
      </c>
      <c r="AB95" s="42" t="inlineStr">
        <is>
          <t>+0.0</t>
        </is>
      </c>
    </row>
    <row r="96">
      <c r="A96" s="42" t="n">
        <v>1</v>
      </c>
      <c r="B96" s="42" t="inlineStr">
        <is>
          <t>Northern Illinois @ Iowa</t>
        </is>
      </c>
      <c r="C96" s="42" t="inlineStr">
        <is>
          <t>0-40</t>
        </is>
      </c>
      <c r="D96" s="42" t="inlineStr">
        <is>
          <t>-31.8</t>
        </is>
      </c>
      <c r="E96" s="42" t="inlineStr">
        <is>
          <t>+40.0</t>
        </is>
      </c>
      <c r="F96" s="42" t="inlineStr">
        <is>
          <t>-28.3</t>
        </is>
      </c>
      <c r="G96" s="42" t="inlineStr">
        <is>
          <t>-3.5</t>
        </is>
      </c>
      <c r="H96" s="42" t="inlineStr">
        <is>
          <t>Away</t>
        </is>
      </c>
      <c r="I96" s="66" t="inlineStr">
        <is>
          <t>Loss</t>
        </is>
      </c>
      <c r="J96" s="42" t="inlineStr">
        <is>
          <t>-25.1</t>
        </is>
      </c>
      <c r="K96" s="42" t="inlineStr">
        <is>
          <t>-6.6</t>
        </is>
      </c>
      <c r="L96" s="42" t="inlineStr">
        <is>
          <t>Away</t>
        </is>
      </c>
      <c r="M96" s="66" t="inlineStr">
        <is>
          <t>Loss</t>
        </is>
      </c>
      <c r="N96" s="42" t="inlineStr">
        <is>
          <t>-39.8</t>
        </is>
      </c>
      <c r="O96" s="42" t="inlineStr">
        <is>
          <t>+8.0</t>
        </is>
      </c>
      <c r="P96" s="42" t="inlineStr">
        <is>
          <t>Home</t>
        </is>
      </c>
      <c r="Q96" s="65" t="inlineStr">
        <is>
          <t>Win (seed week)</t>
        </is>
      </c>
      <c r="R96" s="42" t="inlineStr">
        <is>
          <t>--</t>
        </is>
      </c>
      <c r="S96" s="42" t="inlineStr">
        <is>
          <t>--</t>
        </is>
      </c>
      <c r="T96" s="42" t="inlineStr">
        <is>
          <t>n/a</t>
        </is>
      </c>
      <c r="U96" s="42" t="inlineStr">
        <is>
          <t>n/a</t>
        </is>
      </c>
      <c r="V96" s="42" t="inlineStr">
        <is>
          <t>Yes</t>
        </is>
      </c>
      <c r="W96" s="42" t="inlineStr">
        <is>
          <t>No</t>
        </is>
      </c>
      <c r="X96" s="65" t="inlineStr">
        <is>
          <t>Ridge</t>
        </is>
      </c>
      <c r="Y96" s="42" t="inlineStr">
        <is>
          <t>+2.8</t>
        </is>
      </c>
      <c r="Z96" s="42" t="inlineStr">
        <is>
          <t>+4.6</t>
        </is>
      </c>
      <c r="AA96" s="42" t="inlineStr">
        <is>
          <t>+13.2</t>
        </is>
      </c>
      <c r="AB96" s="42" t="inlineStr">
        <is>
          <t>+0.0</t>
        </is>
      </c>
    </row>
    <row r="97">
      <c r="A97" s="42" t="n">
        <v>1</v>
      </c>
      <c r="B97" s="42" t="inlineStr">
        <is>
          <t>Western Kentucky @ Nevada</t>
        </is>
      </c>
      <c r="C97" s="42" t="inlineStr">
        <is>
          <t>14-49</t>
        </is>
      </c>
      <c r="D97" s="42" t="inlineStr">
        <is>
          <t>+0.2</t>
        </is>
      </c>
      <c r="E97" s="42" t="inlineStr">
        <is>
          <t>+35.0</t>
        </is>
      </c>
      <c r="F97" s="42" t="inlineStr">
        <is>
          <t>+3.3</t>
        </is>
      </c>
      <c r="G97" s="42" t="inlineStr">
        <is>
          <t>-3.0</t>
        </is>
      </c>
      <c r="H97" s="42" t="inlineStr">
        <is>
          <t>Away</t>
        </is>
      </c>
      <c r="I97" s="66" t="inlineStr">
        <is>
          <t>Loss</t>
        </is>
      </c>
      <c r="J97" s="42" t="inlineStr">
        <is>
          <t>+7.3</t>
        </is>
      </c>
      <c r="K97" s="42" t="inlineStr">
        <is>
          <t>-7.1</t>
        </is>
      </c>
      <c r="L97" s="42" t="inlineStr">
        <is>
          <t>Away</t>
        </is>
      </c>
      <c r="M97" s="66" t="inlineStr">
        <is>
          <t>Loss</t>
        </is>
      </c>
      <c r="N97" s="42" t="inlineStr">
        <is>
          <t>-4.8</t>
        </is>
      </c>
      <c r="O97" s="42" t="inlineStr">
        <is>
          <t>+5.1</t>
        </is>
      </c>
      <c r="P97" s="42" t="inlineStr">
        <is>
          <t>Home</t>
        </is>
      </c>
      <c r="Q97" s="65" t="inlineStr">
        <is>
          <t>Win (seed week)</t>
        </is>
      </c>
      <c r="R97" s="42" t="inlineStr">
        <is>
          <t>--</t>
        </is>
      </c>
      <c r="S97" s="42" t="inlineStr">
        <is>
          <t>--</t>
        </is>
      </c>
      <c r="T97" s="42" t="inlineStr">
        <is>
          <t>n/a</t>
        </is>
      </c>
      <c r="U97" s="42" t="inlineStr">
        <is>
          <t>n/a</t>
        </is>
      </c>
      <c r="V97" s="42" t="inlineStr">
        <is>
          <t>Yes</t>
        </is>
      </c>
      <c r="W97" s="42" t="inlineStr">
        <is>
          <t>No</t>
        </is>
      </c>
      <c r="X97" s="65" t="inlineStr">
        <is>
          <t>Ridge</t>
        </is>
      </c>
      <c r="Y97" s="42" t="inlineStr">
        <is>
          <t>-0.3</t>
        </is>
      </c>
      <c r="Z97" s="42" t="inlineStr">
        <is>
          <t>-2.5</t>
        </is>
      </c>
      <c r="AA97" s="42" t="inlineStr">
        <is>
          <t>+18.2</t>
        </is>
      </c>
      <c r="AB97" s="42" t="inlineStr">
        <is>
          <t>+0.0</t>
        </is>
      </c>
    </row>
    <row r="98">
      <c r="A98" s="42" t="n">
        <v>1</v>
      </c>
      <c r="B98" s="42" t="inlineStr">
        <is>
          <t>Central Michigan @ New Mexico</t>
        </is>
      </c>
      <c r="C98" s="42" t="inlineStr">
        <is>
          <t>7-38</t>
        </is>
      </c>
      <c r="D98" s="42" t="inlineStr">
        <is>
          <t>-11.2</t>
        </is>
      </c>
      <c r="E98" s="42" t="inlineStr">
        <is>
          <t>+31.0</t>
        </is>
      </c>
      <c r="F98" s="42" t="inlineStr">
        <is>
          <t>-17.5</t>
        </is>
      </c>
      <c r="G98" s="42" t="inlineStr">
        <is>
          <t>+6.2</t>
        </is>
      </c>
      <c r="H98" s="42" t="inlineStr">
        <is>
          <t>Home</t>
        </is>
      </c>
      <c r="I98" s="65" t="inlineStr">
        <is>
          <t>Win</t>
        </is>
      </c>
      <c r="J98" s="42" t="inlineStr">
        <is>
          <t>-11.8</t>
        </is>
      </c>
      <c r="K98" s="42" t="inlineStr">
        <is>
          <t>+0.6</t>
        </is>
      </c>
      <c r="L98" s="42" t="inlineStr">
        <is>
          <t>Home</t>
        </is>
      </c>
      <c r="M98" s="65" t="inlineStr">
        <is>
          <t>Win (no real edge)</t>
        </is>
      </c>
      <c r="N98" s="42" t="inlineStr">
        <is>
          <t>-14.5</t>
        </is>
      </c>
      <c r="O98" s="42" t="inlineStr">
        <is>
          <t>+3.2</t>
        </is>
      </c>
      <c r="P98" s="42" t="inlineStr">
        <is>
          <t>Home</t>
        </is>
      </c>
      <c r="Q98" s="65" t="inlineStr">
        <is>
          <t>Win (seed week)</t>
        </is>
      </c>
      <c r="R98" s="42" t="inlineStr">
        <is>
          <t>--</t>
        </is>
      </c>
      <c r="S98" s="42" t="inlineStr">
        <is>
          <t>--</t>
        </is>
      </c>
      <c r="T98" s="42" t="inlineStr">
        <is>
          <t>n/a</t>
        </is>
      </c>
      <c r="U98" s="42" t="inlineStr">
        <is>
          <t>n/a</t>
        </is>
      </c>
      <c r="V98" s="42" t="inlineStr">
        <is>
          <t>Yes</t>
        </is>
      </c>
      <c r="W98" s="42" t="inlineStr">
        <is>
          <t>Yes</t>
        </is>
      </c>
      <c r="X98" s="65" t="inlineStr">
        <is>
          <t>XGBoost</t>
        </is>
      </c>
      <c r="Y98" s="42" t="inlineStr">
        <is>
          <t>+5.9</t>
        </is>
      </c>
      <c r="Z98" s="42" t="inlineStr">
        <is>
          <t>-2.0</t>
        </is>
      </c>
      <c r="AA98" s="42" t="inlineStr">
        <is>
          <t>+21.5</t>
        </is>
      </c>
      <c r="AB98" s="42" t="inlineStr">
        <is>
          <t>+0.0</t>
        </is>
      </c>
    </row>
    <row r="99">
      <c r="A99" s="42" t="n">
        <v>1</v>
      </c>
      <c r="B99" s="42" t="inlineStr">
        <is>
          <t>Fordham @ North Dakota State</t>
        </is>
      </c>
      <c r="C99" s="42" t="inlineStr">
        <is>
          <t>0-38</t>
        </is>
      </c>
      <c r="D99" s="42" t="inlineStr">
        <is>
          <t>-41.5</t>
        </is>
      </c>
      <c r="E99" s="42" t="inlineStr">
        <is>
          <t>+38.0</t>
        </is>
      </c>
      <c r="F99" s="42" t="inlineStr">
        <is>
          <t>-40.9</t>
        </is>
      </c>
      <c r="G99" s="42" t="inlineStr">
        <is>
          <t>-0.6</t>
        </is>
      </c>
      <c r="H99" s="42" t="inlineStr">
        <is>
          <t>Home</t>
        </is>
      </c>
      <c r="I99" s="66" t="inlineStr">
        <is>
          <t>Loss (no real edge)</t>
        </is>
      </c>
      <c r="J99" s="42" t="inlineStr">
        <is>
          <t>-35.9</t>
        </is>
      </c>
      <c r="K99" s="42" t="inlineStr">
        <is>
          <t>-5.6</t>
        </is>
      </c>
      <c r="L99" s="42" t="inlineStr">
        <is>
          <t>Away</t>
        </is>
      </c>
      <c r="M99" s="65" t="inlineStr">
        <is>
          <t>Win</t>
        </is>
      </c>
      <c r="N99" s="42" t="inlineStr">
        <is>
          <t>-57.2</t>
        </is>
      </c>
      <c r="O99" s="42" t="inlineStr">
        <is>
          <t>+15.7</t>
        </is>
      </c>
      <c r="P99" s="42" t="inlineStr">
        <is>
          <t>Home</t>
        </is>
      </c>
      <c r="Q99" s="66" t="inlineStr">
        <is>
          <t>Loss (seed week)</t>
        </is>
      </c>
      <c r="R99" s="42" t="inlineStr">
        <is>
          <t>--</t>
        </is>
      </c>
      <c r="S99" s="42" t="inlineStr">
        <is>
          <t>--</t>
        </is>
      </c>
      <c r="T99" s="42" t="inlineStr">
        <is>
          <t>n/a</t>
        </is>
      </c>
      <c r="U99" s="42" t="inlineStr">
        <is>
          <t>n/a</t>
        </is>
      </c>
      <c r="V99" s="42" t="inlineStr">
        <is>
          <t>No</t>
        </is>
      </c>
      <c r="W99" s="42" t="inlineStr">
        <is>
          <t>Yes</t>
        </is>
      </c>
      <c r="X99" s="65" t="inlineStr">
        <is>
          <t>Ridge</t>
        </is>
      </c>
      <c r="Y99" s="42" t="inlineStr">
        <is>
          <t>+5.3</t>
        </is>
      </c>
      <c r="Z99" s="42" t="inlineStr">
        <is>
          <t>-7.6</t>
        </is>
      </c>
      <c r="AA99" s="42" t="inlineStr">
        <is>
          <t>+37.1</t>
        </is>
      </c>
      <c r="AB99" s="42" t="inlineStr">
        <is>
          <t>+0.0</t>
        </is>
      </c>
    </row>
    <row r="100">
      <c r="A100" s="42" t="n">
        <v>1</v>
      </c>
      <c r="B100" s="42" t="inlineStr">
        <is>
          <t>Jacksonville State @ North Dakota State</t>
        </is>
      </c>
      <c r="C100" s="42" t="inlineStr">
        <is>
          <t>7-33</t>
        </is>
      </c>
      <c r="D100" s="42" t="inlineStr">
        <is>
          <t>-6.8</t>
        </is>
      </c>
      <c r="E100" s="42" t="inlineStr">
        <is>
          <t>+26.0</t>
        </is>
      </c>
      <c r="F100" s="42" t="inlineStr">
        <is>
          <t>-18.4</t>
        </is>
      </c>
      <c r="G100" s="42" t="inlineStr">
        <is>
          <t>+11.6</t>
        </is>
      </c>
      <c r="H100" s="42" t="inlineStr">
        <is>
          <t>Home</t>
        </is>
      </c>
      <c r="I100" s="65" t="inlineStr">
        <is>
          <t>Win</t>
        </is>
      </c>
      <c r="J100" s="42" t="inlineStr">
        <is>
          <t>-14.0</t>
        </is>
      </c>
      <c r="K100" s="42" t="inlineStr">
        <is>
          <t>+7.2</t>
        </is>
      </c>
      <c r="L100" s="42" t="inlineStr">
        <is>
          <t>Home</t>
        </is>
      </c>
      <c r="M100" s="65" t="inlineStr">
        <is>
          <t>Win</t>
        </is>
      </c>
      <c r="N100" s="42" t="inlineStr">
        <is>
          <t>-25.0</t>
        </is>
      </c>
      <c r="O100" s="42" t="inlineStr">
        <is>
          <t>+18.3</t>
        </is>
      </c>
      <c r="P100" s="42" t="inlineStr">
        <is>
          <t>Home</t>
        </is>
      </c>
      <c r="Q100" s="65" t="inlineStr">
        <is>
          <t>Win (seed week)</t>
        </is>
      </c>
      <c r="R100" s="42" t="inlineStr">
        <is>
          <t>--</t>
        </is>
      </c>
      <c r="S100" s="42" t="inlineStr">
        <is>
          <t>--</t>
        </is>
      </c>
      <c r="T100" s="42" t="inlineStr">
        <is>
          <t>n/a</t>
        </is>
      </c>
      <c r="U100" s="42" t="inlineStr">
        <is>
          <t>n/a</t>
        </is>
      </c>
      <c r="V100" s="42" t="inlineStr">
        <is>
          <t>Yes</t>
        </is>
      </c>
      <c r="W100" s="42" t="inlineStr">
        <is>
          <t>Yes</t>
        </is>
      </c>
      <c r="X100" s="65" t="inlineStr">
        <is>
          <t>XGBoost</t>
        </is>
      </c>
      <c r="Y100" s="42" t="inlineStr">
        <is>
          <t>+16.9</t>
        </is>
      </c>
      <c r="Z100" s="42" t="inlineStr">
        <is>
          <t>-0.3</t>
        </is>
      </c>
      <c r="AA100" s="42" t="inlineStr">
        <is>
          <t>+55.4</t>
        </is>
      </c>
      <c r="AB100" s="42" t="inlineStr">
        <is>
          <t>+0.0</t>
        </is>
      </c>
    </row>
    <row r="101">
      <c r="A101" s="42" t="n">
        <v>1</v>
      </c>
      <c r="B101" s="42" t="inlineStr">
        <is>
          <t>UTEP @ Oklahoma</t>
        </is>
      </c>
      <c r="C101" s="42" t="inlineStr">
        <is>
          <t>0-51</t>
        </is>
      </c>
      <c r="D101" s="42" t="inlineStr">
        <is>
          <t>-40.8</t>
        </is>
      </c>
      <c r="E101" s="42" t="inlineStr">
        <is>
          <t>+51.0</t>
        </is>
      </c>
      <c r="F101" s="42" t="inlineStr">
        <is>
          <t>-34.8</t>
        </is>
      </c>
      <c r="G101" s="42" t="inlineStr">
        <is>
          <t>-5.9</t>
        </is>
      </c>
      <c r="H101" s="42" t="inlineStr">
        <is>
          <t>Away</t>
        </is>
      </c>
      <c r="I101" s="66" t="inlineStr">
        <is>
          <t>Loss</t>
        </is>
      </c>
      <c r="J101" s="42" t="inlineStr">
        <is>
          <t>-32.4</t>
        </is>
      </c>
      <c r="K101" s="42" t="inlineStr">
        <is>
          <t>-8.3</t>
        </is>
      </c>
      <c r="L101" s="42" t="inlineStr">
        <is>
          <t>Away</t>
        </is>
      </c>
      <c r="M101" s="66" t="inlineStr">
        <is>
          <t>Loss</t>
        </is>
      </c>
      <c r="N101" s="42" t="inlineStr">
        <is>
          <t>-43.5</t>
        </is>
      </c>
      <c r="O101" s="42" t="inlineStr">
        <is>
          <t>+2.7</t>
        </is>
      </c>
      <c r="P101" s="42" t="inlineStr">
        <is>
          <t>Home</t>
        </is>
      </c>
      <c r="Q101" s="65" t="inlineStr">
        <is>
          <t>Win (seed week)</t>
        </is>
      </c>
      <c r="R101" s="42" t="inlineStr">
        <is>
          <t>--</t>
        </is>
      </c>
      <c r="S101" s="42" t="inlineStr">
        <is>
          <t>--</t>
        </is>
      </c>
      <c r="T101" s="42" t="inlineStr">
        <is>
          <t>n/a</t>
        </is>
      </c>
      <c r="U101" s="42" t="inlineStr">
        <is>
          <t>n/a</t>
        </is>
      </c>
      <c r="V101" s="42" t="inlineStr">
        <is>
          <t>Yes</t>
        </is>
      </c>
      <c r="W101" s="42" t="inlineStr">
        <is>
          <t>No</t>
        </is>
      </c>
      <c r="X101" s="65" t="inlineStr">
        <is>
          <t>Gamma</t>
        </is>
      </c>
      <c r="Y101" s="42" t="inlineStr">
        <is>
          <t>+11.0</t>
        </is>
      </c>
      <c r="Z101" s="42" t="inlineStr">
        <is>
          <t>-8.6</t>
        </is>
      </c>
      <c r="AA101" s="42" t="inlineStr">
        <is>
          <t>+58.1</t>
        </is>
      </c>
      <c r="AB101" s="42" t="inlineStr">
        <is>
          <t>+0.0</t>
        </is>
      </c>
    </row>
    <row r="102">
      <c r="A102" s="42" t="n">
        <v>1</v>
      </c>
      <c r="B102" s="42" t="inlineStr">
        <is>
          <t>Hawai'i @ Stanford</t>
        </is>
      </c>
      <c r="C102" s="42" t="inlineStr">
        <is>
          <t>27-37</t>
        </is>
      </c>
      <c r="D102" s="42" t="inlineStr">
        <is>
          <t>-4.8</t>
        </is>
      </c>
      <c r="E102" s="42" t="inlineStr">
        <is>
          <t>+10.0</t>
        </is>
      </c>
      <c r="F102" s="42" t="inlineStr">
        <is>
          <t>-1.5</t>
        </is>
      </c>
      <c r="G102" s="42" t="inlineStr">
        <is>
          <t>-3.3</t>
        </is>
      </c>
      <c r="H102" s="42" t="inlineStr">
        <is>
          <t>Away</t>
        </is>
      </c>
      <c r="I102" s="66" t="inlineStr">
        <is>
          <t>Loss</t>
        </is>
      </c>
      <c r="J102" s="42" t="inlineStr">
        <is>
          <t>+0.8</t>
        </is>
      </c>
      <c r="K102" s="42" t="inlineStr">
        <is>
          <t>-5.6</t>
        </is>
      </c>
      <c r="L102" s="42" t="inlineStr">
        <is>
          <t>Away</t>
        </is>
      </c>
      <c r="M102" s="66" t="inlineStr">
        <is>
          <t>Loss</t>
        </is>
      </c>
      <c r="N102" s="42" t="inlineStr">
        <is>
          <t>-10.6</t>
        </is>
      </c>
      <c r="O102" s="42" t="inlineStr">
        <is>
          <t>+5.9</t>
        </is>
      </c>
      <c r="P102" s="42" t="inlineStr">
        <is>
          <t>Home</t>
        </is>
      </c>
      <c r="Q102" s="65" t="inlineStr">
        <is>
          <t>Win (seed week)</t>
        </is>
      </c>
      <c r="R102" s="42" t="inlineStr">
        <is>
          <t>--</t>
        </is>
      </c>
      <c r="S102" s="42" t="inlineStr">
        <is>
          <t>--</t>
        </is>
      </c>
      <c r="T102" s="42" t="inlineStr">
        <is>
          <t>n/a</t>
        </is>
      </c>
      <c r="U102" s="42" t="inlineStr">
        <is>
          <t>n/a</t>
        </is>
      </c>
      <c r="V102" s="42" t="inlineStr">
        <is>
          <t>Yes</t>
        </is>
      </c>
      <c r="W102" s="42" t="inlineStr">
        <is>
          <t>No</t>
        </is>
      </c>
      <c r="X102" s="65" t="inlineStr">
        <is>
          <t>Ridge</t>
        </is>
      </c>
      <c r="Y102" s="42" t="inlineStr">
        <is>
          <t>+7.7</t>
        </is>
      </c>
      <c r="Z102" s="42" t="inlineStr">
        <is>
          <t>-14.2</t>
        </is>
      </c>
      <c r="AA102" s="42" t="inlineStr">
        <is>
          <t>+64.0</t>
        </is>
      </c>
      <c r="AB102" s="42" t="inlineStr">
        <is>
          <t>+0.0</t>
        </is>
      </c>
    </row>
    <row r="103">
      <c r="A103" s="42" t="n">
        <v>1</v>
      </c>
      <c r="B103" s="42" t="inlineStr">
        <is>
          <t>Memphis @ UNLV</t>
        </is>
      </c>
      <c r="C103" s="42" t="inlineStr">
        <is>
          <t>27-21</t>
        </is>
      </c>
      <c r="D103" s="42" t="inlineStr">
        <is>
          <t>-4.8</t>
        </is>
      </c>
      <c r="E103" s="42" t="inlineStr">
        <is>
          <t>-6.0</t>
        </is>
      </c>
      <c r="F103" s="42" t="inlineStr">
        <is>
          <t>-10.9</t>
        </is>
      </c>
      <c r="G103" s="42" t="inlineStr">
        <is>
          <t>+6.2</t>
        </is>
      </c>
      <c r="H103" s="42" t="inlineStr">
        <is>
          <t>Home</t>
        </is>
      </c>
      <c r="I103" s="66" t="inlineStr">
        <is>
          <t>Loss</t>
        </is>
      </c>
      <c r="J103" s="42" t="inlineStr">
        <is>
          <t>-7.0</t>
        </is>
      </c>
      <c r="K103" s="42" t="inlineStr">
        <is>
          <t>+2.3</t>
        </is>
      </c>
      <c r="L103" s="42" t="inlineStr">
        <is>
          <t>Home</t>
        </is>
      </c>
      <c r="M103" s="66" t="inlineStr">
        <is>
          <t>Loss</t>
        </is>
      </c>
      <c r="N103" s="42" t="inlineStr">
        <is>
          <t>+1.8</t>
        </is>
      </c>
      <c r="O103" s="42" t="inlineStr">
        <is>
          <t>-6.6</t>
        </is>
      </c>
      <c r="P103" s="42" t="inlineStr">
        <is>
          <t>Away</t>
        </is>
      </c>
      <c r="Q103" s="65" t="inlineStr">
        <is>
          <t>Win (seed week)</t>
        </is>
      </c>
      <c r="R103" s="42" t="inlineStr">
        <is>
          <t>--</t>
        </is>
      </c>
      <c r="S103" s="42" t="inlineStr">
        <is>
          <t>--</t>
        </is>
      </c>
      <c r="T103" s="42" t="inlineStr">
        <is>
          <t>n/a</t>
        </is>
      </c>
      <c r="U103" s="42" t="inlineStr">
        <is>
          <t>n/a</t>
        </is>
      </c>
      <c r="V103" s="42" t="inlineStr">
        <is>
          <t>Yes</t>
        </is>
      </c>
      <c r="W103" s="42" t="inlineStr">
        <is>
          <t>No</t>
        </is>
      </c>
      <c r="X103" s="65" t="inlineStr">
        <is>
          <t>XGBoost</t>
        </is>
      </c>
      <c r="Y103" s="42" t="inlineStr">
        <is>
          <t>+13.9</t>
        </is>
      </c>
      <c r="Z103" s="42" t="inlineStr">
        <is>
          <t>-12.0</t>
        </is>
      </c>
      <c r="AA103" s="42" t="inlineStr">
        <is>
          <t>+57.4</t>
        </is>
      </c>
      <c r="AB103" s="42" t="inlineStr">
        <is>
          <t>+0.0</t>
        </is>
      </c>
    </row>
    <row r="104">
      <c r="A104" s="42" t="n">
        <v>1</v>
      </c>
      <c r="B104" s="42" t="inlineStr">
        <is>
          <t>San José State @ USC</t>
        </is>
      </c>
      <c r="C104" s="42" t="inlineStr">
        <is>
          <t>26-42</t>
        </is>
      </c>
      <c r="D104" s="42" t="inlineStr">
        <is>
          <t>-37.2</t>
        </is>
      </c>
      <c r="E104" s="42" t="inlineStr">
        <is>
          <t>+16.0</t>
        </is>
      </c>
      <c r="F104" s="42" t="inlineStr">
        <is>
          <t>-34.6</t>
        </is>
      </c>
      <c r="G104" s="42" t="inlineStr">
        <is>
          <t>-2.7</t>
        </is>
      </c>
      <c r="H104" s="42" t="inlineStr">
        <is>
          <t>Away</t>
        </is>
      </c>
      <c r="I104" s="65" t="inlineStr">
        <is>
          <t>Win</t>
        </is>
      </c>
      <c r="J104" s="42" t="inlineStr">
        <is>
          <t>-36.6</t>
        </is>
      </c>
      <c r="K104" s="42" t="inlineStr">
        <is>
          <t>-0.6</t>
        </is>
      </c>
      <c r="L104" s="42" t="inlineStr">
        <is>
          <t>Home</t>
        </is>
      </c>
      <c r="M104" s="66" t="inlineStr">
        <is>
          <t>Loss (no real edge)</t>
        </is>
      </c>
      <c r="N104" s="42" t="inlineStr">
        <is>
          <t>-28.7</t>
        </is>
      </c>
      <c r="O104" s="42" t="inlineStr">
        <is>
          <t>-8.5</t>
        </is>
      </c>
      <c r="P104" s="42" t="inlineStr">
        <is>
          <t>Away</t>
        </is>
      </c>
      <c r="Q104" s="65" t="inlineStr">
        <is>
          <t>Win (seed week)</t>
        </is>
      </c>
      <c r="R104" s="42" t="inlineStr">
        <is>
          <t>--</t>
        </is>
      </c>
      <c r="S104" s="42" t="inlineStr">
        <is>
          <t>--</t>
        </is>
      </c>
      <c r="T104" s="42" t="inlineStr">
        <is>
          <t>n/a</t>
        </is>
      </c>
      <c r="U104" s="42" t="inlineStr">
        <is>
          <t>n/a</t>
        </is>
      </c>
      <c r="V104" s="42" t="inlineStr">
        <is>
          <t>No</t>
        </is>
      </c>
      <c r="W104" s="42" t="inlineStr">
        <is>
          <t>Yes</t>
        </is>
      </c>
      <c r="X104" s="65" t="inlineStr">
        <is>
          <t>XGBoost</t>
        </is>
      </c>
      <c r="Y104" s="42" t="inlineStr">
        <is>
          <t>+11.2</t>
        </is>
      </c>
      <c r="Z104" s="42" t="inlineStr">
        <is>
          <t>-12.6</t>
        </is>
      </c>
      <c r="AA104" s="42" t="inlineStr">
        <is>
          <t>+48.9</t>
        </is>
      </c>
      <c r="AB104" s="42" t="inlineStr">
        <is>
          <t>+0.0</t>
        </is>
      </c>
    </row>
    <row r="105">
      <c r="A105" s="42" t="n">
        <v>2</v>
      </c>
      <c r="B105" s="42" t="inlineStr">
        <is>
          <t>North Dakota State @ Air Force</t>
        </is>
      </c>
      <c r="C105" s="42" t="inlineStr">
        <is>
          <t>38-32</t>
        </is>
      </c>
      <c r="D105" s="42" t="inlineStr">
        <is>
          <t>+1.8</t>
        </is>
      </c>
      <c r="E105" s="42" t="inlineStr">
        <is>
          <t>-6.0</t>
        </is>
      </c>
      <c r="F105" s="42" t="inlineStr">
        <is>
          <t>+17.0</t>
        </is>
      </c>
      <c r="G105" s="42" t="inlineStr">
        <is>
          <t>-15.3</t>
        </is>
      </c>
      <c r="H105" s="42" t="inlineStr">
        <is>
          <t>Away</t>
        </is>
      </c>
      <c r="I105" s="65" t="inlineStr">
        <is>
          <t>Win</t>
        </is>
      </c>
      <c r="J105" s="42" t="inlineStr">
        <is>
          <t>+14.4</t>
        </is>
      </c>
      <c r="K105" s="42" t="inlineStr">
        <is>
          <t>-12.7</t>
        </is>
      </c>
      <c r="L105" s="42" t="inlineStr">
        <is>
          <t>Away</t>
        </is>
      </c>
      <c r="M105" s="65" t="inlineStr">
        <is>
          <t>Win</t>
        </is>
      </c>
      <c r="N105" s="42" t="inlineStr">
        <is>
          <t>+18.7</t>
        </is>
      </c>
      <c r="O105" s="42" t="inlineStr">
        <is>
          <t>-16.9</t>
        </is>
      </c>
      <c r="P105" s="42" t="inlineStr">
        <is>
          <t>Away</t>
        </is>
      </c>
      <c r="Q105" s="65" t="inlineStr">
        <is>
          <t>Win</t>
        </is>
      </c>
      <c r="R105" s="42" t="inlineStr">
        <is>
          <t>+3.5</t>
        </is>
      </c>
      <c r="S105" s="42" t="inlineStr">
        <is>
          <t>-1.8</t>
        </is>
      </c>
      <c r="T105" s="42" t="inlineStr">
        <is>
          <t>Away</t>
        </is>
      </c>
      <c r="U105" s="65" t="inlineStr">
        <is>
          <t>Win (no real edge)</t>
        </is>
      </c>
      <c r="V105" s="42" t="inlineStr">
        <is>
          <t>Yes</t>
        </is>
      </c>
      <c r="W105" s="42" t="inlineStr">
        <is>
          <t>Yes</t>
        </is>
      </c>
      <c r="X105" s="65" t="inlineStr">
        <is>
          <t>Massey</t>
        </is>
      </c>
      <c r="Y105" s="42" t="inlineStr">
        <is>
          <t>-4.1</t>
        </is>
      </c>
      <c r="Z105" s="42" t="inlineStr">
        <is>
          <t>-25.3</t>
        </is>
      </c>
      <c r="AA105" s="42" t="inlineStr">
        <is>
          <t>+32.0</t>
        </is>
      </c>
      <c r="AB105" s="42" t="inlineStr">
        <is>
          <t>-1.8</t>
        </is>
      </c>
    </row>
    <row r="106">
      <c r="A106" s="42" t="n">
        <v>2</v>
      </c>
      <c r="B106" s="42" t="inlineStr">
        <is>
          <t>New Mexico State @ Hawai'i</t>
        </is>
      </c>
      <c r="C106" s="42" t="inlineStr">
        <is>
          <t>19-29</t>
        </is>
      </c>
      <c r="D106" s="42" t="inlineStr">
        <is>
          <t>-7.5</t>
        </is>
      </c>
      <c r="E106" s="42" t="inlineStr">
        <is>
          <t>+10.0</t>
        </is>
      </c>
      <c r="F106" s="42" t="inlineStr">
        <is>
          <t>-14.1</t>
        </is>
      </c>
      <c r="G106" s="42" t="inlineStr">
        <is>
          <t>+6.6</t>
        </is>
      </c>
      <c r="H106" s="42" t="inlineStr">
        <is>
          <t>Home</t>
        </is>
      </c>
      <c r="I106" s="65" t="inlineStr">
        <is>
          <t>Win</t>
        </is>
      </c>
      <c r="J106" s="42" t="inlineStr">
        <is>
          <t>-13.2</t>
        </is>
      </c>
      <c r="K106" s="42" t="inlineStr">
        <is>
          <t>+5.7</t>
        </is>
      </c>
      <c r="L106" s="42" t="inlineStr">
        <is>
          <t>Home</t>
        </is>
      </c>
      <c r="M106" s="65" t="inlineStr">
        <is>
          <t>Win</t>
        </is>
      </c>
      <c r="N106" s="42" t="inlineStr">
        <is>
          <t>-7.1</t>
        </is>
      </c>
      <c r="O106" s="42" t="inlineStr">
        <is>
          <t>-0.4</t>
        </is>
      </c>
      <c r="P106" s="42" t="inlineStr">
        <is>
          <t>Home</t>
        </is>
      </c>
      <c r="Q106" s="65" t="inlineStr">
        <is>
          <t>Win (no real edge)</t>
        </is>
      </c>
      <c r="R106" s="42" t="inlineStr">
        <is>
          <t>+8.4</t>
        </is>
      </c>
      <c r="S106" s="42" t="inlineStr">
        <is>
          <t>-15.9</t>
        </is>
      </c>
      <c r="T106" s="42" t="inlineStr">
        <is>
          <t>Away</t>
        </is>
      </c>
      <c r="U106" s="66" t="inlineStr">
        <is>
          <t>Loss</t>
        </is>
      </c>
      <c r="V106" s="42" t="inlineStr">
        <is>
          <t>Yes</t>
        </is>
      </c>
      <c r="W106" s="42" t="inlineStr">
        <is>
          <t>Yes</t>
        </is>
      </c>
      <c r="X106" s="65" t="inlineStr">
        <is>
          <t>Gamma</t>
        </is>
      </c>
      <c r="Y106" s="42" t="inlineStr">
        <is>
          <t>+2.5</t>
        </is>
      </c>
      <c r="Z106" s="42" t="inlineStr">
        <is>
          <t>-19.6</t>
        </is>
      </c>
      <c r="AA106" s="42" t="inlineStr">
        <is>
          <t>+31.6</t>
        </is>
      </c>
      <c r="AB106" s="42" t="inlineStr">
        <is>
          <t>-17.7</t>
        </is>
      </c>
    </row>
    <row r="107">
      <c r="A107" s="42" t="n">
        <v>2</v>
      </c>
      <c r="B107" s="42" t="inlineStr">
        <is>
          <t>Montana State @ Nevada</t>
        </is>
      </c>
      <c r="C107" s="42" t="inlineStr">
        <is>
          <t>20-7</t>
        </is>
      </c>
      <c r="D107" s="42" t="inlineStr">
        <is>
          <t>+5.0</t>
        </is>
      </c>
      <c r="E107" s="42" t="inlineStr">
        <is>
          <t>-13.0</t>
        </is>
      </c>
      <c r="F107" s="42" t="inlineStr">
        <is>
          <t>-17.2</t>
        </is>
      </c>
      <c r="G107" s="42" t="inlineStr">
        <is>
          <t>+22.2</t>
        </is>
      </c>
      <c r="H107" s="42" t="inlineStr">
        <is>
          <t>Home</t>
        </is>
      </c>
      <c r="I107" s="66" t="inlineStr">
        <is>
          <t>Loss</t>
        </is>
      </c>
      <c r="J107" s="42" t="inlineStr">
        <is>
          <t>-13.0</t>
        </is>
      </c>
      <c r="K107" s="42" t="inlineStr">
        <is>
          <t>+18.0</t>
        </is>
      </c>
      <c r="L107" s="42" t="inlineStr">
        <is>
          <t>Home</t>
        </is>
      </c>
      <c r="M107" s="66" t="inlineStr">
        <is>
          <t>Loss</t>
        </is>
      </c>
      <c r="N107" s="42" t="inlineStr">
        <is>
          <t>-32.8</t>
        </is>
      </c>
      <c r="O107" s="42" t="inlineStr">
        <is>
          <t>+37.8</t>
        </is>
      </c>
      <c r="P107" s="42" t="inlineStr">
        <is>
          <t>Home</t>
        </is>
      </c>
      <c r="Q107" s="66" t="inlineStr">
        <is>
          <t>Loss</t>
        </is>
      </c>
      <c r="R107" s="42" t="inlineStr">
        <is>
          <t>-10.8</t>
        </is>
      </c>
      <c r="S107" s="42" t="inlineStr">
        <is>
          <t>+15.8</t>
        </is>
      </c>
      <c r="T107" s="42" t="inlineStr">
        <is>
          <t>Home</t>
        </is>
      </c>
      <c r="U107" s="66" t="inlineStr">
        <is>
          <t>Loss</t>
        </is>
      </c>
      <c r="V107" s="42" t="inlineStr">
        <is>
          <t>Yes</t>
        </is>
      </c>
      <c r="W107" s="42" t="inlineStr">
        <is>
          <t>Yes</t>
        </is>
      </c>
      <c r="X107" s="65" t="inlineStr">
        <is>
          <t>Massey</t>
        </is>
      </c>
      <c r="Y107" s="42" t="inlineStr">
        <is>
          <t>+24.8</t>
        </is>
      </c>
      <c r="Z107" s="42" t="inlineStr">
        <is>
          <t>-1.6</t>
        </is>
      </c>
      <c r="AA107" s="42" t="inlineStr">
        <is>
          <t>+69.4</t>
        </is>
      </c>
      <c r="AB107" s="42" t="inlineStr">
        <is>
          <t>-1.9</t>
        </is>
      </c>
    </row>
    <row r="108">
      <c r="A108" s="42" t="n">
        <v>2</v>
      </c>
      <c r="B108" s="42" t="inlineStr">
        <is>
          <t>Mercyhurst @ New Mexico</t>
        </is>
      </c>
      <c r="C108" s="42" t="inlineStr">
        <is>
          <t>7-70</t>
        </is>
      </c>
      <c r="D108" s="42" t="inlineStr">
        <is>
          <t>-42.2</t>
        </is>
      </c>
      <c r="E108" s="42" t="inlineStr">
        <is>
          <t>+63.0</t>
        </is>
      </c>
      <c r="F108" s="42" t="inlineStr">
        <is>
          <t>-17.0</t>
        </is>
      </c>
      <c r="G108" s="42" t="inlineStr">
        <is>
          <t>-25.2</t>
        </is>
      </c>
      <c r="H108" s="42" t="inlineStr">
        <is>
          <t>Away</t>
        </is>
      </c>
      <c r="I108" s="66" t="inlineStr">
        <is>
          <t>Loss</t>
        </is>
      </c>
      <c r="J108" s="42" t="inlineStr">
        <is>
          <t>-27.4</t>
        </is>
      </c>
      <c r="K108" s="42" t="inlineStr">
        <is>
          <t>-14.9</t>
        </is>
      </c>
      <c r="L108" s="42" t="inlineStr">
        <is>
          <t>Away</t>
        </is>
      </c>
      <c r="M108" s="66" t="inlineStr">
        <is>
          <t>Loss</t>
        </is>
      </c>
      <c r="N108" s="42" t="inlineStr">
        <is>
          <t>-43.9</t>
        </is>
      </c>
      <c r="O108" s="42" t="inlineStr">
        <is>
          <t>+1.6</t>
        </is>
      </c>
      <c r="P108" s="42" t="inlineStr">
        <is>
          <t>Home</t>
        </is>
      </c>
      <c r="Q108" s="65" t="inlineStr">
        <is>
          <t>Win (no real edge)</t>
        </is>
      </c>
      <c r="R108" s="42" t="inlineStr">
        <is>
          <t>-20.1</t>
        </is>
      </c>
      <c r="S108" s="42" t="inlineStr">
        <is>
          <t>-22.2</t>
        </is>
      </c>
      <c r="T108" s="42" t="inlineStr">
        <is>
          <t>Away</t>
        </is>
      </c>
      <c r="U108" s="66" t="inlineStr">
        <is>
          <t>Loss</t>
        </is>
      </c>
      <c r="V108" s="42" t="inlineStr">
        <is>
          <t>Yes</t>
        </is>
      </c>
      <c r="W108" s="42" t="inlineStr">
        <is>
          <t>No</t>
        </is>
      </c>
      <c r="X108" s="65" t="inlineStr">
        <is>
          <t>Gamma</t>
        </is>
      </c>
      <c r="Y108" s="42" t="inlineStr">
        <is>
          <t>-0.5</t>
        </is>
      </c>
      <c r="Z108" s="42" t="inlineStr">
        <is>
          <t>-16.5</t>
        </is>
      </c>
      <c r="AA108" s="42" t="inlineStr">
        <is>
          <t>+71.0</t>
        </is>
      </c>
      <c r="AB108" s="42" t="inlineStr">
        <is>
          <t>-24.1</t>
        </is>
      </c>
    </row>
    <row r="109">
      <c r="A109" s="42" t="n">
        <v>2</v>
      </c>
      <c r="B109" s="42" t="inlineStr">
        <is>
          <t>UNLV @ North Texas</t>
        </is>
      </c>
      <c r="C109" s="42" t="inlineStr">
        <is>
          <t>6-44</t>
        </is>
      </c>
      <c r="D109" s="42" t="inlineStr">
        <is>
          <t>+2.8</t>
        </is>
      </c>
      <c r="E109" s="42" t="inlineStr">
        <is>
          <t>+38.0</t>
        </is>
      </c>
      <c r="F109" s="42" t="inlineStr">
        <is>
          <t>-3.6</t>
        </is>
      </c>
      <c r="G109" s="42" t="inlineStr">
        <is>
          <t>+6.3</t>
        </is>
      </c>
      <c r="H109" s="42" t="inlineStr">
        <is>
          <t>Home</t>
        </is>
      </c>
      <c r="I109" s="65" t="inlineStr">
        <is>
          <t>Win</t>
        </is>
      </c>
      <c r="J109" s="42" t="inlineStr">
        <is>
          <t>+0.9</t>
        </is>
      </c>
      <c r="K109" s="42" t="inlineStr">
        <is>
          <t>+1.9</t>
        </is>
      </c>
      <c r="L109" s="42" t="inlineStr">
        <is>
          <t>Home</t>
        </is>
      </c>
      <c r="M109" s="65" t="inlineStr">
        <is>
          <t>Win (no real edge)</t>
        </is>
      </c>
      <c r="N109" s="42" t="inlineStr">
        <is>
          <t>-6.7</t>
        </is>
      </c>
      <c r="O109" s="42" t="inlineStr">
        <is>
          <t>+9.5</t>
        </is>
      </c>
      <c r="P109" s="42" t="inlineStr">
        <is>
          <t>Home</t>
        </is>
      </c>
      <c r="Q109" s="65" t="inlineStr">
        <is>
          <t>Win</t>
        </is>
      </c>
      <c r="R109" s="42" t="inlineStr">
        <is>
          <t>+7.3</t>
        </is>
      </c>
      <c r="S109" s="42" t="inlineStr">
        <is>
          <t>-4.6</t>
        </is>
      </c>
      <c r="T109" s="42" t="inlineStr">
        <is>
          <t>Away</t>
        </is>
      </c>
      <c r="U109" s="66" t="inlineStr">
        <is>
          <t>Loss</t>
        </is>
      </c>
      <c r="V109" s="42" t="inlineStr">
        <is>
          <t>Yes</t>
        </is>
      </c>
      <c r="W109" s="42" t="inlineStr">
        <is>
          <t>Yes</t>
        </is>
      </c>
      <c r="X109" s="65" t="inlineStr">
        <is>
          <t>XGBoost</t>
        </is>
      </c>
      <c r="Y109" s="42" t="inlineStr">
        <is>
          <t>+5.9</t>
        </is>
      </c>
      <c r="Z109" s="42" t="inlineStr">
        <is>
          <t>-14.6</t>
        </is>
      </c>
      <c r="AA109" s="42" t="inlineStr">
        <is>
          <t>+80.5</t>
        </is>
      </c>
      <c r="AB109" s="42" t="inlineStr">
        <is>
          <t>-28.7</t>
        </is>
      </c>
    </row>
    <row r="110">
      <c r="A110" s="42" t="n">
        <v>2</v>
      </c>
      <c r="B110" s="42" t="inlineStr">
        <is>
          <t>Illinois State @ Northern Illinois</t>
        </is>
      </c>
      <c r="C110" s="42" t="inlineStr">
        <is>
          <t>28-24</t>
        </is>
      </c>
      <c r="D110" s="42" t="inlineStr">
        <is>
          <t>+2.5</t>
        </is>
      </c>
      <c r="E110" s="42" t="inlineStr">
        <is>
          <t>-4.0</t>
        </is>
      </c>
      <c r="F110" s="42" t="inlineStr">
        <is>
          <t>-15.0</t>
        </is>
      </c>
      <c r="G110" s="42" t="inlineStr">
        <is>
          <t>+17.5</t>
        </is>
      </c>
      <c r="H110" s="42" t="inlineStr">
        <is>
          <t>Home</t>
        </is>
      </c>
      <c r="I110" s="66" t="inlineStr">
        <is>
          <t>Loss</t>
        </is>
      </c>
      <c r="J110" s="42" t="inlineStr">
        <is>
          <t>-16.0</t>
        </is>
      </c>
      <c r="K110" s="42" t="inlineStr">
        <is>
          <t>+18.5</t>
        </is>
      </c>
      <c r="L110" s="42" t="inlineStr">
        <is>
          <t>Home</t>
        </is>
      </c>
      <c r="M110" s="66" t="inlineStr">
        <is>
          <t>Loss</t>
        </is>
      </c>
      <c r="N110" s="42" t="inlineStr">
        <is>
          <t>-22.0</t>
        </is>
      </c>
      <c r="O110" s="42" t="inlineStr">
        <is>
          <t>+24.5</t>
        </is>
      </c>
      <c r="P110" s="42" t="inlineStr">
        <is>
          <t>Home</t>
        </is>
      </c>
      <c r="Q110" s="66" t="inlineStr">
        <is>
          <t>Loss</t>
        </is>
      </c>
      <c r="R110" s="42" t="inlineStr">
        <is>
          <t>+6.6</t>
        </is>
      </c>
      <c r="S110" s="42" t="inlineStr">
        <is>
          <t>-4.1</t>
        </is>
      </c>
      <c r="T110" s="42" t="inlineStr">
        <is>
          <t>Away</t>
        </is>
      </c>
      <c r="U110" s="65" t="inlineStr">
        <is>
          <t>Win</t>
        </is>
      </c>
      <c r="V110" s="42" t="inlineStr">
        <is>
          <t>Yes</t>
        </is>
      </c>
      <c r="W110" s="42" t="inlineStr">
        <is>
          <t>Yes</t>
        </is>
      </c>
      <c r="X110" s="65" t="inlineStr">
        <is>
          <t>Massey</t>
        </is>
      </c>
      <c r="Y110" s="42" t="inlineStr">
        <is>
          <t>+23.4</t>
        </is>
      </c>
      <c r="Z110" s="42" t="inlineStr">
        <is>
          <t>+3.9</t>
        </is>
      </c>
      <c r="AA110" s="42" t="inlineStr">
        <is>
          <t>+105.0</t>
        </is>
      </c>
      <c r="AB110" s="42" t="inlineStr">
        <is>
          <t>-32.8</t>
        </is>
      </c>
    </row>
    <row r="111">
      <c r="A111" s="42" t="n">
        <v>2</v>
      </c>
      <c r="B111" s="42" t="inlineStr">
        <is>
          <t>Cal Poly @ San José State</t>
        </is>
      </c>
      <c r="C111" s="42" t="inlineStr">
        <is>
          <t>20-30</t>
        </is>
      </c>
      <c r="D111" s="42" t="inlineStr">
        <is>
          <t>-21.5</t>
        </is>
      </c>
      <c r="E111" s="42" t="inlineStr">
        <is>
          <t>+10.0</t>
        </is>
      </c>
      <c r="F111" s="42" t="inlineStr">
        <is>
          <t>-19.9</t>
        </is>
      </c>
      <c r="G111" s="42" t="inlineStr">
        <is>
          <t>-1.6</t>
        </is>
      </c>
      <c r="H111" s="42" t="inlineStr">
        <is>
          <t>Away</t>
        </is>
      </c>
      <c r="I111" s="65" t="inlineStr">
        <is>
          <t>Win (no real edge)</t>
        </is>
      </c>
      <c r="J111" s="42" t="inlineStr">
        <is>
          <t>-28.0</t>
        </is>
      </c>
      <c r="K111" s="42" t="inlineStr">
        <is>
          <t>+6.5</t>
        </is>
      </c>
      <c r="L111" s="42" t="inlineStr">
        <is>
          <t>Home</t>
        </is>
      </c>
      <c r="M111" s="66" t="inlineStr">
        <is>
          <t>Loss</t>
        </is>
      </c>
      <c r="N111" s="42" t="inlineStr">
        <is>
          <t>-29.4</t>
        </is>
      </c>
      <c r="O111" s="42" t="inlineStr">
        <is>
          <t>+7.9</t>
        </is>
      </c>
      <c r="P111" s="42" t="inlineStr">
        <is>
          <t>Home</t>
        </is>
      </c>
      <c r="Q111" s="66" t="inlineStr">
        <is>
          <t>Loss</t>
        </is>
      </c>
      <c r="R111" s="42" t="inlineStr">
        <is>
          <t>-4.8</t>
        </is>
      </c>
      <c r="S111" s="42" t="inlineStr">
        <is>
          <t>-16.7</t>
        </is>
      </c>
      <c r="T111" s="42" t="inlineStr">
        <is>
          <t>Away</t>
        </is>
      </c>
      <c r="U111" s="65" t="inlineStr">
        <is>
          <t>Win</t>
        </is>
      </c>
      <c r="V111" s="42" t="inlineStr">
        <is>
          <t>No</t>
        </is>
      </c>
      <c r="W111" s="42" t="inlineStr">
        <is>
          <t>No</t>
        </is>
      </c>
      <c r="X111" s="65" t="inlineStr">
        <is>
          <t>Ridge</t>
        </is>
      </c>
      <c r="Y111" s="42" t="inlineStr">
        <is>
          <t>+21.8</t>
        </is>
      </c>
      <c r="Z111" s="42" t="inlineStr">
        <is>
          <t>+10.4</t>
        </is>
      </c>
      <c r="AA111" s="42" t="inlineStr">
        <is>
          <t>+113.0</t>
        </is>
      </c>
      <c r="AB111" s="42" t="inlineStr">
        <is>
          <t>-49.5</t>
        </is>
      </c>
    </row>
    <row r="112">
      <c r="A112" s="42" t="n">
        <v>2</v>
      </c>
      <c r="B112" s="42" t="inlineStr">
        <is>
          <t>Texas Southern @ UTEP</t>
        </is>
      </c>
      <c r="C112" s="42" t="inlineStr">
        <is>
          <t>10-51</t>
        </is>
      </c>
      <c r="D112" s="42" t="inlineStr">
        <is>
          <t>-27.2</t>
        </is>
      </c>
      <c r="E112" s="42" t="inlineStr">
        <is>
          <t>+41.0</t>
        </is>
      </c>
      <c r="F112" s="42" t="inlineStr">
        <is>
          <t>-14.6</t>
        </is>
      </c>
      <c r="G112" s="42" t="inlineStr">
        <is>
          <t>-12.6</t>
        </is>
      </c>
      <c r="H112" s="42" t="inlineStr">
        <is>
          <t>Away</t>
        </is>
      </c>
      <c r="I112" s="66" t="inlineStr">
        <is>
          <t>Loss</t>
        </is>
      </c>
      <c r="J112" s="42" t="inlineStr">
        <is>
          <t>-20.8</t>
        </is>
      </c>
      <c r="K112" s="42" t="inlineStr">
        <is>
          <t>-6.5</t>
        </is>
      </c>
      <c r="L112" s="42" t="inlineStr">
        <is>
          <t>Away</t>
        </is>
      </c>
      <c r="M112" s="66" t="inlineStr">
        <is>
          <t>Loss</t>
        </is>
      </c>
      <c r="N112" s="42" t="inlineStr">
        <is>
          <t>-18.5</t>
        </is>
      </c>
      <c r="O112" s="42" t="inlineStr">
        <is>
          <t>-8.8</t>
        </is>
      </c>
      <c r="P112" s="42" t="inlineStr">
        <is>
          <t>Away</t>
        </is>
      </c>
      <c r="Q112" s="66" t="inlineStr">
        <is>
          <t>Loss</t>
        </is>
      </c>
      <c r="R112" s="42" t="inlineStr">
        <is>
          <t>+9.4</t>
        </is>
      </c>
      <c r="S112" s="42" t="inlineStr">
        <is>
          <t>-36.6</t>
        </is>
      </c>
      <c r="T112" s="42" t="inlineStr">
        <is>
          <t>Away</t>
        </is>
      </c>
      <c r="U112" s="66" t="inlineStr">
        <is>
          <t>Loss</t>
        </is>
      </c>
      <c r="V112" s="42" t="inlineStr">
        <is>
          <t>Yes</t>
        </is>
      </c>
      <c r="W112" s="42" t="inlineStr">
        <is>
          <t>Yes</t>
        </is>
      </c>
      <c r="X112" s="65" t="inlineStr">
        <is>
          <t>XGBoost</t>
        </is>
      </c>
      <c r="Y112" s="42" t="inlineStr">
        <is>
          <t>+9.2</t>
        </is>
      </c>
      <c r="Z112" s="42" t="inlineStr">
        <is>
          <t>+3.9</t>
        </is>
      </c>
      <c r="AA112" s="42" t="inlineStr">
        <is>
          <t>+104.2</t>
        </is>
      </c>
      <c r="AB112" s="42" t="inlineStr">
        <is>
          <t>-86.1</t>
        </is>
      </c>
    </row>
    <row r="113">
      <c r="A113" s="42" t="n">
        <v>2</v>
      </c>
      <c r="B113" s="42" t="inlineStr">
        <is>
          <t>Northern Colorado @ Wyoming</t>
        </is>
      </c>
      <c r="C113" s="42" t="inlineStr">
        <is>
          <t>13-21</t>
        </is>
      </c>
      <c r="D113" s="42" t="inlineStr">
        <is>
          <t>-23.5</t>
        </is>
      </c>
      <c r="E113" s="42" t="inlineStr">
        <is>
          <t>+8.0</t>
        </is>
      </c>
      <c r="F113" s="42" t="inlineStr">
        <is>
          <t>-16.3</t>
        </is>
      </c>
      <c r="G113" s="42" t="inlineStr">
        <is>
          <t>-7.2</t>
        </is>
      </c>
      <c r="H113" s="42" t="inlineStr">
        <is>
          <t>Away</t>
        </is>
      </c>
      <c r="I113" s="65" t="inlineStr">
        <is>
          <t>Win</t>
        </is>
      </c>
      <c r="J113" s="42" t="inlineStr">
        <is>
          <t>-22.3</t>
        </is>
      </c>
      <c r="K113" s="42" t="inlineStr">
        <is>
          <t>-1.2</t>
        </is>
      </c>
      <c r="L113" s="42" t="inlineStr">
        <is>
          <t>Away</t>
        </is>
      </c>
      <c r="M113" s="65" t="inlineStr">
        <is>
          <t>Win (no real edge)</t>
        </is>
      </c>
      <c r="N113" s="42" t="inlineStr">
        <is>
          <t>-26.3</t>
        </is>
      </c>
      <c r="O113" s="42" t="inlineStr">
        <is>
          <t>+2.8</t>
        </is>
      </c>
      <c r="P113" s="42" t="inlineStr">
        <is>
          <t>Home</t>
        </is>
      </c>
      <c r="Q113" s="66" t="inlineStr">
        <is>
          <t>Loss</t>
        </is>
      </c>
      <c r="R113" s="42" t="inlineStr">
        <is>
          <t>+2.1</t>
        </is>
      </c>
      <c r="S113" s="42" t="inlineStr">
        <is>
          <t>-25.6</t>
        </is>
      </c>
      <c r="T113" s="42" t="inlineStr">
        <is>
          <t>Away</t>
        </is>
      </c>
      <c r="U113" s="65" t="inlineStr">
        <is>
          <t>Win</t>
        </is>
      </c>
      <c r="V113" s="42" t="inlineStr">
        <is>
          <t>Yes</t>
        </is>
      </c>
      <c r="W113" s="42" t="inlineStr">
        <is>
          <t>No</t>
        </is>
      </c>
      <c r="X113" s="65" t="inlineStr">
        <is>
          <t>XGBoost</t>
        </is>
      </c>
      <c r="Y113" s="42" t="inlineStr">
        <is>
          <t>+2.0</t>
        </is>
      </c>
      <c r="Z113" s="42" t="inlineStr">
        <is>
          <t>+2.7</t>
        </is>
      </c>
      <c r="AA113" s="42" t="inlineStr">
        <is>
          <t>+107.0</t>
        </is>
      </c>
      <c r="AB113" s="42" t="inlineStr">
        <is>
          <t>-111.7</t>
        </is>
      </c>
    </row>
    <row r="114">
      <c r="A114" s="42" t="n">
        <v>3</v>
      </c>
      <c r="B114" s="42" t="inlineStr">
        <is>
          <t>Northern Illinois @ Arizona</t>
        </is>
      </c>
      <c r="C114" s="42" t="inlineStr">
        <is>
          <t>17-42</t>
        </is>
      </c>
      <c r="D114" s="42" t="inlineStr">
        <is>
          <t>-34.5</t>
        </is>
      </c>
      <c r="E114" s="42" t="inlineStr">
        <is>
          <t>+25.0</t>
        </is>
      </c>
      <c r="F114" s="42" t="inlineStr">
        <is>
          <t>-26.3</t>
        </is>
      </c>
      <c r="G114" s="42" t="inlineStr">
        <is>
          <t>-8.2</t>
        </is>
      </c>
      <c r="H114" s="42" t="inlineStr">
        <is>
          <t>Away</t>
        </is>
      </c>
      <c r="I114" s="65" t="inlineStr">
        <is>
          <t>Win</t>
        </is>
      </c>
      <c r="J114" s="42" t="inlineStr">
        <is>
          <t>-20.6</t>
        </is>
      </c>
      <c r="K114" s="42" t="inlineStr">
        <is>
          <t>-13.9</t>
        </is>
      </c>
      <c r="L114" s="42" t="inlineStr">
        <is>
          <t>Away</t>
        </is>
      </c>
      <c r="M114" s="65" t="inlineStr">
        <is>
          <t>Win</t>
        </is>
      </c>
      <c r="N114" s="42" t="inlineStr">
        <is>
          <t>-32.3</t>
        </is>
      </c>
      <c r="O114" s="42" t="inlineStr">
        <is>
          <t>-2.2</t>
        </is>
      </c>
      <c r="P114" s="42" t="inlineStr">
        <is>
          <t>Away</t>
        </is>
      </c>
      <c r="Q114" s="65" t="inlineStr">
        <is>
          <t>Win</t>
        </is>
      </c>
      <c r="R114" s="42" t="inlineStr">
        <is>
          <t>-17.7</t>
        </is>
      </c>
      <c r="S114" s="42" t="inlineStr">
        <is>
          <t>-16.8</t>
        </is>
      </c>
      <c r="T114" s="42" t="inlineStr">
        <is>
          <t>Away</t>
        </is>
      </c>
      <c r="U114" s="65" t="inlineStr">
        <is>
          <t>Win</t>
        </is>
      </c>
      <c r="V114" s="42" t="inlineStr">
        <is>
          <t>Yes</t>
        </is>
      </c>
      <c r="W114" s="42" t="inlineStr">
        <is>
          <t>Yes</t>
        </is>
      </c>
      <c r="X114" s="65" t="inlineStr">
        <is>
          <t>Gamma</t>
        </is>
      </c>
      <c r="Y114" s="42" t="inlineStr">
        <is>
          <t>-6.2</t>
        </is>
      </c>
      <c r="Z114" s="42" t="inlineStr">
        <is>
          <t>-11.2</t>
        </is>
      </c>
      <c r="AA114" s="42" t="inlineStr">
        <is>
          <t>+104.8</t>
        </is>
      </c>
      <c r="AB114" s="42" t="inlineStr">
        <is>
          <t>-128.5</t>
        </is>
      </c>
    </row>
    <row r="115">
      <c r="A115" s="42" t="n">
        <v>3</v>
      </c>
      <c r="B115" s="42" t="inlineStr">
        <is>
          <t>Wyoming @ Central Michigan</t>
        </is>
      </c>
      <c r="C115" s="42" t="inlineStr">
        <is>
          <t>10-24</t>
        </is>
      </c>
      <c r="D115" s="42" t="inlineStr">
        <is>
          <t>+1.8</t>
        </is>
      </c>
      <c r="E115" s="42" t="inlineStr">
        <is>
          <t>+14.0</t>
        </is>
      </c>
      <c r="F115" s="42" t="inlineStr">
        <is>
          <t>-9.5</t>
        </is>
      </c>
      <c r="G115" s="42" t="inlineStr">
        <is>
          <t>+11.3</t>
        </is>
      </c>
      <c r="H115" s="42" t="inlineStr">
        <is>
          <t>Home</t>
        </is>
      </c>
      <c r="I115" s="65" t="inlineStr">
        <is>
          <t>Win</t>
        </is>
      </c>
      <c r="J115" s="42" t="inlineStr">
        <is>
          <t>-9.4</t>
        </is>
      </c>
      <c r="K115" s="42" t="inlineStr">
        <is>
          <t>+11.2</t>
        </is>
      </c>
      <c r="L115" s="42" t="inlineStr">
        <is>
          <t>Home</t>
        </is>
      </c>
      <c r="M115" s="65" t="inlineStr">
        <is>
          <t>Win</t>
        </is>
      </c>
      <c r="N115" s="42" t="inlineStr">
        <is>
          <t>-8.6</t>
        </is>
      </c>
      <c r="O115" s="42" t="inlineStr">
        <is>
          <t>+10.3</t>
        </is>
      </c>
      <c r="P115" s="42" t="inlineStr">
        <is>
          <t>Home</t>
        </is>
      </c>
      <c r="Q115" s="65" t="inlineStr">
        <is>
          <t>Win</t>
        </is>
      </c>
      <c r="R115" s="42" t="inlineStr">
        <is>
          <t>-0.9</t>
        </is>
      </c>
      <c r="S115" s="42" t="inlineStr">
        <is>
          <t>+2.7</t>
        </is>
      </c>
      <c r="T115" s="42" t="inlineStr">
        <is>
          <t>Home</t>
        </is>
      </c>
      <c r="U115" s="65" t="inlineStr">
        <is>
          <t>Win</t>
        </is>
      </c>
      <c r="V115" s="42" t="inlineStr">
        <is>
          <t>Yes</t>
        </is>
      </c>
      <c r="W115" s="42" t="inlineStr">
        <is>
          <t>Yes</t>
        </is>
      </c>
      <c r="X115" s="65" t="inlineStr">
        <is>
          <t>Massey</t>
        </is>
      </c>
      <c r="Y115" s="42" t="inlineStr">
        <is>
          <t>+5.1</t>
        </is>
      </c>
      <c r="Z115" s="42" t="inlineStr">
        <is>
          <t>+0.0</t>
        </is>
      </c>
      <c r="AA115" s="42" t="inlineStr">
        <is>
          <t>+115.1</t>
        </is>
      </c>
      <c r="AB115" s="42" t="inlineStr">
        <is>
          <t>-125.8</t>
        </is>
      </c>
    </row>
    <row r="116">
      <c r="A116" s="42" t="n">
        <v>3</v>
      </c>
      <c r="B116" s="42" t="inlineStr">
        <is>
          <t>UTEP @ Michigan</t>
        </is>
      </c>
      <c r="C116" s="42" t="inlineStr">
        <is>
          <t>17-52</t>
        </is>
      </c>
      <c r="D116" s="42" t="inlineStr">
        <is>
          <t>-34.5</t>
        </is>
      </c>
      <c r="E116" s="42" t="inlineStr">
        <is>
          <t>+35.0</t>
        </is>
      </c>
      <c r="F116" s="42" t="inlineStr">
        <is>
          <t>-35.0</t>
        </is>
      </c>
      <c r="G116" s="42" t="inlineStr">
        <is>
          <t>+0.5</t>
        </is>
      </c>
      <c r="H116" s="42" t="inlineStr">
        <is>
          <t>Home</t>
        </is>
      </c>
      <c r="I116" s="65" t="inlineStr">
        <is>
          <t>Win (no real edge)</t>
        </is>
      </c>
      <c r="J116" s="42" t="inlineStr">
        <is>
          <t>-32.4</t>
        </is>
      </c>
      <c r="K116" s="42" t="inlineStr">
        <is>
          <t>-2.1</t>
        </is>
      </c>
      <c r="L116" s="42" t="inlineStr">
        <is>
          <t>Away</t>
        </is>
      </c>
      <c r="M116" s="66" t="inlineStr">
        <is>
          <t>Loss</t>
        </is>
      </c>
      <c r="N116" s="42" t="inlineStr">
        <is>
          <t>-33.1</t>
        </is>
      </c>
      <c r="O116" s="42" t="inlineStr">
        <is>
          <t>-1.4</t>
        </is>
      </c>
      <c r="P116" s="42" t="inlineStr">
        <is>
          <t>Away</t>
        </is>
      </c>
      <c r="Q116" s="66" t="inlineStr">
        <is>
          <t>Loss (no real edge)</t>
        </is>
      </c>
      <c r="R116" s="42" t="inlineStr">
        <is>
          <t>-11.3</t>
        </is>
      </c>
      <c r="S116" s="42" t="inlineStr">
        <is>
          <t>-23.2</t>
        </is>
      </c>
      <c r="T116" s="42" t="inlineStr">
        <is>
          <t>Away</t>
        </is>
      </c>
      <c r="U116" s="66" t="inlineStr">
        <is>
          <t>Loss</t>
        </is>
      </c>
      <c r="V116" s="42" t="inlineStr">
        <is>
          <t>No</t>
        </is>
      </c>
      <c r="W116" s="42" t="inlineStr">
        <is>
          <t>No</t>
        </is>
      </c>
      <c r="X116" s="65" t="inlineStr">
        <is>
          <t>Ridge</t>
        </is>
      </c>
      <c r="Y116" s="42" t="inlineStr">
        <is>
          <t>+5.6</t>
        </is>
      </c>
      <c r="Z116" s="42" t="inlineStr">
        <is>
          <t>-2.0</t>
        </is>
      </c>
      <c r="AA116" s="42" t="inlineStr">
        <is>
          <t>+113.7</t>
        </is>
      </c>
      <c r="AB116" s="42" t="inlineStr">
        <is>
          <t>-149.1</t>
        </is>
      </c>
    </row>
    <row r="117">
      <c r="A117" s="42" t="n">
        <v>3</v>
      </c>
      <c r="B117" s="42" t="inlineStr">
        <is>
          <t>Nevada @ Middle Tennessee</t>
        </is>
      </c>
      <c r="C117" s="42" t="inlineStr">
        <is>
          <t>20-27</t>
        </is>
      </c>
      <c r="D117" s="42" t="inlineStr">
        <is>
          <t>+3.8</t>
        </is>
      </c>
      <c r="E117" s="42" t="inlineStr">
        <is>
          <t>+7.0</t>
        </is>
      </c>
      <c r="F117" s="42" t="inlineStr">
        <is>
          <t>-3.6</t>
        </is>
      </c>
      <c r="G117" s="42" t="inlineStr">
        <is>
          <t>+7.3</t>
        </is>
      </c>
      <c r="H117" s="42" t="inlineStr">
        <is>
          <t>Home</t>
        </is>
      </c>
      <c r="I117" s="65" t="inlineStr">
        <is>
          <t>Win</t>
        </is>
      </c>
      <c r="J117" s="42" t="inlineStr">
        <is>
          <t>+2.7</t>
        </is>
      </c>
      <c r="K117" s="42" t="inlineStr">
        <is>
          <t>+1.0</t>
        </is>
      </c>
      <c r="L117" s="42" t="inlineStr">
        <is>
          <t>Home</t>
        </is>
      </c>
      <c r="M117" s="65" t="inlineStr">
        <is>
          <t>Win (no real edge)</t>
        </is>
      </c>
      <c r="N117" s="42" t="inlineStr">
        <is>
          <t>+1.2</t>
        </is>
      </c>
      <c r="O117" s="42" t="inlineStr">
        <is>
          <t>+2.5</t>
        </is>
      </c>
      <c r="P117" s="42" t="inlineStr">
        <is>
          <t>Home</t>
        </is>
      </c>
      <c r="Q117" s="65" t="inlineStr">
        <is>
          <t>Win</t>
        </is>
      </c>
      <c r="R117" s="42" t="inlineStr">
        <is>
          <t>-3.0</t>
        </is>
      </c>
      <c r="S117" s="42" t="inlineStr">
        <is>
          <t>+6.8</t>
        </is>
      </c>
      <c r="T117" s="42" t="inlineStr">
        <is>
          <t>Home</t>
        </is>
      </c>
      <c r="U117" s="65" t="inlineStr">
        <is>
          <t>Win</t>
        </is>
      </c>
      <c r="V117" s="42" t="inlineStr">
        <is>
          <t>Yes</t>
        </is>
      </c>
      <c r="W117" s="42" t="inlineStr">
        <is>
          <t>Yes</t>
        </is>
      </c>
      <c r="X117" s="65" t="inlineStr">
        <is>
          <t>XGBoost</t>
        </is>
      </c>
      <c r="Y117" s="42" t="inlineStr">
        <is>
          <t>+12.9</t>
        </is>
      </c>
      <c r="Z117" s="42" t="inlineStr">
        <is>
          <t>-1.0</t>
        </is>
      </c>
      <c r="AA117" s="42" t="inlineStr">
        <is>
          <t>+116.3</t>
        </is>
      </c>
      <c r="AB117" s="42" t="inlineStr">
        <is>
          <t>-142.3</t>
        </is>
      </c>
    </row>
    <row r="118">
      <c r="A118" s="42" t="n">
        <v>3</v>
      </c>
      <c r="B118" s="42" t="inlineStr">
        <is>
          <t>New Mexico @ Oklahoma</t>
        </is>
      </c>
      <c r="C118" s="42" t="inlineStr">
        <is>
          <t>6-14</t>
        </is>
      </c>
      <c r="D118" s="42" t="inlineStr">
        <is>
          <t>-21.2</t>
        </is>
      </c>
      <c r="E118" s="42" t="inlineStr">
        <is>
          <t>+8.0</t>
        </is>
      </c>
      <c r="F118" s="42" t="inlineStr">
        <is>
          <t>-14.1</t>
        </is>
      </c>
      <c r="G118" s="42" t="inlineStr">
        <is>
          <t>-7.2</t>
        </is>
      </c>
      <c r="H118" s="42" t="inlineStr">
        <is>
          <t>Away</t>
        </is>
      </c>
      <c r="I118" s="65" t="inlineStr">
        <is>
          <t>Win</t>
        </is>
      </c>
      <c r="J118" s="42" t="inlineStr">
        <is>
          <t>-15.3</t>
        </is>
      </c>
      <c r="K118" s="42" t="inlineStr">
        <is>
          <t>-5.9</t>
        </is>
      </c>
      <c r="L118" s="42" t="inlineStr">
        <is>
          <t>Away</t>
        </is>
      </c>
      <c r="M118" s="65" t="inlineStr">
        <is>
          <t>Win</t>
        </is>
      </c>
      <c r="N118" s="42" t="inlineStr">
        <is>
          <t>-14.3</t>
        </is>
      </c>
      <c r="O118" s="42" t="inlineStr">
        <is>
          <t>-7.0</t>
        </is>
      </c>
      <c r="P118" s="42" t="inlineStr">
        <is>
          <t>Away</t>
        </is>
      </c>
      <c r="Q118" s="65" t="inlineStr">
        <is>
          <t>Win</t>
        </is>
      </c>
      <c r="R118" s="42" t="inlineStr">
        <is>
          <t>+2.0</t>
        </is>
      </c>
      <c r="S118" s="42" t="inlineStr">
        <is>
          <t>-23.3</t>
        </is>
      </c>
      <c r="T118" s="42" t="inlineStr">
        <is>
          <t>Away</t>
        </is>
      </c>
      <c r="U118" s="65" t="inlineStr">
        <is>
          <t>Win</t>
        </is>
      </c>
      <c r="V118" s="42" t="inlineStr">
        <is>
          <t>Yes</t>
        </is>
      </c>
      <c r="W118" s="42" t="inlineStr">
        <is>
          <t>Yes</t>
        </is>
      </c>
      <c r="X118" s="65" t="inlineStr">
        <is>
          <t>XGBoost</t>
        </is>
      </c>
      <c r="Y118" s="42" t="inlineStr">
        <is>
          <t>+5.7</t>
        </is>
      </c>
      <c r="Z118" s="42" t="inlineStr">
        <is>
          <t>-7.0</t>
        </is>
      </c>
      <c r="AA118" s="42" t="inlineStr">
        <is>
          <t>+109.3</t>
        </is>
      </c>
      <c r="AB118" s="42" t="inlineStr">
        <is>
          <t>-165.6</t>
        </is>
      </c>
    </row>
    <row r="119">
      <c r="A119" s="42" t="n">
        <v>3</v>
      </c>
      <c r="B119" s="42" t="inlineStr">
        <is>
          <t>North Dakota State @ Sacramento State</t>
        </is>
      </c>
      <c r="C119" s="42" t="inlineStr">
        <is>
          <t>31-10</t>
        </is>
      </c>
      <c r="D119" s="42" t="inlineStr">
        <is>
          <t>+25.5</t>
        </is>
      </c>
      <c r="E119" s="42" t="inlineStr">
        <is>
          <t>-21.0</t>
        </is>
      </c>
      <c r="F119" s="42" t="inlineStr">
        <is>
          <t>+13.0</t>
        </is>
      </c>
      <c r="G119" s="42" t="inlineStr">
        <is>
          <t>+12.5</t>
        </is>
      </c>
      <c r="H119" s="42" t="inlineStr">
        <is>
          <t>Home</t>
        </is>
      </c>
      <c r="I119" s="65" t="inlineStr">
        <is>
          <t>Win</t>
        </is>
      </c>
      <c r="J119" s="42" t="inlineStr">
        <is>
          <t>+17.9</t>
        </is>
      </c>
      <c r="K119" s="42" t="inlineStr">
        <is>
          <t>+7.6</t>
        </is>
      </c>
      <c r="L119" s="42" t="inlineStr">
        <is>
          <t>Home</t>
        </is>
      </c>
      <c r="M119" s="65" t="inlineStr">
        <is>
          <t>Win</t>
        </is>
      </c>
      <c r="N119" s="42" t="inlineStr">
        <is>
          <t>+34.3</t>
        </is>
      </c>
      <c r="O119" s="42" t="inlineStr">
        <is>
          <t>-8.8</t>
        </is>
      </c>
      <c r="P119" s="42" t="inlineStr">
        <is>
          <t>Away</t>
        </is>
      </c>
      <c r="Q119" s="66" t="inlineStr">
        <is>
          <t>Loss</t>
        </is>
      </c>
      <c r="R119" s="42" t="inlineStr">
        <is>
          <t>+14.0</t>
        </is>
      </c>
      <c r="S119" s="42" t="inlineStr">
        <is>
          <t>+11.5</t>
        </is>
      </c>
      <c r="T119" s="42" t="inlineStr">
        <is>
          <t>Home</t>
        </is>
      </c>
      <c r="U119" s="65" t="inlineStr">
        <is>
          <t>Win</t>
        </is>
      </c>
      <c r="V119" s="42" t="inlineStr">
        <is>
          <t>Yes</t>
        </is>
      </c>
      <c r="W119" s="42" t="inlineStr">
        <is>
          <t>No</t>
        </is>
      </c>
      <c r="X119" s="65" t="inlineStr">
        <is>
          <t>XGBoost</t>
        </is>
      </c>
      <c r="Y119" s="42" t="inlineStr">
        <is>
          <t>+18.2</t>
        </is>
      </c>
      <c r="Z119" s="42" t="inlineStr">
        <is>
          <t>+0.7</t>
        </is>
      </c>
      <c r="AA119" s="42" t="inlineStr">
        <is>
          <t>+100.4</t>
        </is>
      </c>
      <c r="AB119" s="42" t="inlineStr">
        <is>
          <t>-154.1</t>
        </is>
      </c>
    </row>
    <row r="120">
      <c r="A120" s="42" t="n">
        <v>3</v>
      </c>
      <c r="B120" s="42" t="inlineStr">
        <is>
          <t>Fresno State @ San José State</t>
        </is>
      </c>
      <c r="C120" s="42" t="inlineStr">
        <is>
          <t>26-10</t>
        </is>
      </c>
      <c r="D120" s="42" t="inlineStr">
        <is>
          <t>+4.0</t>
        </is>
      </c>
      <c r="E120" s="42" t="inlineStr">
        <is>
          <t>-16.0</t>
        </is>
      </c>
      <c r="F120" s="42" t="inlineStr">
        <is>
          <t>+3.1</t>
        </is>
      </c>
      <c r="G120" s="42" t="inlineStr">
        <is>
          <t>+0.9</t>
        </is>
      </c>
      <c r="H120" s="42" t="inlineStr">
        <is>
          <t>Away</t>
        </is>
      </c>
      <c r="I120" s="65" t="inlineStr">
        <is>
          <t>Win (no real edge)</t>
        </is>
      </c>
      <c r="J120" s="42" t="inlineStr">
        <is>
          <t>+11.0</t>
        </is>
      </c>
      <c r="K120" s="42" t="inlineStr">
        <is>
          <t>-7.0</t>
        </is>
      </c>
      <c r="L120" s="42" t="inlineStr">
        <is>
          <t>Away</t>
        </is>
      </c>
      <c r="M120" s="65" t="inlineStr">
        <is>
          <t>Win</t>
        </is>
      </c>
      <c r="N120" s="42" t="inlineStr">
        <is>
          <t>+2.9</t>
        </is>
      </c>
      <c r="O120" s="42" t="inlineStr">
        <is>
          <t>+1.1</t>
        </is>
      </c>
      <c r="P120" s="42" t="inlineStr">
        <is>
          <t>Home</t>
        </is>
      </c>
      <c r="Q120" s="66" t="inlineStr">
        <is>
          <t>Loss (no real edge)</t>
        </is>
      </c>
      <c r="R120" s="42" t="inlineStr">
        <is>
          <t>-0.7</t>
        </is>
      </c>
      <c r="S120" s="42" t="inlineStr">
        <is>
          <t>+4.7</t>
        </is>
      </c>
      <c r="T120" s="42" t="inlineStr">
        <is>
          <t>Home</t>
        </is>
      </c>
      <c r="U120" s="66" t="inlineStr">
        <is>
          <t>Loss</t>
        </is>
      </c>
      <c r="V120" s="42" t="inlineStr">
        <is>
          <t>Yes</t>
        </is>
      </c>
      <c r="W120" s="42" t="inlineStr">
        <is>
          <t>No</t>
        </is>
      </c>
      <c r="X120" s="65" t="inlineStr">
        <is>
          <t>Ridge</t>
        </is>
      </c>
      <c r="Y120" s="42" t="inlineStr">
        <is>
          <t>+19.1</t>
        </is>
      </c>
      <c r="Z120" s="42" t="inlineStr">
        <is>
          <t>-6.3</t>
        </is>
      </c>
      <c r="AA120" s="42" t="inlineStr">
        <is>
          <t>+101.5</t>
        </is>
      </c>
      <c r="AB120" s="42" t="inlineStr">
        <is>
          <t>-149.4</t>
        </is>
      </c>
    </row>
    <row r="121">
      <c r="A121" s="42" t="n">
        <v>4</v>
      </c>
      <c r="B121" s="42" t="inlineStr">
        <is>
          <t>UNLV @ Akron</t>
        </is>
      </c>
      <c r="C121" s="42" t="inlineStr">
        <is>
          <t>38-10</t>
        </is>
      </c>
      <c r="D121" s="42" t="inlineStr">
        <is>
          <t>+13.5</t>
        </is>
      </c>
      <c r="E121" s="42" t="inlineStr">
        <is>
          <t>-28.0</t>
        </is>
      </c>
      <c r="F121" s="42" t="inlineStr">
        <is>
          <t>+1.5</t>
        </is>
      </c>
      <c r="G121" s="42" t="inlineStr">
        <is>
          <t>+12.0</t>
        </is>
      </c>
      <c r="H121" s="42" t="inlineStr">
        <is>
          <t>Home</t>
        </is>
      </c>
      <c r="I121" s="66" t="inlineStr">
        <is>
          <t>Loss</t>
        </is>
      </c>
      <c r="J121" s="42" t="inlineStr">
        <is>
          <t>+8.0</t>
        </is>
      </c>
      <c r="K121" s="42" t="inlineStr">
        <is>
          <t>+5.5</t>
        </is>
      </c>
      <c r="L121" s="42" t="inlineStr">
        <is>
          <t>Home</t>
        </is>
      </c>
      <c r="M121" s="66" t="inlineStr">
        <is>
          <t>Loss</t>
        </is>
      </c>
      <c r="N121" s="42" t="inlineStr">
        <is>
          <t>+5.0</t>
        </is>
      </c>
      <c r="O121" s="42" t="inlineStr">
        <is>
          <t>+8.5</t>
        </is>
      </c>
      <c r="P121" s="42" t="inlineStr">
        <is>
          <t>Home</t>
        </is>
      </c>
      <c r="Q121" s="66" t="inlineStr">
        <is>
          <t>Loss</t>
        </is>
      </c>
      <c r="R121" s="42" t="inlineStr">
        <is>
          <t>-6.2</t>
        </is>
      </c>
      <c r="S121" s="42" t="inlineStr">
        <is>
          <t>+19.7</t>
        </is>
      </c>
      <c r="T121" s="42" t="inlineStr">
        <is>
          <t>Home</t>
        </is>
      </c>
      <c r="U121" s="66" t="inlineStr">
        <is>
          <t>Loss</t>
        </is>
      </c>
      <c r="V121" s="42" t="inlineStr">
        <is>
          <t>Yes</t>
        </is>
      </c>
      <c r="W121" s="42" t="inlineStr">
        <is>
          <t>Yes</t>
        </is>
      </c>
      <c r="X121" s="65" t="inlineStr">
        <is>
          <t>XGBoost</t>
        </is>
      </c>
      <c r="Y121" s="42" t="inlineStr">
        <is>
          <t>+31.1</t>
        </is>
      </c>
      <c r="Z121" s="42" t="inlineStr">
        <is>
          <t>-0.8</t>
        </is>
      </c>
      <c r="AA121" s="42" t="inlineStr">
        <is>
          <t>+110.0</t>
        </is>
      </c>
      <c r="AB121" s="42" t="inlineStr">
        <is>
          <t>-129.7</t>
        </is>
      </c>
    </row>
    <row r="122">
      <c r="A122" s="42" t="n">
        <v>4</v>
      </c>
      <c r="B122" s="42" t="inlineStr">
        <is>
          <t>Northern Illinois @ Georgia State</t>
        </is>
      </c>
      <c r="C122" s="42" t="inlineStr">
        <is>
          <t>14-35</t>
        </is>
      </c>
      <c r="D122" s="42" t="inlineStr">
        <is>
          <t>-8.8</t>
        </is>
      </c>
      <c r="E122" s="42" t="inlineStr">
        <is>
          <t>+21.0</t>
        </is>
      </c>
      <c r="F122" s="42" t="inlineStr">
        <is>
          <t>-11.6</t>
        </is>
      </c>
      <c r="G122" s="42" t="inlineStr">
        <is>
          <t>+2.9</t>
        </is>
      </c>
      <c r="H122" s="42" t="inlineStr">
        <is>
          <t>Home</t>
        </is>
      </c>
      <c r="I122" s="65" t="inlineStr">
        <is>
          <t>Win</t>
        </is>
      </c>
      <c r="J122" s="42" t="inlineStr">
        <is>
          <t>-2.5</t>
        </is>
      </c>
      <c r="K122" s="42" t="inlineStr">
        <is>
          <t>-6.3</t>
        </is>
      </c>
      <c r="L122" s="42" t="inlineStr">
        <is>
          <t>Away</t>
        </is>
      </c>
      <c r="M122" s="66" t="inlineStr">
        <is>
          <t>Loss</t>
        </is>
      </c>
      <c r="N122" s="42" t="inlineStr">
        <is>
          <t>-8.5</t>
        </is>
      </c>
      <c r="O122" s="42" t="inlineStr">
        <is>
          <t>-0.2</t>
        </is>
      </c>
      <c r="P122" s="42" t="inlineStr">
        <is>
          <t>Home</t>
        </is>
      </c>
      <c r="Q122" s="65" t="inlineStr">
        <is>
          <t>Win (no real edge)</t>
        </is>
      </c>
      <c r="R122" s="42" t="inlineStr">
        <is>
          <t>-22.8</t>
        </is>
      </c>
      <c r="S122" s="42" t="inlineStr">
        <is>
          <t>+14.0</t>
        </is>
      </c>
      <c r="T122" s="42" t="inlineStr">
        <is>
          <t>Home</t>
        </is>
      </c>
      <c r="U122" s="65" t="inlineStr">
        <is>
          <t>Win</t>
        </is>
      </c>
      <c r="V122" s="42" t="inlineStr">
        <is>
          <t>No</t>
        </is>
      </c>
      <c r="W122" s="42" t="inlineStr">
        <is>
          <t>Yes</t>
        </is>
      </c>
      <c r="X122" s="65" t="inlineStr">
        <is>
          <t>Gamma</t>
        </is>
      </c>
      <c r="Y122" s="42" t="inlineStr">
        <is>
          <t>+33.9</t>
        </is>
      </c>
      <c r="Z122" s="42" t="inlineStr">
        <is>
          <t>-7.1</t>
        </is>
      </c>
      <c r="AA122" s="42" t="inlineStr">
        <is>
          <t>+109.8</t>
        </is>
      </c>
      <c r="AB122" s="42" t="inlineStr">
        <is>
          <t>-115.6</t>
        </is>
      </c>
    </row>
    <row r="123">
      <c r="A123" s="42" t="n">
        <v>4</v>
      </c>
      <c r="B123" s="42" t="inlineStr">
        <is>
          <t>Air Force @ Nevada</t>
        </is>
      </c>
      <c r="C123" s="42" t="inlineStr">
        <is>
          <t>36-33</t>
        </is>
      </c>
      <c r="D123" s="42" t="inlineStr">
        <is>
          <t>+5.2</t>
        </is>
      </c>
      <c r="E123" s="42" t="inlineStr">
        <is>
          <t>-3.0</t>
        </is>
      </c>
      <c r="F123" s="42" t="inlineStr">
        <is>
          <t>+3.3</t>
        </is>
      </c>
      <c r="G123" s="42" t="inlineStr">
        <is>
          <t>+2.0</t>
        </is>
      </c>
      <c r="H123" s="42" t="inlineStr">
        <is>
          <t>Home</t>
        </is>
      </c>
      <c r="I123" s="65" t="inlineStr">
        <is>
          <t>Win (no real edge)</t>
        </is>
      </c>
      <c r="J123" s="42" t="inlineStr">
        <is>
          <t>+1.7</t>
        </is>
      </c>
      <c r="K123" s="42" t="inlineStr">
        <is>
          <t>+3.5</t>
        </is>
      </c>
      <c r="L123" s="42" t="inlineStr">
        <is>
          <t>Home</t>
        </is>
      </c>
      <c r="M123" s="65" t="inlineStr">
        <is>
          <t>Win</t>
        </is>
      </c>
      <c r="N123" s="42" t="inlineStr">
        <is>
          <t>+4.0</t>
        </is>
      </c>
      <c r="O123" s="42" t="inlineStr">
        <is>
          <t>+1.2</t>
        </is>
      </c>
      <c r="P123" s="42" t="inlineStr">
        <is>
          <t>Home</t>
        </is>
      </c>
      <c r="Q123" s="65" t="inlineStr">
        <is>
          <t>Win (no real edge)</t>
        </is>
      </c>
      <c r="R123" s="42" t="inlineStr">
        <is>
          <t>+1.5</t>
        </is>
      </c>
      <c r="S123" s="42" t="inlineStr">
        <is>
          <t>+3.8</t>
        </is>
      </c>
      <c r="T123" s="42" t="inlineStr">
        <is>
          <t>Home</t>
        </is>
      </c>
      <c r="U123" s="65" t="inlineStr">
        <is>
          <t>Win</t>
        </is>
      </c>
      <c r="V123" s="42" t="inlineStr">
        <is>
          <t>Yes</t>
        </is>
      </c>
      <c r="W123" s="42" t="inlineStr">
        <is>
          <t>Yes</t>
        </is>
      </c>
      <c r="X123" s="65" t="inlineStr">
        <is>
          <t>Gamma</t>
        </is>
      </c>
      <c r="Y123" s="42" t="inlineStr">
        <is>
          <t>+35.9</t>
        </is>
      </c>
      <c r="Z123" s="42" t="inlineStr">
        <is>
          <t>-3.5</t>
        </is>
      </c>
      <c r="AA123" s="42" t="inlineStr">
        <is>
          <t>+111.0</t>
        </is>
      </c>
      <c r="AB123" s="42" t="inlineStr">
        <is>
          <t>-111.9</t>
        </is>
      </c>
    </row>
    <row r="124">
      <c r="A124" s="42" t="n">
        <v>4</v>
      </c>
      <c r="B124" s="42" t="inlineStr">
        <is>
          <t>New Mexico @ New Mexico State</t>
        </is>
      </c>
      <c r="C124" s="42" t="inlineStr">
        <is>
          <t>42-18</t>
        </is>
      </c>
      <c r="D124" s="42" t="inlineStr">
        <is>
          <t>+11.5</t>
        </is>
      </c>
      <c r="E124" s="42" t="inlineStr">
        <is>
          <t>-24.0</t>
        </is>
      </c>
      <c r="F124" s="42" t="inlineStr">
        <is>
          <t>+6.9</t>
        </is>
      </c>
      <c r="G124" s="42" t="inlineStr">
        <is>
          <t>+4.6</t>
        </is>
      </c>
      <c r="H124" s="42" t="inlineStr">
        <is>
          <t>Home</t>
        </is>
      </c>
      <c r="I124" s="66" t="inlineStr">
        <is>
          <t>Loss</t>
        </is>
      </c>
      <c r="J124" s="42" t="inlineStr">
        <is>
          <t>+11.8</t>
        </is>
      </c>
      <c r="K124" s="42" t="inlineStr">
        <is>
          <t>-0.3</t>
        </is>
      </c>
      <c r="L124" s="42" t="inlineStr">
        <is>
          <t>Away</t>
        </is>
      </c>
      <c r="M124" s="65" t="inlineStr">
        <is>
          <t>Win (no real edge)</t>
        </is>
      </c>
      <c r="N124" s="42" t="inlineStr">
        <is>
          <t>+13.8</t>
        </is>
      </c>
      <c r="O124" s="42" t="inlineStr">
        <is>
          <t>-2.3</t>
        </is>
      </c>
      <c r="P124" s="42" t="inlineStr">
        <is>
          <t>Away</t>
        </is>
      </c>
      <c r="Q124" s="65" t="inlineStr">
        <is>
          <t>Win</t>
        </is>
      </c>
      <c r="R124" s="42" t="inlineStr">
        <is>
          <t>+14.3</t>
        </is>
      </c>
      <c r="S124" s="42" t="inlineStr">
        <is>
          <t>-2.8</t>
        </is>
      </c>
      <c r="T124" s="42" t="inlineStr">
        <is>
          <t>Away</t>
        </is>
      </c>
      <c r="U124" s="65" t="inlineStr">
        <is>
          <t>Win</t>
        </is>
      </c>
      <c r="V124" s="42" t="inlineStr">
        <is>
          <t>No</t>
        </is>
      </c>
      <c r="W124" s="42" t="inlineStr">
        <is>
          <t>No</t>
        </is>
      </c>
      <c r="X124" s="65" t="inlineStr">
        <is>
          <t>XGBoost</t>
        </is>
      </c>
      <c r="Y124" s="42" t="inlineStr">
        <is>
          <t>+40.5</t>
        </is>
      </c>
      <c r="Z124" s="42" t="inlineStr">
        <is>
          <t>-3.9</t>
        </is>
      </c>
      <c r="AA124" s="42" t="inlineStr">
        <is>
          <t>+108.7</t>
        </is>
      </c>
      <c r="AB124" s="42" t="inlineStr">
        <is>
          <t>-114.7</t>
        </is>
      </c>
    </row>
    <row r="125">
      <c r="A125" s="42" t="n">
        <v>4</v>
      </c>
      <c r="B125" s="42" t="inlineStr">
        <is>
          <t>Oregon State @ UTEP</t>
        </is>
      </c>
      <c r="C125" s="42" t="inlineStr">
        <is>
          <t>33-7</t>
        </is>
      </c>
      <c r="D125" s="42" t="inlineStr">
        <is>
          <t>+11.5</t>
        </is>
      </c>
      <c r="E125" s="42" t="inlineStr">
        <is>
          <t>-26.0</t>
        </is>
      </c>
      <c r="F125" s="42" t="inlineStr">
        <is>
          <t>-3.6</t>
        </is>
      </c>
      <c r="G125" s="42" t="inlineStr">
        <is>
          <t>+15.1</t>
        </is>
      </c>
      <c r="H125" s="42" t="inlineStr">
        <is>
          <t>Home</t>
        </is>
      </c>
      <c r="I125" s="66" t="inlineStr">
        <is>
          <t>Loss</t>
        </is>
      </c>
      <c r="J125" s="42" t="inlineStr">
        <is>
          <t>+1.8</t>
        </is>
      </c>
      <c r="K125" s="42" t="inlineStr">
        <is>
          <t>+9.7</t>
        </is>
      </c>
      <c r="L125" s="42" t="inlineStr">
        <is>
          <t>Home</t>
        </is>
      </c>
      <c r="M125" s="66" t="inlineStr">
        <is>
          <t>Loss</t>
        </is>
      </c>
      <c r="N125" s="42" t="inlineStr">
        <is>
          <t>+12.2</t>
        </is>
      </c>
      <c r="O125" s="42" t="inlineStr">
        <is>
          <t>-0.7</t>
        </is>
      </c>
      <c r="P125" s="42" t="inlineStr">
        <is>
          <t>Away</t>
        </is>
      </c>
      <c r="Q125" s="65" t="inlineStr">
        <is>
          <t>Win (no real edge)</t>
        </is>
      </c>
      <c r="R125" s="42" t="inlineStr">
        <is>
          <t>+8.9</t>
        </is>
      </c>
      <c r="S125" s="42" t="inlineStr">
        <is>
          <t>+2.6</t>
        </is>
      </c>
      <c r="T125" s="42" t="inlineStr">
        <is>
          <t>Home</t>
        </is>
      </c>
      <c r="U125" s="66" t="inlineStr">
        <is>
          <t>Loss</t>
        </is>
      </c>
      <c r="V125" s="42" t="inlineStr">
        <is>
          <t>Yes</t>
        </is>
      </c>
      <c r="W125" s="42" t="inlineStr">
        <is>
          <t>No</t>
        </is>
      </c>
      <c r="X125" s="65" t="inlineStr">
        <is>
          <t>Gamma</t>
        </is>
      </c>
      <c r="Y125" s="42" t="inlineStr">
        <is>
          <t>+55.6</t>
        </is>
      </c>
      <c r="Z125" s="42" t="inlineStr">
        <is>
          <t>+5.8</t>
        </is>
      </c>
      <c r="AA125" s="42" t="inlineStr">
        <is>
          <t>+108.0</t>
        </is>
      </c>
      <c r="AB125" s="42" t="inlineStr">
        <is>
          <t>-112.1</t>
        </is>
      </c>
    </row>
    <row r="126">
      <c r="A126" s="42" t="n">
        <v>4</v>
      </c>
      <c r="B126" s="42" t="inlineStr">
        <is>
          <t>Hawai'i @ Wyoming</t>
        </is>
      </c>
      <c r="C126" s="42" t="inlineStr">
        <is>
          <t>10-27</t>
        </is>
      </c>
      <c r="D126" s="42" t="inlineStr">
        <is>
          <t>+2.2</t>
        </is>
      </c>
      <c r="E126" s="42" t="inlineStr">
        <is>
          <t>+17.0</t>
        </is>
      </c>
      <c r="F126" s="42" t="inlineStr">
        <is>
          <t>+6.0</t>
        </is>
      </c>
      <c r="G126" s="42" t="inlineStr">
        <is>
          <t>-3.7</t>
        </is>
      </c>
      <c r="H126" s="42" t="inlineStr">
        <is>
          <t>Away</t>
        </is>
      </c>
      <c r="I126" s="66" t="inlineStr">
        <is>
          <t>Loss</t>
        </is>
      </c>
      <c r="J126" s="42" t="inlineStr">
        <is>
          <t>-0.3</t>
        </is>
      </c>
      <c r="K126" s="42" t="inlineStr">
        <is>
          <t>+2.5</t>
        </is>
      </c>
      <c r="L126" s="42" t="inlineStr">
        <is>
          <t>Home</t>
        </is>
      </c>
      <c r="M126" s="65" t="inlineStr">
        <is>
          <t>Win</t>
        </is>
      </c>
      <c r="N126" s="42" t="inlineStr">
        <is>
          <t>+0.3</t>
        </is>
      </c>
      <c r="O126" s="42" t="inlineStr">
        <is>
          <t>+1.9</t>
        </is>
      </c>
      <c r="P126" s="42" t="inlineStr">
        <is>
          <t>Home</t>
        </is>
      </c>
      <c r="Q126" s="65" t="inlineStr">
        <is>
          <t>Win (no real edge)</t>
        </is>
      </c>
      <c r="R126" s="42" t="inlineStr">
        <is>
          <t>-4.6</t>
        </is>
      </c>
      <c r="S126" s="42" t="inlineStr">
        <is>
          <t>+6.8</t>
        </is>
      </c>
      <c r="T126" s="42" t="inlineStr">
        <is>
          <t>Home</t>
        </is>
      </c>
      <c r="U126" s="65" t="inlineStr">
        <is>
          <t>Win</t>
        </is>
      </c>
      <c r="V126" s="42" t="inlineStr">
        <is>
          <t>No</t>
        </is>
      </c>
      <c r="W126" s="42" t="inlineStr">
        <is>
          <t>No</t>
        </is>
      </c>
      <c r="X126" s="65" t="inlineStr">
        <is>
          <t>Gamma</t>
        </is>
      </c>
      <c r="Y126" s="42" t="inlineStr">
        <is>
          <t>+51.9</t>
        </is>
      </c>
      <c r="Z126" s="42" t="inlineStr">
        <is>
          <t>+8.4</t>
        </is>
      </c>
      <c r="AA126" s="42" t="inlineStr">
        <is>
          <t>+109.9</t>
        </is>
      </c>
      <c r="AB126" s="42" t="inlineStr">
        <is>
          <t>-105.3</t>
        </is>
      </c>
    </row>
    <row r="127">
      <c r="A127" s="42" t="n">
        <v>5</v>
      </c>
      <c r="B127" s="42" t="inlineStr">
        <is>
          <t>Navy @ Air Force</t>
        </is>
      </c>
      <c r="C127" s="42" t="inlineStr">
        <is>
          <t>9-14</t>
        </is>
      </c>
      <c r="D127" s="42" t="inlineStr">
        <is>
          <t>-2.8</t>
        </is>
      </c>
      <c r="E127" s="42" t="inlineStr">
        <is>
          <t>+5.0</t>
        </is>
      </c>
      <c r="F127" s="42" t="inlineStr">
        <is>
          <t>-8.4</t>
        </is>
      </c>
      <c r="G127" s="42" t="inlineStr">
        <is>
          <t>+5.6</t>
        </is>
      </c>
      <c r="H127" s="42" t="inlineStr">
        <is>
          <t>Home</t>
        </is>
      </c>
      <c r="I127" s="65" t="inlineStr">
        <is>
          <t>Win</t>
        </is>
      </c>
      <c r="J127" s="42" t="inlineStr">
        <is>
          <t>-2.1</t>
        </is>
      </c>
      <c r="K127" s="42" t="inlineStr">
        <is>
          <t>-0.7</t>
        </is>
      </c>
      <c r="L127" s="42" t="inlineStr">
        <is>
          <t>Home</t>
        </is>
      </c>
      <c r="M127" s="65" t="inlineStr">
        <is>
          <t>Win (no real edge)</t>
        </is>
      </c>
      <c r="N127" s="42" t="inlineStr">
        <is>
          <t>+4.5</t>
        </is>
      </c>
      <c r="O127" s="42" t="inlineStr">
        <is>
          <t>-7.3</t>
        </is>
      </c>
      <c r="P127" s="42" t="inlineStr">
        <is>
          <t>Away</t>
        </is>
      </c>
      <c r="Q127" s="66" t="inlineStr">
        <is>
          <t>Loss</t>
        </is>
      </c>
      <c r="R127" s="42" t="inlineStr">
        <is>
          <t>-7.0</t>
        </is>
      </c>
      <c r="S127" s="42" t="inlineStr">
        <is>
          <t>+4.3</t>
        </is>
      </c>
      <c r="T127" s="42" t="inlineStr">
        <is>
          <t>Home</t>
        </is>
      </c>
      <c r="U127" s="65" t="inlineStr">
        <is>
          <t>Win</t>
        </is>
      </c>
      <c r="V127" s="42" t="inlineStr">
        <is>
          <t>Yes</t>
        </is>
      </c>
      <c r="W127" s="42" t="inlineStr">
        <is>
          <t>No</t>
        </is>
      </c>
      <c r="X127" s="65" t="inlineStr">
        <is>
          <t>XGBoost</t>
        </is>
      </c>
      <c r="Y127" s="42" t="inlineStr">
        <is>
          <t>+57.6</t>
        </is>
      </c>
      <c r="Z127" s="42" t="inlineStr">
        <is>
          <t>+7.7</t>
        </is>
      </c>
      <c r="AA127" s="42" t="inlineStr">
        <is>
          <t>+102.6</t>
        </is>
      </c>
      <c r="AB127" s="42" t="inlineStr">
        <is>
          <t>-101.0</t>
        </is>
      </c>
    </row>
    <row r="128">
      <c r="A128" s="42" t="n">
        <v>5</v>
      </c>
      <c r="B128" s="42" t="inlineStr">
        <is>
          <t>San José State @ Hawai'i</t>
        </is>
      </c>
      <c r="C128" s="42" t="inlineStr">
        <is>
          <t>20-16</t>
        </is>
      </c>
      <c r="D128" s="42" t="inlineStr">
        <is>
          <t>-2.8</t>
        </is>
      </c>
      <c r="E128" s="42" t="inlineStr">
        <is>
          <t>-4.0</t>
        </is>
      </c>
      <c r="F128" s="42" t="inlineStr">
        <is>
          <t>-6.8</t>
        </is>
      </c>
      <c r="G128" s="42" t="inlineStr">
        <is>
          <t>+4.1</t>
        </is>
      </c>
      <c r="H128" s="42" t="inlineStr">
        <is>
          <t>Home</t>
        </is>
      </c>
      <c r="I128" s="66" t="inlineStr">
        <is>
          <t>Loss</t>
        </is>
      </c>
      <c r="J128" s="42" t="inlineStr">
        <is>
          <t>-7.2</t>
        </is>
      </c>
      <c r="K128" s="42" t="inlineStr">
        <is>
          <t>+4.5</t>
        </is>
      </c>
      <c r="L128" s="42" t="inlineStr">
        <is>
          <t>Home</t>
        </is>
      </c>
      <c r="M128" s="66" t="inlineStr">
        <is>
          <t>Loss</t>
        </is>
      </c>
      <c r="N128" s="42" t="inlineStr">
        <is>
          <t>-5.2</t>
        </is>
      </c>
      <c r="O128" s="42" t="inlineStr">
        <is>
          <t>+2.5</t>
        </is>
      </c>
      <c r="P128" s="42" t="inlineStr">
        <is>
          <t>Home</t>
        </is>
      </c>
      <c r="Q128" s="66" t="inlineStr">
        <is>
          <t>Loss</t>
        </is>
      </c>
      <c r="R128" s="42" t="inlineStr">
        <is>
          <t>+3.5</t>
        </is>
      </c>
      <c r="S128" s="42" t="inlineStr">
        <is>
          <t>-6.2</t>
        </is>
      </c>
      <c r="T128" s="42" t="inlineStr">
        <is>
          <t>Away</t>
        </is>
      </c>
      <c r="U128" s="65" t="inlineStr">
        <is>
          <t>Win</t>
        </is>
      </c>
      <c r="V128" s="42" t="inlineStr">
        <is>
          <t>Yes</t>
        </is>
      </c>
      <c r="W128" s="42" t="inlineStr">
        <is>
          <t>Yes</t>
        </is>
      </c>
      <c r="X128" s="65" t="inlineStr">
        <is>
          <t>Gamma</t>
        </is>
      </c>
      <c r="Y128" s="42" t="inlineStr">
        <is>
          <t>+61.7</t>
        </is>
      </c>
      <c r="Z128" s="42" t="inlineStr">
        <is>
          <t>+12.1</t>
        </is>
      </c>
      <c r="AA128" s="42" t="inlineStr">
        <is>
          <t>+105.1</t>
        </is>
      </c>
      <c r="AB128" s="42" t="inlineStr">
        <is>
          <t>-107.2</t>
        </is>
      </c>
    </row>
    <row r="129">
      <c r="A129" s="42" t="n">
        <v>5</v>
      </c>
      <c r="B129" s="42" t="inlineStr">
        <is>
          <t>UTEP @ New Mexico</t>
        </is>
      </c>
      <c r="C129" s="42" t="inlineStr">
        <is>
          <t>7-61</t>
        </is>
      </c>
      <c r="D129" s="42" t="inlineStr">
        <is>
          <t>-23.2</t>
        </is>
      </c>
      <c r="E129" s="42" t="inlineStr">
        <is>
          <t>+54.0</t>
        </is>
      </c>
      <c r="F129" s="42" t="inlineStr">
        <is>
          <t>-22.3</t>
        </is>
      </c>
      <c r="G129" s="42" t="inlineStr">
        <is>
          <t>-1.0</t>
        </is>
      </c>
      <c r="H129" s="42" t="inlineStr">
        <is>
          <t>Home</t>
        </is>
      </c>
      <c r="I129" s="65" t="inlineStr">
        <is>
          <t>Win (no real edge)</t>
        </is>
      </c>
      <c r="J129" s="42" t="inlineStr">
        <is>
          <t>-21.7</t>
        </is>
      </c>
      <c r="K129" s="42" t="inlineStr">
        <is>
          <t>-1.5</t>
        </is>
      </c>
      <c r="L129" s="42" t="inlineStr">
        <is>
          <t>Away</t>
        </is>
      </c>
      <c r="M129" s="66" t="inlineStr">
        <is>
          <t>Loss (no real edge)</t>
        </is>
      </c>
      <c r="N129" s="42" t="inlineStr">
        <is>
          <t>-27.6</t>
        </is>
      </c>
      <c r="O129" s="42" t="inlineStr">
        <is>
          <t>+4.3</t>
        </is>
      </c>
      <c r="P129" s="42" t="inlineStr">
        <is>
          <t>Home</t>
        </is>
      </c>
      <c r="Q129" s="65" t="inlineStr">
        <is>
          <t>Win</t>
        </is>
      </c>
      <c r="R129" s="42" t="inlineStr">
        <is>
          <t>-26.6</t>
        </is>
      </c>
      <c r="S129" s="42" t="inlineStr">
        <is>
          <t>+3.3</t>
        </is>
      </c>
      <c r="T129" s="42" t="inlineStr">
        <is>
          <t>Home</t>
        </is>
      </c>
      <c r="U129" s="65" t="inlineStr">
        <is>
          <t>Win</t>
        </is>
      </c>
      <c r="V129" s="42" t="inlineStr">
        <is>
          <t>No</t>
        </is>
      </c>
      <c r="W129" s="42" t="inlineStr">
        <is>
          <t>Yes</t>
        </is>
      </c>
      <c r="X129" s="65" t="inlineStr">
        <is>
          <t>Ridge</t>
        </is>
      </c>
      <c r="Y129" s="42" t="inlineStr">
        <is>
          <t>+60.7</t>
        </is>
      </c>
      <c r="Z129" s="42" t="inlineStr">
        <is>
          <t>+10.6</t>
        </is>
      </c>
      <c r="AA129" s="42" t="inlineStr">
        <is>
          <t>+109.5</t>
        </is>
      </c>
      <c r="AB129" s="42" t="inlineStr">
        <is>
          <t>-103.9</t>
        </is>
      </c>
    </row>
    <row r="130">
      <c r="A130" s="42" t="n">
        <v>5</v>
      </c>
      <c r="B130" s="42" t="inlineStr">
        <is>
          <t>Wyoming @ North Dakota State</t>
        </is>
      </c>
      <c r="C130" s="42" t="inlineStr">
        <is>
          <t>0-28</t>
        </is>
      </c>
      <c r="D130" s="42" t="inlineStr">
        <is>
          <t>-17.2</t>
        </is>
      </c>
      <c r="E130" s="42" t="inlineStr">
        <is>
          <t>+28.0</t>
        </is>
      </c>
      <c r="F130" s="42" t="inlineStr">
        <is>
          <t>-22.5</t>
        </is>
      </c>
      <c r="G130" s="42" t="inlineStr">
        <is>
          <t>+5.3</t>
        </is>
      </c>
      <c r="H130" s="42" t="inlineStr">
        <is>
          <t>Home</t>
        </is>
      </c>
      <c r="I130" s="65" t="inlineStr">
        <is>
          <t>Win</t>
        </is>
      </c>
      <c r="J130" s="42" t="inlineStr">
        <is>
          <t>-21.2</t>
        </is>
      </c>
      <c r="K130" s="42" t="inlineStr">
        <is>
          <t>+3.9</t>
        </is>
      </c>
      <c r="L130" s="42" t="inlineStr">
        <is>
          <t>Home</t>
        </is>
      </c>
      <c r="M130" s="65" t="inlineStr">
        <is>
          <t>Win</t>
        </is>
      </c>
      <c r="N130" s="42" t="inlineStr">
        <is>
          <t>-29.3</t>
        </is>
      </c>
      <c r="O130" s="42" t="inlineStr">
        <is>
          <t>+12.1</t>
        </is>
      </c>
      <c r="P130" s="42" t="inlineStr">
        <is>
          <t>Home</t>
        </is>
      </c>
      <c r="Q130" s="65" t="inlineStr">
        <is>
          <t>Win</t>
        </is>
      </c>
      <c r="R130" s="42" t="inlineStr">
        <is>
          <t>-19.5</t>
        </is>
      </c>
      <c r="S130" s="42" t="inlineStr">
        <is>
          <t>+2.3</t>
        </is>
      </c>
      <c r="T130" s="42" t="inlineStr">
        <is>
          <t>Home</t>
        </is>
      </c>
      <c r="U130" s="65" t="inlineStr">
        <is>
          <t>Win</t>
        </is>
      </c>
      <c r="V130" s="42" t="inlineStr">
        <is>
          <t>Yes</t>
        </is>
      </c>
      <c r="W130" s="42" t="inlineStr">
        <is>
          <t>Yes</t>
        </is>
      </c>
      <c r="X130" s="65" t="inlineStr">
        <is>
          <t>Massey</t>
        </is>
      </c>
      <c r="Y130" s="42" t="inlineStr">
        <is>
          <t>+66.0</t>
        </is>
      </c>
      <c r="Z130" s="42" t="inlineStr">
        <is>
          <t>+14.5</t>
        </is>
      </c>
      <c r="AA130" s="42" t="inlineStr">
        <is>
          <t>+121.5</t>
        </is>
      </c>
      <c r="AB130" s="42" t="inlineStr">
        <is>
          <t>-101.6</t>
        </is>
      </c>
    </row>
    <row r="131">
      <c r="A131" s="42" t="n">
        <v>5</v>
      </c>
      <c r="B131" s="42" t="inlineStr">
        <is>
          <t>California @ UNLV</t>
        </is>
      </c>
      <c r="C131" s="42" t="inlineStr">
        <is>
          <t>31-39</t>
        </is>
      </c>
      <c r="D131" s="42" t="inlineStr">
        <is>
          <t>-1.8</t>
        </is>
      </c>
      <c r="E131" s="42" t="inlineStr">
        <is>
          <t>+8.0</t>
        </is>
      </c>
      <c r="F131" s="42" t="inlineStr">
        <is>
          <t>-15.4</t>
        </is>
      </c>
      <c r="G131" s="42" t="inlineStr">
        <is>
          <t>+13.7</t>
        </is>
      </c>
      <c r="H131" s="42" t="inlineStr">
        <is>
          <t>Home</t>
        </is>
      </c>
      <c r="I131" s="65" t="inlineStr">
        <is>
          <t>Win</t>
        </is>
      </c>
      <c r="J131" s="42" t="inlineStr">
        <is>
          <t>-6.9</t>
        </is>
      </c>
      <c r="K131" s="42" t="inlineStr">
        <is>
          <t>+5.2</t>
        </is>
      </c>
      <c r="L131" s="42" t="inlineStr">
        <is>
          <t>Home</t>
        </is>
      </c>
      <c r="M131" s="65" t="inlineStr">
        <is>
          <t>Win</t>
        </is>
      </c>
      <c r="N131" s="42" t="inlineStr">
        <is>
          <t>-3.3</t>
        </is>
      </c>
      <c r="O131" s="42" t="inlineStr">
        <is>
          <t>+1.5</t>
        </is>
      </c>
      <c r="P131" s="42" t="inlineStr">
        <is>
          <t>Home</t>
        </is>
      </c>
      <c r="Q131" s="65" t="inlineStr">
        <is>
          <t>Win (no real edge)</t>
        </is>
      </c>
      <c r="R131" s="42" t="inlineStr">
        <is>
          <t>-0.8</t>
        </is>
      </c>
      <c r="S131" s="42" t="inlineStr">
        <is>
          <t>-1.0</t>
        </is>
      </c>
      <c r="T131" s="42" t="inlineStr">
        <is>
          <t>Home</t>
        </is>
      </c>
      <c r="U131" s="65" t="inlineStr">
        <is>
          <t>Win (no real edge)</t>
        </is>
      </c>
      <c r="V131" s="42" t="inlineStr">
        <is>
          <t>Yes</t>
        </is>
      </c>
      <c r="W131" s="42" t="inlineStr">
        <is>
          <t>Yes</t>
        </is>
      </c>
      <c r="X131" s="65" t="inlineStr">
        <is>
          <t>Massey</t>
        </is>
      </c>
      <c r="Y131" s="42" t="inlineStr">
        <is>
          <t>+79.7</t>
        </is>
      </c>
      <c r="Z131" s="42" t="inlineStr">
        <is>
          <t>+19.7</t>
        </is>
      </c>
      <c r="AA131" s="42" t="inlineStr">
        <is>
          <t>+123.1</t>
        </is>
      </c>
      <c r="AB131" s="42" t="inlineStr">
        <is>
          <t>-102.6</t>
        </is>
      </c>
    </row>
    <row r="132">
      <c r="A132" s="42" t="n">
        <v>6</v>
      </c>
      <c r="B132" s="42" t="inlineStr">
        <is>
          <t>Hawai'i @ Arizona State</t>
        </is>
      </c>
      <c r="C132" s="42" t="inlineStr">
        <is>
          <t>12-30</t>
        </is>
      </c>
      <c r="D132" s="42" t="inlineStr">
        <is>
          <t>-20.8</t>
        </is>
      </c>
      <c r="E132" s="42" t="inlineStr">
        <is>
          <t>+18.0</t>
        </is>
      </c>
      <c r="F132" s="42" t="inlineStr">
        <is>
          <t>-17.3</t>
        </is>
      </c>
      <c r="G132" s="42" t="inlineStr">
        <is>
          <t>-3.5</t>
        </is>
      </c>
      <c r="H132" s="42" t="inlineStr">
        <is>
          <t>Away</t>
        </is>
      </c>
      <c r="I132" s="65" t="inlineStr">
        <is>
          <t>Win</t>
        </is>
      </c>
      <c r="J132" s="42" t="inlineStr">
        <is>
          <t>-17.1</t>
        </is>
      </c>
      <c r="K132" s="42" t="inlineStr">
        <is>
          <t>-3.7</t>
        </is>
      </c>
      <c r="L132" s="42" t="inlineStr">
        <is>
          <t>Away</t>
        </is>
      </c>
      <c r="M132" s="65" t="inlineStr">
        <is>
          <t>Win</t>
        </is>
      </c>
      <c r="N132" s="42" t="inlineStr">
        <is>
          <t>-17.3</t>
        </is>
      </c>
      <c r="O132" s="42" t="inlineStr">
        <is>
          <t>-3.4</t>
        </is>
      </c>
      <c r="P132" s="42" t="inlineStr">
        <is>
          <t>Away</t>
        </is>
      </c>
      <c r="Q132" s="65" t="inlineStr">
        <is>
          <t>Win</t>
        </is>
      </c>
      <c r="R132" s="42" t="inlineStr">
        <is>
          <t>-14.5</t>
        </is>
      </c>
      <c r="S132" s="42" t="inlineStr">
        <is>
          <t>-6.3</t>
        </is>
      </c>
      <c r="T132" s="42" t="inlineStr">
        <is>
          <t>Away</t>
        </is>
      </c>
      <c r="U132" s="65" t="inlineStr">
        <is>
          <t>Win</t>
        </is>
      </c>
      <c r="V132" s="42" t="inlineStr">
        <is>
          <t>Yes</t>
        </is>
      </c>
      <c r="W132" s="42" t="inlineStr">
        <is>
          <t>Yes</t>
        </is>
      </c>
      <c r="X132" s="65" t="inlineStr">
        <is>
          <t>Gamma</t>
        </is>
      </c>
      <c r="Y132" s="42" t="inlineStr">
        <is>
          <t>+76.2</t>
        </is>
      </c>
      <c r="Z132" s="42" t="inlineStr">
        <is>
          <t>+16.1</t>
        </is>
      </c>
      <c r="AA132" s="42" t="inlineStr">
        <is>
          <t>+119.6</t>
        </is>
      </c>
      <c r="AB132" s="42" t="inlineStr">
        <is>
          <t>-108.8</t>
        </is>
      </c>
    </row>
    <row r="133">
      <c r="A133" s="42" t="n">
        <v>6</v>
      </c>
      <c r="B133" s="42" t="inlineStr">
        <is>
          <t>Air Force @ Northern Illinois</t>
        </is>
      </c>
      <c r="C133" s="42" t="inlineStr">
        <is>
          <t>28-7</t>
        </is>
      </c>
      <c r="D133" s="42" t="inlineStr">
        <is>
          <t>+7.0</t>
        </is>
      </c>
      <c r="E133" s="42" t="inlineStr">
        <is>
          <t>-21.0</t>
        </is>
      </c>
      <c r="F133" s="42" t="inlineStr">
        <is>
          <t>+9.3</t>
        </is>
      </c>
      <c r="G133" s="42" t="inlineStr">
        <is>
          <t>-2.3</t>
        </is>
      </c>
      <c r="H133" s="42" t="inlineStr">
        <is>
          <t>Away</t>
        </is>
      </c>
      <c r="I133" s="65" t="inlineStr">
        <is>
          <t>Win</t>
        </is>
      </c>
      <c r="J133" s="42" t="inlineStr">
        <is>
          <t>+4.3</t>
        </is>
      </c>
      <c r="K133" s="42" t="inlineStr">
        <is>
          <t>+2.7</t>
        </is>
      </c>
      <c r="L133" s="42" t="inlineStr">
        <is>
          <t>Home</t>
        </is>
      </c>
      <c r="M133" s="66" t="inlineStr">
        <is>
          <t>Loss</t>
        </is>
      </c>
      <c r="N133" s="42" t="inlineStr">
        <is>
          <t>+9.3</t>
        </is>
      </c>
      <c r="O133" s="42" t="inlineStr">
        <is>
          <t>-2.3</t>
        </is>
      </c>
      <c r="P133" s="42" t="inlineStr">
        <is>
          <t>Away</t>
        </is>
      </c>
      <c r="Q133" s="65" t="inlineStr">
        <is>
          <t>Win</t>
        </is>
      </c>
      <c r="R133" s="42" t="inlineStr">
        <is>
          <t>+9.9</t>
        </is>
      </c>
      <c r="S133" s="42" t="inlineStr">
        <is>
          <t>-2.9</t>
        </is>
      </c>
      <c r="T133" s="42" t="inlineStr">
        <is>
          <t>Away</t>
        </is>
      </c>
      <c r="U133" s="65" t="inlineStr">
        <is>
          <t>Win</t>
        </is>
      </c>
      <c r="V133" s="42" t="inlineStr">
        <is>
          <t>No</t>
        </is>
      </c>
      <c r="W133" s="42" t="inlineStr">
        <is>
          <t>Yes</t>
        </is>
      </c>
      <c r="X133" s="65" t="inlineStr">
        <is>
          <t>Gamma</t>
        </is>
      </c>
      <c r="Y133" s="42" t="inlineStr">
        <is>
          <t>+73.9</t>
        </is>
      </c>
      <c r="Z133" s="42" t="inlineStr">
        <is>
          <t>+18.7</t>
        </is>
      </c>
      <c r="AA133" s="42" t="inlineStr">
        <is>
          <t>+117.4</t>
        </is>
      </c>
      <c r="AB133" s="42" t="inlineStr">
        <is>
          <t>-111.7</t>
        </is>
      </c>
    </row>
    <row r="134">
      <c r="A134" s="42" t="n">
        <v>6</v>
      </c>
      <c r="B134" s="42" t="inlineStr">
        <is>
          <t>Wyoming @ San José State</t>
        </is>
      </c>
      <c r="C134" s="42" t="inlineStr">
        <is>
          <t>16-13</t>
        </is>
      </c>
      <c r="D134" s="42" t="inlineStr">
        <is>
          <t>-4.2</t>
        </is>
      </c>
      <c r="E134" s="42" t="inlineStr">
        <is>
          <t>-3.0</t>
        </is>
      </c>
      <c r="F134" s="42" t="inlineStr">
        <is>
          <t>+1.2</t>
        </is>
      </c>
      <c r="G134" s="42" t="inlineStr">
        <is>
          <t>-5.5</t>
        </is>
      </c>
      <c r="H134" s="42" t="inlineStr">
        <is>
          <t>Away</t>
        </is>
      </c>
      <c r="I134" s="65" t="inlineStr">
        <is>
          <t>Win</t>
        </is>
      </c>
      <c r="J134" s="42" t="inlineStr">
        <is>
          <t>-0.4</t>
        </is>
      </c>
      <c r="K134" s="42" t="inlineStr">
        <is>
          <t>-3.8</t>
        </is>
      </c>
      <c r="L134" s="42" t="inlineStr">
        <is>
          <t>Away</t>
        </is>
      </c>
      <c r="M134" s="65" t="inlineStr">
        <is>
          <t>Win</t>
        </is>
      </c>
      <c r="N134" s="42" t="inlineStr">
        <is>
          <t>-5.0</t>
        </is>
      </c>
      <c r="O134" s="42" t="inlineStr">
        <is>
          <t>+0.8</t>
        </is>
      </c>
      <c r="P134" s="42" t="inlineStr">
        <is>
          <t>Home</t>
        </is>
      </c>
      <c r="Q134" s="66" t="inlineStr">
        <is>
          <t>Loss (no real edge)</t>
        </is>
      </c>
      <c r="R134" s="42" t="inlineStr">
        <is>
          <t>-7.5</t>
        </is>
      </c>
      <c r="S134" s="42" t="inlineStr">
        <is>
          <t>+3.3</t>
        </is>
      </c>
      <c r="T134" s="42" t="inlineStr">
        <is>
          <t>Home</t>
        </is>
      </c>
      <c r="U134" s="66" t="inlineStr">
        <is>
          <t>Loss</t>
        </is>
      </c>
      <c r="V134" s="42" t="inlineStr">
        <is>
          <t>Yes</t>
        </is>
      </c>
      <c r="W134" s="42" t="inlineStr">
        <is>
          <t>No</t>
        </is>
      </c>
      <c r="X134" s="65" t="inlineStr">
        <is>
          <t>Gamma</t>
        </is>
      </c>
      <c r="Y134" s="42" t="inlineStr">
        <is>
          <t>+68.4</t>
        </is>
      </c>
      <c r="Z134" s="42" t="inlineStr">
        <is>
          <t>+14.9</t>
        </is>
      </c>
      <c r="AA134" s="42" t="inlineStr">
        <is>
          <t>+118.1</t>
        </is>
      </c>
      <c r="AB134" s="42" t="inlineStr">
        <is>
          <t>-108.5</t>
        </is>
      </c>
    </row>
    <row r="135">
      <c r="A135" s="42" t="n">
        <v>6</v>
      </c>
      <c r="B135" s="42" t="inlineStr">
        <is>
          <t>North Dakota State @ UNLV</t>
        </is>
      </c>
      <c r="C135" s="42" t="inlineStr">
        <is>
          <t>7-13</t>
        </is>
      </c>
      <c r="D135" s="42" t="inlineStr">
        <is>
          <t>+2.8</t>
        </is>
      </c>
      <c r="E135" s="42" t="inlineStr">
        <is>
          <t>+6.0</t>
        </is>
      </c>
      <c r="F135" s="42" t="inlineStr">
        <is>
          <t>+8.1</t>
        </is>
      </c>
      <c r="G135" s="42" t="inlineStr">
        <is>
          <t>-5.3</t>
        </is>
      </c>
      <c r="H135" s="42" t="inlineStr">
        <is>
          <t>Away</t>
        </is>
      </c>
      <c r="I135" s="66" t="inlineStr">
        <is>
          <t>Loss</t>
        </is>
      </c>
      <c r="J135" s="42" t="inlineStr">
        <is>
          <t>+5.2</t>
        </is>
      </c>
      <c r="K135" s="42" t="inlineStr">
        <is>
          <t>-2.5</t>
        </is>
      </c>
      <c r="L135" s="42" t="inlineStr">
        <is>
          <t>Away</t>
        </is>
      </c>
      <c r="M135" s="66" t="inlineStr">
        <is>
          <t>Loss</t>
        </is>
      </c>
      <c r="N135" s="42" t="inlineStr">
        <is>
          <t>+12.1</t>
        </is>
      </c>
      <c r="O135" s="42" t="inlineStr">
        <is>
          <t>-9.4</t>
        </is>
      </c>
      <c r="P135" s="42" t="inlineStr">
        <is>
          <t>Away</t>
        </is>
      </c>
      <c r="Q135" s="66" t="inlineStr">
        <is>
          <t>Loss</t>
        </is>
      </c>
      <c r="R135" s="42" t="inlineStr">
        <is>
          <t>+9.4</t>
        </is>
      </c>
      <c r="S135" s="42" t="inlineStr">
        <is>
          <t>-6.6</t>
        </is>
      </c>
      <c r="T135" s="42" t="inlineStr">
        <is>
          <t>Away</t>
        </is>
      </c>
      <c r="U135" s="66" t="inlineStr">
        <is>
          <t>Loss</t>
        </is>
      </c>
      <c r="V135" s="42" t="inlineStr">
        <is>
          <t>Yes</t>
        </is>
      </c>
      <c r="W135" s="42" t="inlineStr">
        <is>
          <t>Yes</t>
        </is>
      </c>
      <c r="X135" s="65" t="inlineStr">
        <is>
          <t>XGBoost</t>
        </is>
      </c>
      <c r="Y135" s="42" t="inlineStr">
        <is>
          <t>+63.1</t>
        </is>
      </c>
      <c r="Z135" s="42" t="inlineStr">
        <is>
          <t>+12.4</t>
        </is>
      </c>
      <c r="AA135" s="42" t="inlineStr">
        <is>
          <t>+108.7</t>
        </is>
      </c>
      <c r="AB135" s="42" t="inlineStr">
        <is>
          <t>-115.1</t>
        </is>
      </c>
    </row>
    <row r="136">
      <c r="A136" s="42" t="n">
        <v>6</v>
      </c>
      <c r="B136" s="42" t="inlineStr">
        <is>
          <t>Nevada @ UTEP</t>
        </is>
      </c>
      <c r="C136" s="42" t="inlineStr">
        <is>
          <t>30-13</t>
        </is>
      </c>
      <c r="D136" s="42" t="inlineStr">
        <is>
          <t>+10.0</t>
        </is>
      </c>
      <c r="E136" s="42" t="inlineStr">
        <is>
          <t>-17.0</t>
        </is>
      </c>
      <c r="F136" s="42" t="inlineStr">
        <is>
          <t>+4.9</t>
        </is>
      </c>
      <c r="G136" s="42" t="inlineStr">
        <is>
          <t>+5.1</t>
        </is>
      </c>
      <c r="H136" s="42" t="inlineStr">
        <is>
          <t>Home</t>
        </is>
      </c>
      <c r="I136" s="66" t="inlineStr">
        <is>
          <t>Loss</t>
        </is>
      </c>
      <c r="J136" s="42" t="inlineStr">
        <is>
          <t>+5.5</t>
        </is>
      </c>
      <c r="K136" s="42" t="inlineStr">
        <is>
          <t>+4.5</t>
        </is>
      </c>
      <c r="L136" s="42" t="inlineStr">
        <is>
          <t>Home</t>
        </is>
      </c>
      <c r="M136" s="66" t="inlineStr">
        <is>
          <t>Loss</t>
        </is>
      </c>
      <c r="N136" s="42" t="inlineStr">
        <is>
          <t>+7.3</t>
        </is>
      </c>
      <c r="O136" s="42" t="inlineStr">
        <is>
          <t>+2.7</t>
        </is>
      </c>
      <c r="P136" s="42" t="inlineStr">
        <is>
          <t>Home</t>
        </is>
      </c>
      <c r="Q136" s="66" t="inlineStr">
        <is>
          <t>Loss</t>
        </is>
      </c>
      <c r="R136" s="42" t="inlineStr">
        <is>
          <t>+11.7</t>
        </is>
      </c>
      <c r="S136" s="42" t="inlineStr">
        <is>
          <t>-1.7</t>
        </is>
      </c>
      <c r="T136" s="42" t="inlineStr">
        <is>
          <t>Away</t>
        </is>
      </c>
      <c r="U136" s="65" t="inlineStr">
        <is>
          <t>Win (no real edge)</t>
        </is>
      </c>
      <c r="V136" s="42" t="inlineStr">
        <is>
          <t>Yes</t>
        </is>
      </c>
      <c r="W136" s="42" t="inlineStr">
        <is>
          <t>Yes</t>
        </is>
      </c>
      <c r="X136" s="65" t="inlineStr">
        <is>
          <t>Massey</t>
        </is>
      </c>
      <c r="Y136" s="42" t="inlineStr">
        <is>
          <t>+68.2</t>
        </is>
      </c>
      <c r="Z136" s="42" t="inlineStr">
        <is>
          <t>+16.9</t>
        </is>
      </c>
      <c r="AA136" s="42" t="inlineStr">
        <is>
          <t>+111.5</t>
        </is>
      </c>
      <c r="AB136" s="42" t="inlineStr">
        <is>
          <t>-116.8</t>
        </is>
      </c>
    </row>
    <row r="137">
      <c r="A137" s="42" t="n">
        <v>7</v>
      </c>
      <c r="B137" s="42" t="inlineStr">
        <is>
          <t>UNLV @ Air Force</t>
        </is>
      </c>
      <c r="C137" s="42" t="inlineStr">
        <is>
          <t>31-41</t>
        </is>
      </c>
      <c r="D137" s="42" t="inlineStr">
        <is>
          <t>-0.2</t>
        </is>
      </c>
      <c r="E137" s="42" t="inlineStr">
        <is>
          <t>+10.0</t>
        </is>
      </c>
      <c r="F137" s="42" t="inlineStr">
        <is>
          <t>+4.7</t>
        </is>
      </c>
      <c r="G137" s="42" t="inlineStr">
        <is>
          <t>-5.0</t>
        </is>
      </c>
      <c r="H137" s="42" t="inlineStr">
        <is>
          <t>Away</t>
        </is>
      </c>
      <c r="I137" s="66" t="inlineStr">
        <is>
          <t>Loss</t>
        </is>
      </c>
      <c r="J137" s="42" t="inlineStr">
        <is>
          <t>+0.4</t>
        </is>
      </c>
      <c r="K137" s="42" t="inlineStr">
        <is>
          <t>-0.6</t>
        </is>
      </c>
      <c r="L137" s="42" t="inlineStr">
        <is>
          <t>Home</t>
        </is>
      </c>
      <c r="M137" s="65" t="inlineStr">
        <is>
          <t>Win (no real edge)</t>
        </is>
      </c>
      <c r="N137" s="42" t="inlineStr">
        <is>
          <t>+3.7</t>
        </is>
      </c>
      <c r="O137" s="42" t="inlineStr">
        <is>
          <t>-4.0</t>
        </is>
      </c>
      <c r="P137" s="42" t="inlineStr">
        <is>
          <t>Away</t>
        </is>
      </c>
      <c r="Q137" s="66" t="inlineStr">
        <is>
          <t>Loss</t>
        </is>
      </c>
      <c r="R137" s="42" t="inlineStr">
        <is>
          <t>-5.0</t>
        </is>
      </c>
      <c r="S137" s="42" t="inlineStr">
        <is>
          <t>+4.8</t>
        </is>
      </c>
      <c r="T137" s="42" t="inlineStr">
        <is>
          <t>Home</t>
        </is>
      </c>
      <c r="U137" s="65" t="inlineStr">
        <is>
          <t>Win</t>
        </is>
      </c>
      <c r="V137" s="42" t="inlineStr">
        <is>
          <t>No</t>
        </is>
      </c>
      <c r="W137" s="42" t="inlineStr">
        <is>
          <t>Yes</t>
        </is>
      </c>
      <c r="X137" s="65" t="inlineStr">
        <is>
          <t>XGBoost</t>
        </is>
      </c>
      <c r="Y137" s="42" t="inlineStr">
        <is>
          <t>+63.2</t>
        </is>
      </c>
      <c r="Z137" s="42" t="inlineStr">
        <is>
          <t>+16.3</t>
        </is>
      </c>
      <c r="AA137" s="42" t="inlineStr">
        <is>
          <t>+107.5</t>
        </is>
      </c>
      <c r="AB137" s="42" t="inlineStr">
        <is>
          <t>-112.0</t>
        </is>
      </c>
    </row>
    <row r="138">
      <c r="A138" s="42" t="n">
        <v>7</v>
      </c>
      <c r="B138" s="42" t="inlineStr">
        <is>
          <t>New Mexico @ Hawai'i</t>
        </is>
      </c>
      <c r="C138" s="42" t="inlineStr">
        <is>
          <t>21-10</t>
        </is>
      </c>
      <c r="D138" s="42" t="inlineStr">
        <is>
          <t>+14.5</t>
        </is>
      </c>
      <c r="E138" s="42" t="inlineStr">
        <is>
          <t>-11.0</t>
        </is>
      </c>
      <c r="F138" s="42" t="inlineStr">
        <is>
          <t>+14.3</t>
        </is>
      </c>
      <c r="G138" s="42" t="inlineStr">
        <is>
          <t>+0.2</t>
        </is>
      </c>
      <c r="H138" s="42" t="inlineStr">
        <is>
          <t>Away</t>
        </is>
      </c>
      <c r="I138" s="66" t="inlineStr">
        <is>
          <t>Loss (no real edge)</t>
        </is>
      </c>
      <c r="J138" s="42" t="inlineStr">
        <is>
          <t>+7.6</t>
        </is>
      </c>
      <c r="K138" s="42" t="inlineStr">
        <is>
          <t>+6.9</t>
        </is>
      </c>
      <c r="L138" s="42" t="inlineStr">
        <is>
          <t>Home</t>
        </is>
      </c>
      <c r="M138" s="65" t="inlineStr">
        <is>
          <t>Win</t>
        </is>
      </c>
      <c r="N138" s="42" t="inlineStr">
        <is>
          <t>+10.3</t>
        </is>
      </c>
      <c r="O138" s="42" t="inlineStr">
        <is>
          <t>+4.2</t>
        </is>
      </c>
      <c r="P138" s="42" t="inlineStr">
        <is>
          <t>Home</t>
        </is>
      </c>
      <c r="Q138" s="65" t="inlineStr">
        <is>
          <t>Win</t>
        </is>
      </c>
      <c r="R138" s="42" t="inlineStr">
        <is>
          <t>+23.5</t>
        </is>
      </c>
      <c r="S138" s="42" t="inlineStr">
        <is>
          <t>-9.0</t>
        </is>
      </c>
      <c r="T138" s="42" t="inlineStr">
        <is>
          <t>Away</t>
        </is>
      </c>
      <c r="U138" s="66" t="inlineStr">
        <is>
          <t>Loss</t>
        </is>
      </c>
      <c r="V138" s="42" t="inlineStr">
        <is>
          <t>No</t>
        </is>
      </c>
      <c r="W138" s="42" t="inlineStr">
        <is>
          <t>No</t>
        </is>
      </c>
      <c r="X138" s="65" t="inlineStr">
        <is>
          <t>Ridge</t>
        </is>
      </c>
      <c r="Y138" s="42" t="inlineStr">
        <is>
          <t>+63.4</t>
        </is>
      </c>
      <c r="Z138" s="42" t="inlineStr">
        <is>
          <t>+23.2</t>
        </is>
      </c>
      <c r="AA138" s="42" t="inlineStr">
        <is>
          <t>+111.7</t>
        </is>
      </c>
      <c r="AB138" s="42" t="inlineStr">
        <is>
          <t>-121.1</t>
        </is>
      </c>
    </row>
    <row r="139">
      <c r="A139" s="42" t="n">
        <v>7</v>
      </c>
      <c r="B139" s="42" t="inlineStr">
        <is>
          <t>Nevada @ North Dakota State</t>
        </is>
      </c>
      <c r="C139" s="42" t="inlineStr">
        <is>
          <t>17-31</t>
        </is>
      </c>
      <c r="D139" s="42" t="inlineStr">
        <is>
          <t>-14.2</t>
        </is>
      </c>
      <c r="E139" s="42" t="inlineStr">
        <is>
          <t>+14.0</t>
        </is>
      </c>
      <c r="F139" s="42" t="inlineStr">
        <is>
          <t>-23.3</t>
        </is>
      </c>
      <c r="G139" s="42" t="inlineStr">
        <is>
          <t>+9.1</t>
        </is>
      </c>
      <c r="H139" s="42" t="inlineStr">
        <is>
          <t>Home</t>
        </is>
      </c>
      <c r="I139" s="66" t="inlineStr">
        <is>
          <t>Loss</t>
        </is>
      </c>
      <c r="J139" s="42" t="inlineStr">
        <is>
          <t>-22.3</t>
        </is>
      </c>
      <c r="K139" s="42" t="inlineStr">
        <is>
          <t>+8.0</t>
        </is>
      </c>
      <c r="L139" s="42" t="inlineStr">
        <is>
          <t>Home</t>
        </is>
      </c>
      <c r="M139" s="66" t="inlineStr">
        <is>
          <t>Loss</t>
        </is>
      </c>
      <c r="N139" s="42" t="inlineStr">
        <is>
          <t>-24.9</t>
        </is>
      </c>
      <c r="O139" s="42" t="inlineStr">
        <is>
          <t>+10.6</t>
        </is>
      </c>
      <c r="P139" s="42" t="inlineStr">
        <is>
          <t>Home</t>
        </is>
      </c>
      <c r="Q139" s="66" t="inlineStr">
        <is>
          <t>Loss</t>
        </is>
      </c>
      <c r="R139" s="42" t="inlineStr">
        <is>
          <t>-13.4</t>
        </is>
      </c>
      <c r="S139" s="42" t="inlineStr">
        <is>
          <t>-0.9</t>
        </is>
      </c>
      <c r="T139" s="42" t="inlineStr">
        <is>
          <t>Home</t>
        </is>
      </c>
      <c r="U139" s="66" t="inlineStr">
        <is>
          <t>Loss (no real edge)</t>
        </is>
      </c>
      <c r="V139" s="42" t="inlineStr">
        <is>
          <t>Yes</t>
        </is>
      </c>
      <c r="W139" s="42" t="inlineStr">
        <is>
          <t>Yes</t>
        </is>
      </c>
      <c r="X139" s="65" t="inlineStr">
        <is>
          <t>Massey</t>
        </is>
      </c>
      <c r="Y139" s="42" t="inlineStr">
        <is>
          <t>+72.4</t>
        </is>
      </c>
      <c r="Z139" s="42" t="inlineStr">
        <is>
          <t>+31.2</t>
        </is>
      </c>
      <c r="AA139" s="42" t="inlineStr">
        <is>
          <t>+122.3</t>
        </is>
      </c>
      <c r="AB139" s="42" t="inlineStr">
        <is>
          <t>-122.0</t>
        </is>
      </c>
    </row>
    <row r="140">
      <c r="A140" s="42" t="n">
        <v>7</v>
      </c>
      <c r="B140" s="42" t="inlineStr">
        <is>
          <t>San José State @ UTEP</t>
        </is>
      </c>
      <c r="C140" s="42" t="inlineStr">
        <is>
          <t>24-11</t>
        </is>
      </c>
      <c r="D140" s="42" t="inlineStr">
        <is>
          <t>+6.8</t>
        </is>
      </c>
      <c r="E140" s="42" t="inlineStr">
        <is>
          <t>-13.0</t>
        </is>
      </c>
      <c r="F140" s="42" t="inlineStr">
        <is>
          <t>+5.5</t>
        </is>
      </c>
      <c r="G140" s="42" t="inlineStr">
        <is>
          <t>+1.3</t>
        </is>
      </c>
      <c r="H140" s="42" t="inlineStr">
        <is>
          <t>Home</t>
        </is>
      </c>
      <c r="I140" s="66" t="inlineStr">
        <is>
          <t>Loss (no real edge)</t>
        </is>
      </c>
      <c r="J140" s="42" t="inlineStr">
        <is>
          <t>+2.4</t>
        </is>
      </c>
      <c r="K140" s="42" t="inlineStr">
        <is>
          <t>+4.4</t>
        </is>
      </c>
      <c r="L140" s="42" t="inlineStr">
        <is>
          <t>Home</t>
        </is>
      </c>
      <c r="M140" s="66" t="inlineStr">
        <is>
          <t>Loss</t>
        </is>
      </c>
      <c r="N140" s="42" t="inlineStr">
        <is>
          <t>+0.9</t>
        </is>
      </c>
      <c r="O140" s="42" t="inlineStr">
        <is>
          <t>+5.8</t>
        </is>
      </c>
      <c r="P140" s="42" t="inlineStr">
        <is>
          <t>Home</t>
        </is>
      </c>
      <c r="Q140" s="66" t="inlineStr">
        <is>
          <t>Loss</t>
        </is>
      </c>
      <c r="R140" s="42" t="inlineStr">
        <is>
          <t>+9.6</t>
        </is>
      </c>
      <c r="S140" s="42" t="inlineStr">
        <is>
          <t>-2.9</t>
        </is>
      </c>
      <c r="T140" s="42" t="inlineStr">
        <is>
          <t>Away</t>
        </is>
      </c>
      <c r="U140" s="65" t="inlineStr">
        <is>
          <t>Win</t>
        </is>
      </c>
      <c r="V140" s="42" t="inlineStr">
        <is>
          <t>Yes</t>
        </is>
      </c>
      <c r="W140" s="42" t="inlineStr">
        <is>
          <t>Yes</t>
        </is>
      </c>
      <c r="X140" s="65" t="inlineStr">
        <is>
          <t>Ridge</t>
        </is>
      </c>
      <c r="Y140" s="42" t="inlineStr">
        <is>
          <t>+73.7</t>
        </is>
      </c>
      <c r="Z140" s="42" t="inlineStr">
        <is>
          <t>+35.6</t>
        </is>
      </c>
      <c r="AA140" s="42" t="inlineStr">
        <is>
          <t>+128.2</t>
        </is>
      </c>
      <c r="AB140" s="42" t="inlineStr">
        <is>
          <t>-124.8</t>
        </is>
      </c>
    </row>
    <row r="141">
      <c r="A141" s="42" t="n">
        <v>7</v>
      </c>
      <c r="B141" s="42" t="inlineStr">
        <is>
          <t>Northern Illinois @ Wyoming</t>
        </is>
      </c>
      <c r="C141" s="42" t="inlineStr">
        <is>
          <t>23-41</t>
        </is>
      </c>
      <c r="D141" s="42" t="inlineStr">
        <is>
          <t>-7.5</t>
        </is>
      </c>
      <c r="E141" s="42" t="inlineStr">
        <is>
          <t>+18.0</t>
        </is>
      </c>
      <c r="F141" s="42" t="inlineStr">
        <is>
          <t>-7.8</t>
        </is>
      </c>
      <c r="G141" s="42" t="inlineStr">
        <is>
          <t>+0.3</t>
        </is>
      </c>
      <c r="H141" s="42" t="inlineStr">
        <is>
          <t>Home</t>
        </is>
      </c>
      <c r="I141" s="65" t="inlineStr">
        <is>
          <t>Win (no real edge)</t>
        </is>
      </c>
      <c r="J141" s="42" t="inlineStr">
        <is>
          <t>-6.6</t>
        </is>
      </c>
      <c r="K141" s="42" t="inlineStr">
        <is>
          <t>-0.9</t>
        </is>
      </c>
      <c r="L141" s="42" t="inlineStr">
        <is>
          <t>Home</t>
        </is>
      </c>
      <c r="M141" s="65" t="inlineStr">
        <is>
          <t>Win (no real edge)</t>
        </is>
      </c>
      <c r="N141" s="42" t="inlineStr">
        <is>
          <t>-11.7</t>
        </is>
      </c>
      <c r="O141" s="42" t="inlineStr">
        <is>
          <t>+4.2</t>
        </is>
      </c>
      <c r="P141" s="42" t="inlineStr">
        <is>
          <t>Home</t>
        </is>
      </c>
      <c r="Q141" s="65" t="inlineStr">
        <is>
          <t>Win</t>
        </is>
      </c>
      <c r="R141" s="42" t="inlineStr">
        <is>
          <t>-7.2</t>
        </is>
      </c>
      <c r="S141" s="42" t="inlineStr">
        <is>
          <t>-0.3</t>
        </is>
      </c>
      <c r="T141" s="42" t="inlineStr">
        <is>
          <t>Home</t>
        </is>
      </c>
      <c r="U141" s="65" t="inlineStr">
        <is>
          <t>Win (no real edge)</t>
        </is>
      </c>
      <c r="V141" s="42" t="inlineStr">
        <is>
          <t>Yes</t>
        </is>
      </c>
      <c r="W141" s="42" t="inlineStr">
        <is>
          <t>Yes</t>
        </is>
      </c>
      <c r="X141" s="65" t="inlineStr">
        <is>
          <t>Ridge</t>
        </is>
      </c>
      <c r="Y141" s="42" t="inlineStr">
        <is>
          <t>+74.0</t>
        </is>
      </c>
      <c r="Z141" s="42" t="inlineStr">
        <is>
          <t>+34.7</t>
        </is>
      </c>
      <c r="AA141" s="42" t="inlineStr">
        <is>
          <t>+132.4</t>
        </is>
      </c>
      <c r="AB141" s="42" t="inlineStr">
        <is>
          <t>-125.2</t>
        </is>
      </c>
    </row>
    <row r="142">
      <c r="A142" s="42" t="n">
        <v>8</v>
      </c>
      <c r="B142" s="42" t="inlineStr">
        <is>
          <t>San José State @ Nevada</t>
        </is>
      </c>
      <c r="C142" s="42" t="inlineStr">
        <is>
          <t>13-28</t>
        </is>
      </c>
      <c r="D142" s="42" t="inlineStr">
        <is>
          <t>-5.8</t>
        </is>
      </c>
      <c r="E142" s="42" t="inlineStr">
        <is>
          <t>+15.0</t>
        </is>
      </c>
      <c r="F142" s="42" t="inlineStr">
        <is>
          <t>-3.3</t>
        </is>
      </c>
      <c r="G142" s="42" t="inlineStr">
        <is>
          <t>-2.4</t>
        </is>
      </c>
      <c r="H142" s="42" t="inlineStr">
        <is>
          <t>Away</t>
        </is>
      </c>
      <c r="I142" s="66" t="inlineStr">
        <is>
          <t>Loss</t>
        </is>
      </c>
      <c r="J142" s="42" t="inlineStr">
        <is>
          <t>-4.2</t>
        </is>
      </c>
      <c r="K142" s="42" t="inlineStr">
        <is>
          <t>-1.5</t>
        </is>
      </c>
      <c r="L142" s="42" t="inlineStr">
        <is>
          <t>Away</t>
        </is>
      </c>
      <c r="M142" s="66" t="inlineStr">
        <is>
          <t>Loss (no real edge)</t>
        </is>
      </c>
      <c r="N142" s="42" t="inlineStr">
        <is>
          <t>-10.3</t>
        </is>
      </c>
      <c r="O142" s="42" t="inlineStr">
        <is>
          <t>+4.5</t>
        </is>
      </c>
      <c r="P142" s="42" t="inlineStr">
        <is>
          <t>Home</t>
        </is>
      </c>
      <c r="Q142" s="65" t="inlineStr">
        <is>
          <t>Win</t>
        </is>
      </c>
      <c r="R142" s="42" t="inlineStr">
        <is>
          <t>-5.9</t>
        </is>
      </c>
      <c r="S142" s="42" t="inlineStr">
        <is>
          <t>+0.1</t>
        </is>
      </c>
      <c r="T142" s="42" t="inlineStr">
        <is>
          <t>Home</t>
        </is>
      </c>
      <c r="U142" s="65" t="inlineStr">
        <is>
          <t>Win (no real edge)</t>
        </is>
      </c>
      <c r="V142" s="42" t="inlineStr">
        <is>
          <t>Yes</t>
        </is>
      </c>
      <c r="W142" s="42" t="inlineStr">
        <is>
          <t>No</t>
        </is>
      </c>
      <c r="X142" s="65" t="inlineStr">
        <is>
          <t>Massey</t>
        </is>
      </c>
      <c r="Y142" s="42" t="inlineStr">
        <is>
          <t>+71.6</t>
        </is>
      </c>
      <c r="Z142" s="42" t="inlineStr">
        <is>
          <t>+33.2</t>
        </is>
      </c>
      <c r="AA142" s="42" t="inlineStr">
        <is>
          <t>+136.9</t>
        </is>
      </c>
      <c r="AB142" s="42" t="inlineStr">
        <is>
          <t>-125.0</t>
        </is>
      </c>
    </row>
    <row r="143">
      <c r="A143" s="42" t="n">
        <v>8</v>
      </c>
      <c r="B143" s="42" t="inlineStr">
        <is>
          <t>North Dakota State @ New Mexico</t>
        </is>
      </c>
      <c r="C143" s="42" t="inlineStr">
        <is>
          <t>16-21</t>
        </is>
      </c>
      <c r="D143" s="42" t="inlineStr">
        <is>
          <t>-4.8</t>
        </is>
      </c>
      <c r="E143" s="42" t="inlineStr">
        <is>
          <t>+5.0</t>
        </is>
      </c>
      <c r="F143" s="42" t="inlineStr">
        <is>
          <t>+5.7</t>
        </is>
      </c>
      <c r="G143" s="42" t="inlineStr">
        <is>
          <t>-10.4</t>
        </is>
      </c>
      <c r="H143" s="42" t="inlineStr">
        <is>
          <t>Away</t>
        </is>
      </c>
      <c r="I143" s="66" t="inlineStr">
        <is>
          <t>Loss</t>
        </is>
      </c>
      <c r="J143" s="42" t="inlineStr">
        <is>
          <t>+3.6</t>
        </is>
      </c>
      <c r="K143" s="42" t="inlineStr">
        <is>
          <t>-8.3</t>
        </is>
      </c>
      <c r="L143" s="42" t="inlineStr">
        <is>
          <t>Away</t>
        </is>
      </c>
      <c r="M143" s="66" t="inlineStr">
        <is>
          <t>Loss</t>
        </is>
      </c>
      <c r="N143" s="42" t="inlineStr">
        <is>
          <t>+2.9</t>
        </is>
      </c>
      <c r="O143" s="42" t="inlineStr">
        <is>
          <t>-7.6</t>
        </is>
      </c>
      <c r="P143" s="42" t="inlineStr">
        <is>
          <t>Away</t>
        </is>
      </c>
      <c r="Q143" s="66" t="inlineStr">
        <is>
          <t>Loss</t>
        </is>
      </c>
      <c r="R143" s="42" t="inlineStr">
        <is>
          <t>-7.4</t>
        </is>
      </c>
      <c r="S143" s="42" t="inlineStr">
        <is>
          <t>+2.7</t>
        </is>
      </c>
      <c r="T143" s="42" t="inlineStr">
        <is>
          <t>Home</t>
        </is>
      </c>
      <c r="U143" s="65" t="inlineStr">
        <is>
          <t>Win</t>
        </is>
      </c>
      <c r="V143" s="42" t="inlineStr">
        <is>
          <t>Yes</t>
        </is>
      </c>
      <c r="W143" s="42" t="inlineStr">
        <is>
          <t>Yes</t>
        </is>
      </c>
      <c r="X143" s="65" t="inlineStr">
        <is>
          <t>Massey</t>
        </is>
      </c>
      <c r="Y143" s="42" t="inlineStr">
        <is>
          <t>+61.1</t>
        </is>
      </c>
      <c r="Z143" s="42" t="inlineStr">
        <is>
          <t>+24.9</t>
        </is>
      </c>
      <c r="AA143" s="42" t="inlineStr">
        <is>
          <t>+129.3</t>
        </is>
      </c>
      <c r="AB143" s="42" t="inlineStr">
        <is>
          <t>-122.4</t>
        </is>
      </c>
    </row>
    <row r="144">
      <c r="A144" s="42" t="n">
        <v>8</v>
      </c>
      <c r="B144" s="42" t="inlineStr">
        <is>
          <t>Hawai'i @ Northern Illinois</t>
        </is>
      </c>
      <c r="C144" s="42" t="inlineStr">
        <is>
          <t>56-21</t>
        </is>
      </c>
      <c r="D144" s="42" t="inlineStr">
        <is>
          <t>+3.0</t>
        </is>
      </c>
      <c r="E144" s="42" t="inlineStr">
        <is>
          <t>-35.0</t>
        </is>
      </c>
      <c r="F144" s="42" t="inlineStr">
        <is>
          <t>+4.9</t>
        </is>
      </c>
      <c r="G144" s="42" t="inlineStr">
        <is>
          <t>-1.9</t>
        </is>
      </c>
      <c r="H144" s="42" t="inlineStr">
        <is>
          <t>Away</t>
        </is>
      </c>
      <c r="I144" s="65" t="inlineStr">
        <is>
          <t>Win (no real edge)</t>
        </is>
      </c>
      <c r="J144" s="42" t="inlineStr">
        <is>
          <t>+0.8</t>
        </is>
      </c>
      <c r="K144" s="42" t="inlineStr">
        <is>
          <t>+2.2</t>
        </is>
      </c>
      <c r="L144" s="42" t="inlineStr">
        <is>
          <t>Home</t>
        </is>
      </c>
      <c r="M144" s="66" t="inlineStr">
        <is>
          <t>Loss</t>
        </is>
      </c>
      <c r="N144" s="42" t="inlineStr">
        <is>
          <t>+5.2</t>
        </is>
      </c>
      <c r="O144" s="42" t="inlineStr">
        <is>
          <t>-2.2</t>
        </is>
      </c>
      <c r="P144" s="42" t="inlineStr">
        <is>
          <t>Away</t>
        </is>
      </c>
      <c r="Q144" s="65" t="inlineStr">
        <is>
          <t>Win</t>
        </is>
      </c>
      <c r="R144" s="42" t="inlineStr">
        <is>
          <t>+0.9</t>
        </is>
      </c>
      <c r="S144" s="42" t="inlineStr">
        <is>
          <t>+2.1</t>
        </is>
      </c>
      <c r="T144" s="42" t="inlineStr">
        <is>
          <t>Home</t>
        </is>
      </c>
      <c r="U144" s="66" t="inlineStr">
        <is>
          <t>Loss</t>
        </is>
      </c>
      <c r="V144" s="42" t="inlineStr">
        <is>
          <t>No</t>
        </is>
      </c>
      <c r="W144" s="42" t="inlineStr">
        <is>
          <t>Yes</t>
        </is>
      </c>
      <c r="X144" s="65" t="inlineStr">
        <is>
          <t>Ridge</t>
        </is>
      </c>
      <c r="Y144" s="42" t="inlineStr">
        <is>
          <t>+59.2</t>
        </is>
      </c>
      <c r="Z144" s="42" t="inlineStr">
        <is>
          <t>+27.1</t>
        </is>
      </c>
      <c r="AA144" s="42" t="inlineStr">
        <is>
          <t>+127.1</t>
        </is>
      </c>
      <c r="AB144" s="42" t="inlineStr">
        <is>
          <t>-120.3</t>
        </is>
      </c>
    </row>
    <row r="145">
      <c r="A145" s="42" t="n">
        <v>8</v>
      </c>
      <c r="B145" s="42" t="inlineStr">
        <is>
          <t>Air Force @ Wyoming</t>
        </is>
      </c>
      <c r="C145" s="42" t="inlineStr">
        <is>
          <t>14-28</t>
        </is>
      </c>
      <c r="D145" s="42" t="inlineStr">
        <is>
          <t>+7.0</t>
        </is>
      </c>
      <c r="E145" s="42" t="inlineStr">
        <is>
          <t>+14.0</t>
        </is>
      </c>
      <c r="F145" s="42" t="inlineStr">
        <is>
          <t>+6.2</t>
        </is>
      </c>
      <c r="G145" s="42" t="inlineStr">
        <is>
          <t>+0.8</t>
        </is>
      </c>
      <c r="H145" s="42" t="inlineStr">
        <is>
          <t>Away</t>
        </is>
      </c>
      <c r="I145" s="66" t="inlineStr">
        <is>
          <t>Loss (no real edge)</t>
        </is>
      </c>
      <c r="J145" s="42" t="inlineStr">
        <is>
          <t>+2.2</t>
        </is>
      </c>
      <c r="K145" s="42" t="inlineStr">
        <is>
          <t>+4.8</t>
        </is>
      </c>
      <c r="L145" s="42" t="inlineStr">
        <is>
          <t>Home</t>
        </is>
      </c>
      <c r="M145" s="65" t="inlineStr">
        <is>
          <t>Win</t>
        </is>
      </c>
      <c r="N145" s="42" t="inlineStr">
        <is>
          <t>+5.3</t>
        </is>
      </c>
      <c r="O145" s="42" t="inlineStr">
        <is>
          <t>+1.7</t>
        </is>
      </c>
      <c r="P145" s="42" t="inlineStr">
        <is>
          <t>Home</t>
        </is>
      </c>
      <c r="Q145" s="65" t="inlineStr">
        <is>
          <t>Win (no real edge)</t>
        </is>
      </c>
      <c r="R145" s="42" t="inlineStr">
        <is>
          <t>+7.6</t>
        </is>
      </c>
      <c r="S145" s="42" t="inlineStr">
        <is>
          <t>-0.6</t>
        </is>
      </c>
      <c r="T145" s="42" t="inlineStr">
        <is>
          <t>Away</t>
        </is>
      </c>
      <c r="U145" s="66" t="inlineStr">
        <is>
          <t>Loss (no real edge)</t>
        </is>
      </c>
      <c r="V145" s="42" t="inlineStr">
        <is>
          <t>No</t>
        </is>
      </c>
      <c r="W145" s="42" t="inlineStr">
        <is>
          <t>No</t>
        </is>
      </c>
      <c r="X145" s="65" t="inlineStr">
        <is>
          <t>Massey</t>
        </is>
      </c>
      <c r="Y145" s="42" t="inlineStr">
        <is>
          <t>+60.0</t>
        </is>
      </c>
      <c r="Z145" s="42" t="inlineStr">
        <is>
          <t>+31.9</t>
        </is>
      </c>
      <c r="AA145" s="42" t="inlineStr">
        <is>
          <t>+128.8</t>
        </is>
      </c>
      <c r="AB145" s="42" t="inlineStr">
        <is>
          <t>-120.9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2026-08-25T18:48:36Z</dcterms:created>
  <dcterms:modified xsi:type="dcterms:W3CDTF">2026-10-25T21:32:17Z</dcterms:modified>
  <cp:lastModifiedBy>Edward Andrewlevich</cp:lastModifiedBy>
  <cp:revision>0</cp:revision>
</cp:coreProperties>
</file>