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Read Me" sheetId="1" state="visible" r:id="rId3"/>
    <sheet name="Settings" sheetId="2" state="visible" r:id="rId4"/>
    <sheet name="Weekly Slate" sheetId="3" state="visible" r:id="rId5"/>
    <sheet name="Bet Log" sheetId="4" state="visible" r:id="rId6"/>
    <sheet name="Team Profiles" sheetId="5" state="visible" r:id="rId7"/>
    <sheet name="Model Comparison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<sst xmlns="http://schemas.openxmlformats.org/spreadsheetml/2006/main" count="608" uniqueCount="335">
  <si>
    <t xml:space="preserve">Mountain West Handicapping Tracker</t>
  </si>
  <si>
    <t xml:space="preserve">2026 Season</t>
  </si>
  <si>
    <t xml:space="preserve">How this workbook is meant to be used</t>
  </si>
  <si>
    <t xml:space="preserve">This workbook is the review/tracking cockpit -- the model itself runs in Python (see the</t>
  </si>
  <si>
    <t xml:space="preserve">attack plan and the src/ scripts). Each week, paste that week's model output into the blue</t>
  </si>
  <si>
    <t xml:space="preserve">cells on the Weekly Slate tab; everything else on that tab recalculates automatically.</t>
  </si>
  <si>
    <t xml:space="preserve">Color legend</t>
  </si>
  <si>
    <t xml:space="preserve">  Blue text      = cells you fill in by hand (model output, market lines, bet results)</t>
  </si>
  <si>
    <t xml:space="preserve">  Black text      = formulas -- don't type over these, they recalculate from the blue cells</t>
  </si>
  <si>
    <t xml:space="preserve">  Yellow fill     = key assumptions on the Settings tab (edit these once, not weekly)</t>
  </si>
  <si>
    <t xml:space="preserve">Tabs</t>
  </si>
  <si>
    <t xml:space="preserve">  Settings        = bankroll, edge thresholds, and other assumptions used across the workbook</t>
  </si>
  <si>
    <t xml:space="preserve">  Weekly Slate    = this week's matchups: model line vs. market line, edge, and a suggested lean</t>
  </si>
  <si>
    <t xml:space="preserve">  Bet Log         = every bet placed -- stake, line, closing line (for CLV), result, running bankroll</t>
  </si>
  <si>
    <t xml:space="preserve">  Team Profiles   = one row per 2026 Mountain West team, pre-filled with conference history;</t>
  </si>
  <si>
    <t xml:space="preserve">                    paste in power ratings / PPA / talent rank weekly as your pipeline produces them</t>
  </si>
  <si>
    <t xml:space="preserve">This is a tracking tool, not a guarantee of profit -- see the attack plan's closing note on</t>
  </si>
  <si>
    <t xml:space="preserve">paper-trading and bankroll discipline before staking real money.</t>
  </si>
  <si>
    <t xml:space="preserve">Settings &amp; Assumptions</t>
  </si>
  <si>
    <t xml:space="preserve">Assumption</t>
  </si>
  <si>
    <t xml:space="preserve">Value</t>
  </si>
  <si>
    <t xml:space="preserve">Notes</t>
  </si>
  <si>
    <t xml:space="preserve">Starting bankroll (units)</t>
  </si>
  <si>
    <t xml:space="preserve">Example: 100 units. 1 unit = whatever flat stake you choose in real currency.</t>
  </si>
  <si>
    <t xml:space="preserve">Spread edge threshold (pts)</t>
  </si>
  <si>
    <t xml:space="preserve">Minimum |model line - market line| before a spread is flagged as a lean.</t>
  </si>
  <si>
    <t xml:space="preserve">Total edge threshold (pts)</t>
  </si>
  <si>
    <t xml:space="preserve">Minimum |model total - market total| before a total is flagged as a lean.</t>
  </si>
  <si>
    <t xml:space="preserve">Standard vig odds (American)</t>
  </si>
  <si>
    <t xml:space="preserve">Reference only -- breakeven win rate at -110 is 52.4%.</t>
  </si>
  <si>
    <t xml:space="preserve">Week</t>
  </si>
  <si>
    <t xml:space="preserve">Date</t>
  </si>
  <si>
    <t xml:space="preserve">Away Team</t>
  </si>
  <si>
    <t xml:space="preserve">Home Team</t>
  </si>
  <si>
    <t xml:space="preserve">Model Line (Home)</t>
  </si>
  <si>
    <t xml:space="preserve">Market Line (Home)</t>
  </si>
  <si>
    <t xml:space="preserve">Spread Edge (pts)</t>
  </si>
  <si>
    <t xml:space="preserve">Spread Lean</t>
  </si>
  <si>
    <t xml:space="preserve">Model Total</t>
  </si>
  <si>
    <t xml:space="preserve">Market Total</t>
  </si>
  <si>
    <t xml:space="preserve">Total Edge (pts)</t>
  </si>
  <si>
    <t xml:space="preserve">Total Lean</t>
  </si>
  <si>
    <t xml:space="preserve">Suggested Bet (Spread)</t>
  </si>
  <si>
    <t xml:space="preserve">Suggested Bet (Total)</t>
  </si>
  <si>
    <t xml:space="preserve">Qualitative Notes</t>
  </si>
  <si>
    <t xml:space="preserve">Final Decision</t>
  </si>
  <si>
    <t xml:space="preserve">MW WEST Teams</t>
  </si>
  <si>
    <t xml:space="preserve">2026-08-29</t>
  </si>
  <si>
    <t xml:space="preserve">San José State</t>
  </si>
  <si>
    <t xml:space="preserve">USC</t>
  </si>
  <si>
    <t xml:space="preserve">Jacksonville State</t>
  </si>
  <si>
    <t xml:space="preserve">North Dakota State</t>
  </si>
  <si>
    <t xml:space="preserve">Hawai'i</t>
  </si>
  <si>
    <t xml:space="preserve">Stanford</t>
  </si>
  <si>
    <t xml:space="preserve">2026-08-30</t>
  </si>
  <si>
    <t xml:space="preserve">Memphis</t>
  </si>
  <si>
    <t xml:space="preserve">UNLV</t>
  </si>
  <si>
    <t xml:space="preserve">Air Force</t>
  </si>
  <si>
    <t xml:space="preserve">2026-09-04</t>
  </si>
  <si>
    <t xml:space="preserve">Eastern Michigan</t>
  </si>
  <si>
    <t xml:space="preserve">2026-09-05</t>
  </si>
  <si>
    <t xml:space="preserve">Duquesne</t>
  </si>
  <si>
    <t xml:space="preserve">Nevada</t>
  </si>
  <si>
    <t xml:space="preserve">Fordham</t>
  </si>
  <si>
    <t xml:space="preserve">New Mexico</t>
  </si>
  <si>
    <t xml:space="preserve">Northern Illinois</t>
  </si>
  <si>
    <t xml:space="preserve">Iowa</t>
  </si>
  <si>
    <t xml:space="preserve">Wyoming</t>
  </si>
  <si>
    <t xml:space="preserve">Colorado State</t>
  </si>
  <si>
    <t xml:space="preserve">UTEP</t>
  </si>
  <si>
    <t xml:space="preserve">Oklahoma</t>
  </si>
  <si>
    <t xml:space="preserve">2026-09-06</t>
  </si>
  <si>
    <t xml:space="preserve">Central Michigan</t>
  </si>
  <si>
    <t xml:space="preserve">Western Kentucky</t>
  </si>
  <si>
    <t xml:space="preserve">Matchup</t>
  </si>
  <si>
    <t xml:space="preserve">Bet Type</t>
  </si>
  <si>
    <t xml:space="preserve">Side</t>
  </si>
  <si>
    <t xml:space="preserve">Line Taken</t>
  </si>
  <si>
    <t xml:space="preserve">Odds (American)</t>
  </si>
  <si>
    <t xml:space="preserve">Stake (units)</t>
  </si>
  <si>
    <t xml:space="preserve">Closing Line</t>
  </si>
  <si>
    <t xml:space="preserve">CLV (pts)</t>
  </si>
  <si>
    <t xml:space="preserve">Result</t>
  </si>
  <si>
    <t xml:space="preserve">Units Won/Lost</t>
  </si>
  <si>
    <t xml:space="preserve">Running Bankroll</t>
  </si>
  <si>
    <t xml:space="preserve">Jacksonville State @ North Dakota State</t>
  </si>
  <si>
    <t xml:space="preserve">Spread</t>
  </si>
  <si>
    <t xml:space="preserve">W</t>
  </si>
  <si>
    <t xml:space="preserve">Moneyline</t>
  </si>
  <si>
    <t xml:space="preserve">Memphis @ UNLV</t>
  </si>
  <si>
    <t xml:space="preserve">L</t>
  </si>
  <si>
    <t xml:space="preserve">Jacksonville State @ North Dakota State,Memphis @ UNLV</t>
  </si>
  <si>
    <t xml:space="preserve">ML Parlay</t>
  </si>
  <si>
    <t xml:space="preserve">North Dakota State / UNLV</t>
  </si>
  <si>
    <t xml:space="preserve">San José State @ Eastern Michigan</t>
  </si>
  <si>
    <t xml:space="preserve">San José State @ Eastern Michigan, Wyoming at Colorado State</t>
  </si>
  <si>
    <t xml:space="preserve">Eastern Michigan, Colorado State</t>
  </si>
  <si>
    <t xml:space="preserve">Wyoming @  Colorado State</t>
  </si>
  <si>
    <t xml:space="preserve">Central Michigan @ New Mexico</t>
  </si>
  <si>
    <t xml:space="preserve">CLV note: Closing Line - Line Taken. For a favorite (negative number), a less-negative closing line than what you bet means the market moved toward you -- positive CLV. Read each row in context of which side you took.</t>
  </si>
  <si>
    <t xml:space="preserve">Team</t>
  </si>
  <si>
    <t xml:space="preserve">Prior Conference</t>
  </si>
  <si>
    <t xml:space="preserve">Joined 2026</t>
  </si>
  <si>
    <t xml:space="preserve">Model Power Rating</t>
  </si>
  <si>
    <t xml:space="preserve">SP+ Rating</t>
  </si>
  <si>
    <t xml:space="preserve">Off PPA</t>
  </si>
  <si>
    <t xml:space="preserve">Def PPA</t>
  </si>
  <si>
    <t xml:space="preserve">Talent Rank</t>
  </si>
  <si>
    <t xml:space="preserve">FCS (Missouri Valley Football Conference)</t>
  </si>
  <si>
    <t xml:space="preserve">Y</t>
  </si>
  <si>
    <t xml:space="preserve">Full MW history available. Option offense; home elevation ~6,621 ft.</t>
  </si>
  <si>
    <t xml:space="preserve">Mountain West</t>
  </si>
  <si>
    <t xml:space="preserve">N</t>
  </si>
  <si>
    <t xml:space="preserve">Full history. Travel distance/time-zone is a real situational factor for every road game.</t>
  </si>
  <si>
    <t xml:space="preserve">Full history available.</t>
  </si>
  <si>
    <t xml:space="preserve">Full history. Home elevation ~5,000+ ft.</t>
  </si>
  <si>
    <t xml:space="preserve"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</si>
  <si>
    <t xml:space="preserve">No MW history; bring its full MAC-era game log (already FBS, so it's in a plain division='fbs' pull).</t>
  </si>
  <si>
    <t xml:space="preserve">MAC</t>
  </si>
  <si>
    <t xml:space="preserve">Full history available. Watch for 'San Jose State' (no accent) in some sources — same team.</t>
  </si>
  <si>
    <t xml:space="preserve">No MW history; bring its full C-USA-era game log (already FBS).</t>
  </si>
  <si>
    <t xml:space="preserve">Conference USA</t>
  </si>
  <si>
    <t xml:space="preserve">Full history. Home elevation ~7,220 ft — coldest, highest venue in the league.</t>
  </si>
  <si>
    <t xml:space="preserve">Ridge vs. XGBoost -- Model Comparison</t>
  </si>
  <si>
    <t xml:space="preserve">Informational only. Ridge is still the live model everywhere else in this workbook and on the website -- XGBoost is a candidate being evaluated here, not a replacement.</t>
  </si>
  <si>
    <t xml:space="preserve">All-Time (every season in the backtest)</t>
  </si>
  <si>
    <t xml:space="preserve">Model</t>
  </si>
  <si>
    <t xml:space="preserve">Games Graded</t>
  </si>
  <si>
    <t xml:space="preserve">Bets Made</t>
  </si>
  <si>
    <t xml:space="preserve">Wins</t>
  </si>
  <si>
    <t xml:space="preserve">Losses</t>
  </si>
  <si>
    <t xml:space="preserve">Pushes</t>
  </si>
  <si>
    <t xml:space="preserve">ATS Win %</t>
  </si>
  <si>
    <t xml:space="preserve">ROI (flat stake)</t>
  </si>
  <si>
    <t xml:space="preserve">Tighter Than Other (CLV)</t>
  </si>
  <si>
    <t xml:space="preserve">CLV Pts (cum.)</t>
  </si>
  <si>
    <t xml:space="preserve">Ridge (live model) -- all FBS</t>
  </si>
  <si>
    <t xml:space="preserve">49.7%</t>
  </si>
  <si>
    <t xml:space="preserve">-5.0%</t>
  </si>
  <si>
    <t xml:space="preserve">4043/8529 (47%)</t>
  </si>
  <si>
    <t xml:space="preserve">+5655.9</t>
  </si>
  <si>
    <t xml:space="preserve">Ridge (live model) -- MW-involved</t>
  </si>
  <si>
    <t xml:space="preserve">49.4%</t>
  </si>
  <si>
    <t xml:space="preserve">-5.8%</t>
  </si>
  <si>
    <t xml:space="preserve">455/969 (47%)</t>
  </si>
  <si>
    <t xml:space="preserve">+600.8</t>
  </si>
  <si>
    <t xml:space="preserve">XGBoost (candidate) -- all FBS</t>
  </si>
  <si>
    <t xml:space="preserve">50.5%</t>
  </si>
  <si>
    <t xml:space="preserve">-3.5%</t>
  </si>
  <si>
    <t xml:space="preserve">4486/8529 (53%)</t>
  </si>
  <si>
    <t xml:space="preserve">+737.9</t>
  </si>
  <si>
    <t xml:space="preserve">XGBoost (candidate) -- MW-involved</t>
  </si>
  <si>
    <t xml:space="preserve">51.5%</t>
  </si>
  <si>
    <t xml:space="preserve">-1.7%</t>
  </si>
  <si>
    <t xml:space="preserve">514/969 (53%)</t>
  </si>
  <si>
    <t xml:space="preserve">+895.9</t>
  </si>
  <si>
    <t xml:space="preserve">2026 Season Only</t>
  </si>
  <si>
    <t xml:space="preserve">40.0%</t>
  </si>
  <si>
    <t xml:space="preserve">-23.6%</t>
  </si>
  <si>
    <t xml:space="preserve">43/96 (45%)</t>
  </si>
  <si>
    <t xml:space="preserve">-439.0</t>
  </si>
  <si>
    <t xml:space="preserve">36.4%</t>
  </si>
  <si>
    <t xml:space="preserve">-30.6%</t>
  </si>
  <si>
    <t xml:space="preserve">6/13 (46%)</t>
  </si>
  <si>
    <t xml:space="preserve">+11.2</t>
  </si>
  <si>
    <t xml:space="preserve">40.5%</t>
  </si>
  <si>
    <t xml:space="preserve">-22.7%</t>
  </si>
  <si>
    <t xml:space="preserve">53/96 (55%)</t>
  </si>
  <si>
    <t xml:space="preserve">-172.9</t>
  </si>
  <si>
    <t xml:space="preserve">22.2%</t>
  </si>
  <si>
    <t xml:space="preserve">-57.6%</t>
  </si>
  <si>
    <t xml:space="preserve">7/13 (54%)</t>
  </si>
  <si>
    <t xml:space="preserve">-13.3</t>
  </si>
  <si>
    <t xml:space="preserve">Ridge and XGBoost agree on which side to lean in 77.0% of all graded games.</t>
  </si>
  <si>
    <t xml:space="preserve">Upcoming Games -- Ridge vs. XGBoost (Not Yet Graded)</t>
  </si>
  <si>
    <t xml:space="preserve">Ridge Line</t>
  </si>
  <si>
    <t xml:space="preserve">XGBoost Line</t>
  </si>
  <si>
    <t xml:space="preserve">Ridge Lean</t>
  </si>
  <si>
    <t xml:space="preserve">XGBoost Lean</t>
  </si>
  <si>
    <t xml:space="preserve">Models Agree?</t>
  </si>
  <si>
    <t xml:space="preserve">Tighter (Live)*</t>
  </si>
  <si>
    <t xml:space="preserve">San José State @ USC</t>
  </si>
  <si>
    <t xml:space="preserve">-37.2</t>
  </si>
  <si>
    <t xml:space="preserve">-34.9</t>
  </si>
  <si>
    <t xml:space="preserve">-32.4</t>
  </si>
  <si>
    <t xml:space="preserve">Away</t>
  </si>
  <si>
    <t xml:space="preserve">Yes</t>
  </si>
  <si>
    <t xml:space="preserve">Ridge</t>
  </si>
  <si>
    <t xml:space="preserve">-6.8</t>
  </si>
  <si>
    <t xml:space="preserve">-18.9</t>
  </si>
  <si>
    <t xml:space="preserve">-16.0</t>
  </si>
  <si>
    <t xml:space="preserve">Home</t>
  </si>
  <si>
    <t xml:space="preserve">XGBoost</t>
  </si>
  <si>
    <t xml:space="preserve">Hawai'i @ Stanford</t>
  </si>
  <si>
    <t xml:space="preserve">-4.8</t>
  </si>
  <si>
    <t xml:space="preserve">-1.8</t>
  </si>
  <si>
    <t xml:space="preserve">-0.5</t>
  </si>
  <si>
    <t xml:space="preserve">-11.3</t>
  </si>
  <si>
    <t xml:space="preserve">-7.0</t>
  </si>
  <si>
    <t xml:space="preserve">-1.5</t>
  </si>
  <si>
    <t xml:space="preserve">-9.6</t>
  </si>
  <si>
    <t xml:space="preserve">UTEP @ Oklahoma</t>
  </si>
  <si>
    <t xml:space="preserve">-40.8</t>
  </si>
  <si>
    <t xml:space="preserve">-33.4</t>
  </si>
  <si>
    <t xml:space="preserve">Duquesne @ Air Force</t>
  </si>
  <si>
    <t xml:space="preserve">-30.0</t>
  </si>
  <si>
    <t xml:space="preserve">-17.3</t>
  </si>
  <si>
    <t xml:space="preserve">-29.2</t>
  </si>
  <si>
    <t xml:space="preserve">Fordham @ North Dakota State</t>
  </si>
  <si>
    <t xml:space="preserve">-41.5</t>
  </si>
  <si>
    <t xml:space="preserve">-39.8</t>
  </si>
  <si>
    <t xml:space="preserve">-32.6</t>
  </si>
  <si>
    <t xml:space="preserve">Northern Illinois @ Iowa</t>
  </si>
  <si>
    <t xml:space="preserve">-31.8</t>
  </si>
  <si>
    <t xml:space="preserve">-28.7</t>
  </si>
  <si>
    <t xml:space="preserve">-24.6</t>
  </si>
  <si>
    <t xml:space="preserve">Wyoming @ Colorado State</t>
  </si>
  <si>
    <t xml:space="preserve">-2.8</t>
  </si>
  <si>
    <t xml:space="preserve">-8.3</t>
  </si>
  <si>
    <t xml:space="preserve">-4.3</t>
  </si>
  <si>
    <t xml:space="preserve">UNLV @ Hawai'i</t>
  </si>
  <si>
    <t xml:space="preserve">+2.8</t>
  </si>
  <si>
    <t xml:space="preserve">+3.5</t>
  </si>
  <si>
    <t xml:space="preserve">-0.8</t>
  </si>
  <si>
    <t xml:space="preserve">No</t>
  </si>
  <si>
    <t xml:space="preserve">-11.2</t>
  </si>
  <si>
    <t xml:space="preserve">-18.2</t>
  </si>
  <si>
    <t xml:space="preserve">-12.9</t>
  </si>
  <si>
    <t xml:space="preserve">Western Kentucky @ Nevada</t>
  </si>
  <si>
    <t xml:space="preserve">+0.2</t>
  </si>
  <si>
    <t xml:space="preserve">+2.6</t>
  </si>
  <si>
    <t xml:space="preserve">+3.9</t>
  </si>
  <si>
    <t xml:space="preserve">* Tighter (Live) compares each model's line to TODAY's still-moving market line, not a final closing line -- it will keep changing until kickoff. See the graded Game-by-Game table below for the real, closing-line version of this comparison.</t>
  </si>
  <si>
    <t xml:space="preserve">2026 Mountain West Games -- Game by Game</t>
  </si>
  <si>
    <t xml:space="preserve">Final Score</t>
  </si>
  <si>
    <t xml:space="preserve">Vegas Spread (Home)</t>
  </si>
  <si>
    <t xml:space="preserve">Actual Margin (Home)</t>
  </si>
  <si>
    <t xml:space="preserve">Ridge Edge</t>
  </si>
  <si>
    <t xml:space="preserve">Ridge Result</t>
  </si>
  <si>
    <t xml:space="preserve">XGBoost Edge</t>
  </si>
  <si>
    <t xml:space="preserve">XGBoost Result</t>
  </si>
  <si>
    <t xml:space="preserve">Tighter CLV Line</t>
  </si>
  <si>
    <t xml:space="preserve">Ridge CLV Pts (Cum.)</t>
  </si>
  <si>
    <t xml:space="preserve">XGBoost CLV Pts (Cum.)</t>
  </si>
  <si>
    <t xml:space="preserve">0-34</t>
  </si>
  <si>
    <t xml:space="preserve">+34.0</t>
  </si>
  <si>
    <t xml:space="preserve">-17.0</t>
  </si>
  <si>
    <t xml:space="preserve">-13.0</t>
  </si>
  <si>
    <t xml:space="preserve">Loss</t>
  </si>
  <si>
    <t xml:space="preserve">-28.3</t>
  </si>
  <si>
    <t xml:space="preserve">-1.7</t>
  </si>
  <si>
    <t xml:space="preserve">Lean only</t>
  </si>
  <si>
    <t xml:space="preserve">13-35</t>
  </si>
  <si>
    <t xml:space="preserve">+22.0</t>
  </si>
  <si>
    <t xml:space="preserve">-7.8</t>
  </si>
  <si>
    <t xml:space="preserve">+5.1</t>
  </si>
  <si>
    <t xml:space="preserve">Win</t>
  </si>
  <si>
    <t xml:space="preserve">-2.5</t>
  </si>
  <si>
    <t xml:space="preserve">-0.2</t>
  </si>
  <si>
    <t xml:space="preserve">-7.9</t>
  </si>
  <si>
    <t xml:space="preserve">-1.9</t>
  </si>
  <si>
    <t xml:space="preserve">27-21</t>
  </si>
  <si>
    <t xml:space="preserve">-6.0</t>
  </si>
  <si>
    <t xml:space="preserve">-15.8</t>
  </si>
  <si>
    <t xml:space="preserve">+14.3</t>
  </si>
  <si>
    <t xml:space="preserve">-10.5</t>
  </si>
  <si>
    <t xml:space="preserve">+9.0</t>
  </si>
  <si>
    <t xml:space="preserve">+6.4</t>
  </si>
  <si>
    <t xml:space="preserve">+7.2</t>
  </si>
  <si>
    <t xml:space="preserve">21-6</t>
  </si>
  <si>
    <t xml:space="preserve">-15.0</t>
  </si>
  <si>
    <t xml:space="preserve">+2.9</t>
  </si>
  <si>
    <t xml:space="preserve">-0.1</t>
  </si>
  <si>
    <t xml:space="preserve">+4.6</t>
  </si>
  <si>
    <t xml:space="preserve">+6.2</t>
  </si>
  <si>
    <t xml:space="preserve">+11.8</t>
  </si>
  <si>
    <t xml:space="preserve">0-40</t>
  </si>
  <si>
    <t xml:space="preserve">+40.0</t>
  </si>
  <si>
    <t xml:space="preserve">-3.5</t>
  </si>
  <si>
    <t xml:space="preserve">-25.4</t>
  </si>
  <si>
    <t xml:space="preserve">-6.4</t>
  </si>
  <si>
    <t xml:space="preserve">+5.4</t>
  </si>
  <si>
    <t xml:space="preserve">14-49</t>
  </si>
  <si>
    <t xml:space="preserve">+35.0</t>
  </si>
  <si>
    <t xml:space="preserve">+3.3</t>
  </si>
  <si>
    <t xml:space="preserve">-3.0</t>
  </si>
  <si>
    <t xml:space="preserve">+7.3</t>
  </si>
  <si>
    <t xml:space="preserve">-7.1</t>
  </si>
  <si>
    <t xml:space="preserve">-0.3</t>
  </si>
  <si>
    <t xml:space="preserve">7-38</t>
  </si>
  <si>
    <t xml:space="preserve">+31.0</t>
  </si>
  <si>
    <t xml:space="preserve">-17.5</t>
  </si>
  <si>
    <t xml:space="preserve">-11.6</t>
  </si>
  <si>
    <t xml:space="preserve">+0.3</t>
  </si>
  <si>
    <t xml:space="preserve">+5.9</t>
  </si>
  <si>
    <t xml:space="preserve">-1.4</t>
  </si>
  <si>
    <t xml:space="preserve">7-33</t>
  </si>
  <si>
    <t xml:space="preserve">+26.0</t>
  </si>
  <si>
    <t xml:space="preserve">-18.4</t>
  </si>
  <si>
    <t xml:space="preserve">+11.6</t>
  </si>
  <si>
    <t xml:space="preserve">-14.4</t>
  </si>
  <si>
    <t xml:space="preserve">+7.7</t>
  </si>
  <si>
    <t xml:space="preserve">+17.6</t>
  </si>
  <si>
    <t xml:space="preserve">+6.3</t>
  </si>
  <si>
    <t xml:space="preserve">0-38</t>
  </si>
  <si>
    <t xml:space="preserve">+38.0</t>
  </si>
  <si>
    <t xml:space="preserve">-40.9</t>
  </si>
  <si>
    <t xml:space="preserve">-0.6</t>
  </si>
  <si>
    <t xml:space="preserve">-35.0</t>
  </si>
  <si>
    <t xml:space="preserve">-6.5</t>
  </si>
  <si>
    <t xml:space="preserve">+16.9</t>
  </si>
  <si>
    <t xml:space="preserve">0-51</t>
  </si>
  <si>
    <t xml:space="preserve">+51.0</t>
  </si>
  <si>
    <t xml:space="preserve">-34.8</t>
  </si>
  <si>
    <t xml:space="preserve">-5.9</t>
  </si>
  <si>
    <t xml:space="preserve">-32.8</t>
  </si>
  <si>
    <t xml:space="preserve">-8.0</t>
  </si>
  <si>
    <t xml:space="preserve">+11.0</t>
  </si>
  <si>
    <t xml:space="preserve">-8.2</t>
  </si>
  <si>
    <t xml:space="preserve">27-37</t>
  </si>
  <si>
    <t xml:space="preserve">+10.0</t>
  </si>
  <si>
    <t xml:space="preserve">-3.3</t>
  </si>
  <si>
    <t xml:space="preserve">+1.1</t>
  </si>
  <si>
    <t xml:space="preserve">-5.8</t>
  </si>
  <si>
    <t xml:space="preserve">-14.0</t>
  </si>
  <si>
    <t xml:space="preserve">-10.9</t>
  </si>
  <si>
    <t xml:space="preserve">-7.4</t>
  </si>
  <si>
    <t xml:space="preserve">+13.9</t>
  </si>
  <si>
    <t xml:space="preserve">-11.4</t>
  </si>
  <si>
    <t xml:space="preserve">26-42</t>
  </si>
  <si>
    <t xml:space="preserve">+16.0</t>
  </si>
  <si>
    <t xml:space="preserve">-34.6</t>
  </si>
  <si>
    <t xml:space="preserve">-2.7</t>
  </si>
  <si>
    <t xml:space="preserve">-35.3</t>
  </si>
  <si>
    <t xml:space="preserve">-2.0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</si>
</sst>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2"/>
      <charset val="1"/>
    </font>
    <font>
      <i val="true"/>
      <sz val="9"/>
      <color rgb="FF666666"/>
      <name val="Arial"/>
      <family val="2"/>
      <charset val="1"/>
    </font>
    <font>
      <sz val="10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FF"/>
      <name val="Arial"/>
      <family val="2"/>
      <charset val="1"/>
    </font>
    <font>
      <sz val="11"/>
      <name val="Calibri"/>
      <family val="2"/>
      <charset val="1"/>
    </font>
    <font>
      <b val="true"/>
      <sz val="1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FCE4EC"/>
      </patternFill>
    </fill>
    <fill>
      <patternFill patternType="solid">
        <fgColor rgb="FFFCE4EC"/>
        <bgColor rgb="FFE2EFDA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 diagonalUp="false" diagonalDown="false">
      <left style="thin">
        <color rgb="FFCCCCCC"/>
      </left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00B05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110"/>
  </cols>
  <sheetData>
    <row r="1" customFormat="false" ht="18" hidden="false" customHeight="true" outlineLevel="0" collapsed="false">
      <c r="A1" s="1" t="s">
        <v>0</v>
      </c>
    </row>
    <row r="2" customFormat="false" ht="14.25" hidden="false" customHeight="false" outlineLevel="0" collapsed="false">
      <c r="A2" s="2" t="s">
        <v>1</v>
      </c>
    </row>
    <row r="3" customFormat="false" ht="14.25" hidden="false" customHeight="false" outlineLevel="0" collapsed="false">
      <c r="A3" s="3"/>
    </row>
    <row r="4" customFormat="false" ht="14.25" hidden="false" customHeight="false" outlineLevel="0" collapsed="false">
      <c r="A4" s="4" t="s">
        <v>2</v>
      </c>
    </row>
    <row r="5" customFormat="false" ht="14.25" hidden="false" customHeight="false" outlineLevel="0" collapsed="false">
      <c r="A5" s="3" t="s">
        <v>3</v>
      </c>
    </row>
    <row r="6" customFormat="false" ht="14.25" hidden="false" customHeight="false" outlineLevel="0" collapsed="false">
      <c r="A6" s="3" t="s">
        <v>4</v>
      </c>
    </row>
    <row r="7" customFormat="false" ht="14.25" hidden="false" customHeight="false" outlineLevel="0" collapsed="false">
      <c r="A7" s="3" t="s">
        <v>5</v>
      </c>
    </row>
    <row r="8" customFormat="false" ht="14.25" hidden="false" customHeight="false" outlineLevel="0" collapsed="false">
      <c r="A8" s="3"/>
    </row>
    <row r="9" customFormat="false" ht="14.25" hidden="false" customHeight="false" outlineLevel="0" collapsed="false">
      <c r="A9" s="4" t="s">
        <v>6</v>
      </c>
    </row>
    <row r="10" customFormat="false" ht="14.25" hidden="false" customHeight="false" outlineLevel="0" collapsed="false">
      <c r="A10" s="3" t="s">
        <v>7</v>
      </c>
    </row>
    <row r="11" customFormat="false" ht="14.25" hidden="false" customHeight="false" outlineLevel="0" collapsed="false">
      <c r="A11" s="3" t="s">
        <v>8</v>
      </c>
    </row>
    <row r="12" customFormat="false" ht="14.25" hidden="false" customHeight="false" outlineLevel="0" collapsed="false">
      <c r="A12" s="3" t="s">
        <v>9</v>
      </c>
    </row>
    <row r="13" customFormat="false" ht="14.25" hidden="false" customHeight="false" outlineLevel="0" collapsed="false">
      <c r="A13" s="3"/>
    </row>
    <row r="14" customFormat="false" ht="14.25" hidden="false" customHeight="false" outlineLevel="0" collapsed="false">
      <c r="A14" s="4" t="s">
        <v>10</v>
      </c>
    </row>
    <row r="15" customFormat="false" ht="14.25" hidden="false" customHeight="false" outlineLevel="0" collapsed="false">
      <c r="A15" s="3" t="s">
        <v>11</v>
      </c>
    </row>
    <row r="16" customFormat="false" ht="14.25" hidden="false" customHeight="false" outlineLevel="0" collapsed="false">
      <c r="A16" s="3" t="s">
        <v>12</v>
      </c>
    </row>
    <row r="17" customFormat="false" ht="14.25" hidden="false" customHeight="false" outlineLevel="0" collapsed="false">
      <c r="A17" s="3" t="s">
        <v>13</v>
      </c>
    </row>
    <row r="18" customFormat="false" ht="14.25" hidden="false" customHeight="false" outlineLevel="0" collapsed="false">
      <c r="A18" s="3" t="s">
        <v>14</v>
      </c>
    </row>
    <row r="19" customFormat="false" ht="14.25" hidden="false" customHeight="false" outlineLevel="0" collapsed="false">
      <c r="A19" s="3" t="s">
        <v>15</v>
      </c>
    </row>
    <row r="20" customFormat="false" ht="14.25" hidden="false" customHeight="false" outlineLevel="0" collapsed="false">
      <c r="A20" s="3"/>
    </row>
    <row r="21" customFormat="false" ht="14.25" hidden="false" customHeight="false" outlineLevel="0" collapsed="false">
      <c r="A21" s="3" t="s">
        <v>16</v>
      </c>
    </row>
    <row r="22" customFormat="false" ht="14.25" hidden="false" customHeight="false" outlineLevel="0" collapsed="false">
      <c r="A22" s="3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6" activeCellId="0" sqref="B6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2"/>
    <col collapsed="false" customWidth="true" hidden="false" outlineLevel="0" max="3" min="3" style="0" width="70"/>
  </cols>
  <sheetData>
    <row r="1" customFormat="false" ht="18" hidden="false" customHeight="true" outlineLevel="0" collapsed="false">
      <c r="A1" s="1" t="s">
        <v>18</v>
      </c>
    </row>
    <row r="3" customFormat="false" ht="14.25" hidden="false" customHeight="false" outlineLevel="0" collapsed="false">
      <c r="A3" s="5" t="s">
        <v>19</v>
      </c>
      <c r="B3" s="5" t="s">
        <v>20</v>
      </c>
      <c r="C3" s="5" t="s">
        <v>21</v>
      </c>
    </row>
    <row r="4" customFormat="false" ht="14.25" hidden="false" customHeight="false" outlineLevel="0" collapsed="false">
      <c r="A4" s="6" t="s">
        <v>22</v>
      </c>
      <c r="B4" s="7" t="n">
        <v>100</v>
      </c>
      <c r="C4" s="2" t="s">
        <v>23</v>
      </c>
    </row>
    <row r="5" customFormat="false" ht="14.25" hidden="false" customHeight="false" outlineLevel="0" collapsed="false">
      <c r="A5" s="6" t="s">
        <v>24</v>
      </c>
      <c r="B5" s="7" t="n">
        <v>2</v>
      </c>
      <c r="C5" s="2" t="s">
        <v>25</v>
      </c>
    </row>
    <row r="6" customFormat="false" ht="14.25" hidden="false" customHeight="false" outlineLevel="0" collapsed="false">
      <c r="A6" s="6" t="s">
        <v>26</v>
      </c>
      <c r="B6" s="7" t="n">
        <v>2</v>
      </c>
      <c r="C6" s="2" t="s">
        <v>27</v>
      </c>
    </row>
    <row r="7" customFormat="false" ht="14.25" hidden="false" customHeight="false" outlineLevel="0" collapsed="false">
      <c r="A7" s="6" t="s">
        <v>28</v>
      </c>
      <c r="B7" s="7" t="n">
        <v>-110</v>
      </c>
      <c r="C7" s="2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500"/>
  <sheetViews>
    <sheetView showFormulas="false" showGridLines="false" showRowColHeaders="true" showZeros="true" rightToLeft="false" tabSelected="false" showOutlineSymbols="true" defaultGridColor="true" view="normal" topLeftCell="K1" colorId="64" zoomScale="100" zoomScaleNormal="100" zoomScalePageLayoutView="100" workbookViewId="0">
      <pane xSplit="0" ySplit="1" topLeftCell="A2" activePane="bottomLeft" state="frozen"/>
      <selection pane="topLeft" activeCell="K1" activeCellId="0" sqref="K1"/>
      <selection pane="bottomLeft" activeCell="C6" activeCellId="0" sqref="C6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1"/>
    <col collapsed="false" customWidth="true" hidden="false" outlineLevel="0" max="3" min="3" style="0" width="20.54"/>
    <col collapsed="false" customWidth="true" hidden="false" outlineLevel="0" max="4" min="4" style="0" width="18"/>
    <col collapsed="false" customWidth="true" hidden="false" outlineLevel="0" max="6" min="5" style="0" width="16"/>
    <col collapsed="false" customWidth="true" hidden="false" outlineLevel="0" max="7" min="7" style="0" width="12.73"/>
    <col collapsed="false" customWidth="true" hidden="false" outlineLevel="0" max="8" min="8" style="0" width="7.54"/>
    <col collapsed="false" customWidth="true" hidden="false" outlineLevel="0" max="10" min="9" style="0" width="11"/>
    <col collapsed="false" customWidth="true" hidden="false" outlineLevel="0" max="11" min="11" style="0" width="12"/>
    <col collapsed="false" customWidth="true" hidden="false" outlineLevel="0" max="12" min="12" style="0" width="5.54"/>
    <col collapsed="false" customWidth="true" hidden="false" outlineLevel="0" max="14" min="13" style="0" width="14.27"/>
    <col collapsed="false" customWidth="true" hidden="false" outlineLevel="0" max="15" min="15" style="0" width="30"/>
    <col collapsed="false" customWidth="true" hidden="false" outlineLevel="0" max="16" min="16" style="0" width="16"/>
    <col collapsed="false" customWidth="true" hidden="false" outlineLevel="0" max="18" min="18" style="0" width="17"/>
  </cols>
  <sheetData>
    <row r="1" customFormat="false" ht="25.5" hidden="false" customHeight="true" outlineLevel="0" collapsed="false">
      <c r="A1" s="5" t="s">
        <v>30</v>
      </c>
      <c r="B1" s="5" t="s">
        <v>31</v>
      </c>
      <c r="C1" s="5" t="s">
        <v>32</v>
      </c>
      <c r="D1" s="5" t="s">
        <v>33</v>
      </c>
      <c r="E1" s="5" t="s">
        <v>34</v>
      </c>
      <c r="F1" s="5" t="s">
        <v>35</v>
      </c>
      <c r="G1" s="5" t="s">
        <v>36</v>
      </c>
      <c r="H1" s="5" t="s">
        <v>37</v>
      </c>
      <c r="I1" s="5" t="s">
        <v>38</v>
      </c>
      <c r="J1" s="5" t="s">
        <v>39</v>
      </c>
      <c r="K1" s="5" t="s">
        <v>40</v>
      </c>
      <c r="L1" s="5" t="s">
        <v>41</v>
      </c>
      <c r="M1" s="5" t="s">
        <v>42</v>
      </c>
      <c r="N1" s="5" t="s">
        <v>43</v>
      </c>
      <c r="O1" s="5" t="s">
        <v>44</v>
      </c>
      <c r="P1" s="5" t="s">
        <v>45</v>
      </c>
      <c r="R1" s="8" t="s">
        <v>46</v>
      </c>
    </row>
    <row r="2" customFormat="false" ht="14.25" hidden="false" customHeight="false" outlineLevel="0" collapsed="false">
      <c r="A2" s="0" t="n">
        <v>1</v>
      </c>
      <c r="B2" s="0" t="s">
        <v>47</v>
      </c>
      <c r="C2" s="9" t="s">
        <v>48</v>
      </c>
      <c r="D2" s="9" t="s">
        <v>49</v>
      </c>
      <c r="E2" s="0" t="n">
        <v>-34.9</v>
      </c>
      <c r="F2" s="0" t="n">
        <v>-37.2</v>
      </c>
      <c r="G2" s="6" t="n">
        <f aca="false">F2-E2</f>
        <v>-2.3</v>
      </c>
      <c r="H2" s="6" t="str">
        <f aca="false">IF(G2=0,"Pick'em",IF(G2&gt;0,"Home","Away"))</f>
        <v>Away</v>
      </c>
      <c r="I2" s="0" t="n">
        <v>53.3</v>
      </c>
      <c r="J2" s="0" t="n">
        <v>61</v>
      </c>
      <c r="K2" s="6" t="n">
        <f aca="false">I2-J2</f>
        <v>-7.7</v>
      </c>
      <c r="L2" s="6" t="str">
        <f aca="false">IF(K2=0,"Push",IF(K2&gt;0,"Over","Under"))</f>
        <v>Under</v>
      </c>
      <c r="M2" s="6" t="str">
        <f aca="false">IF(ABS(G2)&gt;=Settings!$B$5,H2,IF(F2=0,"Pick'em",IF(F2&lt;0,"Home (auto)","Away (auto)")))</f>
        <v>Away</v>
      </c>
      <c r="N2" s="6" t="str">
        <f aca="false">IF(ABS(K2)&gt;=Settings!$B$6,L2,IF(K2=0,"Push",L2&amp;" (auto)"))</f>
        <v>Under</v>
      </c>
      <c r="O2" s="10"/>
      <c r="P2" s="10"/>
    </row>
    <row r="3" customFormat="false" ht="14.25" hidden="false" customHeight="false" outlineLevel="0" collapsed="false">
      <c r="A3" s="0" t="n">
        <v>1</v>
      </c>
      <c r="B3" s="0" t="s">
        <v>47</v>
      </c>
      <c r="C3" s="9" t="s">
        <v>50</v>
      </c>
      <c r="D3" s="9" t="s">
        <v>51</v>
      </c>
      <c r="E3" s="0" t="n">
        <v>-18.9</v>
      </c>
      <c r="F3" s="0" t="n">
        <v>-6.8</v>
      </c>
      <c r="G3" s="6" t="n">
        <f aca="false">F3-E3</f>
        <v>12.1</v>
      </c>
      <c r="H3" s="6" t="str">
        <f aca="false">IF(G3=0,"Pick'em",IF(G3&gt;0,"Home","Away"))</f>
        <v>Home</v>
      </c>
      <c r="I3" s="0" t="n">
        <v>52.9</v>
      </c>
      <c r="J3" s="0" t="n">
        <v>46.5</v>
      </c>
      <c r="K3" s="6" t="n">
        <f aca="false">I3-J3</f>
        <v>6.4</v>
      </c>
      <c r="L3" s="6" t="str">
        <f aca="false">IF(K3=0,"Push",IF(K3&gt;0,"Over","Under"))</f>
        <v>Over</v>
      </c>
      <c r="M3" s="6" t="str">
        <f aca="false">IF(ABS(G3)&gt;=Settings!$B$5,H3,IF(F3=0,"Pick'em",IF(F3&lt;0,"Home (auto)","Away (auto)")))</f>
        <v>Home</v>
      </c>
      <c r="N3" s="6" t="str">
        <f aca="false">IF(ABS(K3)&gt;=Settings!$B$6,L3,IF(K3=0,"Push",L3&amp;" (auto)"))</f>
        <v>Over</v>
      </c>
    </row>
    <row r="4" customFormat="false" ht="14.25" hidden="false" customHeight="false" outlineLevel="0" collapsed="false">
      <c r="A4" s="0" t="n">
        <v>1</v>
      </c>
      <c r="B4" s="0" t="s">
        <v>47</v>
      </c>
      <c r="C4" s="9" t="s">
        <v>52</v>
      </c>
      <c r="D4" s="9" t="s">
        <v>53</v>
      </c>
      <c r="E4" s="0" t="n">
        <v>-1.8</v>
      </c>
      <c r="F4" s="0" t="n">
        <v>-4.8</v>
      </c>
      <c r="G4" s="6" t="n">
        <f aca="false">F4-E4</f>
        <v>-3</v>
      </c>
      <c r="H4" s="6" t="str">
        <f aca="false">IF(G4=0,"Pick'em",IF(G4&gt;0,"Home","Away"))</f>
        <v>Away</v>
      </c>
      <c r="I4" s="0" t="n">
        <v>51.3</v>
      </c>
      <c r="J4" s="0" t="n">
        <v>48.5</v>
      </c>
      <c r="K4" s="6" t="n">
        <f aca="false">I4-J4</f>
        <v>2.8</v>
      </c>
      <c r="L4" s="6" t="str">
        <f aca="false">IF(K4=0,"Push",IF(K4&gt;0,"Over","Under"))</f>
        <v>Over</v>
      </c>
      <c r="M4" s="6" t="str">
        <f aca="false">IF(ABS(G4)&gt;=Settings!$B$5,H4,IF(F4=0,"Pick'em",IF(F4&lt;0,"Home (auto)","Away (auto)")))</f>
        <v>Away</v>
      </c>
      <c r="N4" s="6" t="str">
        <f aca="false">IF(ABS(K4)&gt;=Settings!$B$6,L4,IF(K4=0,"Push",L4&amp;" (auto)"))</f>
        <v>Over</v>
      </c>
    </row>
    <row r="5" customFormat="false" ht="14.25" hidden="false" customHeight="false" outlineLevel="0" collapsed="false">
      <c r="A5" s="0" t="n">
        <v>1</v>
      </c>
      <c r="B5" s="0" t="s">
        <v>54</v>
      </c>
      <c r="C5" s="9" t="s">
        <v>55</v>
      </c>
      <c r="D5" s="9" t="s">
        <v>56</v>
      </c>
      <c r="E5" s="0" t="n">
        <v>-11.3</v>
      </c>
      <c r="F5" s="0" t="n">
        <v>-4.8</v>
      </c>
      <c r="G5" s="6" t="n">
        <f aca="false">F5-E5</f>
        <v>6.5</v>
      </c>
      <c r="H5" s="6" t="str">
        <f aca="false">IF(G5=0,"Pick'em",IF(G5&gt;0,"Home","Away"))</f>
        <v>Home</v>
      </c>
      <c r="I5" s="0" t="n">
        <v>55.5</v>
      </c>
      <c r="J5" s="0" t="n">
        <v>55.5</v>
      </c>
      <c r="K5" s="6" t="n">
        <f aca="false">I5-J5</f>
        <v>0</v>
      </c>
      <c r="L5" s="6" t="str">
        <f aca="false">IF(K5=0,"Push",IF(K5&gt;0,"Over","Under"))</f>
        <v>Push</v>
      </c>
      <c r="M5" s="6" t="str">
        <f aca="false">IF(ABS(G5)&gt;=Settings!$B$5,H5,IF(F5=0,"Pick'em",IF(F5&lt;0,"Home (auto)","Away (auto)")))</f>
        <v>Home</v>
      </c>
      <c r="N5" s="6" t="str">
        <f aca="false">IF(ABS(K5)&gt;=Settings!$B$6,L5,IF(K5=0,"Push",L5&amp;" (auto)"))</f>
        <v>Push</v>
      </c>
      <c r="R5" s="6" t="s">
        <v>57</v>
      </c>
    </row>
    <row r="6" customFormat="false" ht="14.25" hidden="false" customHeight="false" outlineLevel="0" collapsed="false">
      <c r="A6" s="0" t="n">
        <v>1</v>
      </c>
      <c r="B6" s="0" t="s">
        <v>58</v>
      </c>
      <c r="C6" s="9" t="s">
        <v>48</v>
      </c>
      <c r="D6" s="9" t="s">
        <v>59</v>
      </c>
      <c r="E6" s="0" t="n">
        <v>-16</v>
      </c>
      <c r="F6" s="0" t="n">
        <v>-1.5</v>
      </c>
      <c r="G6" s="6" t="n">
        <f aca="false">F6-E6</f>
        <v>14.5</v>
      </c>
      <c r="H6" s="6" t="str">
        <f aca="false">IF(G6=0,"Pick'em",IF(G6&gt;0,"Home","Away"))</f>
        <v>Home</v>
      </c>
      <c r="I6" s="0" t="n">
        <v>54.3</v>
      </c>
      <c r="J6" s="0" t="n">
        <v>54.8</v>
      </c>
      <c r="K6" s="6" t="n">
        <f aca="false">I6-J6</f>
        <v>-0.5</v>
      </c>
      <c r="L6" s="6" t="str">
        <f aca="false">IF(K6=0,"Push",IF(K6&gt;0,"Over","Under"))</f>
        <v>Under</v>
      </c>
      <c r="M6" s="6" t="str">
        <f aca="false">IF(ABS(G6)&gt;=Settings!$B$5,H6,IF(F6=0,"Pick'em",IF(F6&lt;0,"Home (auto)","Away (auto)")))</f>
        <v>Home</v>
      </c>
      <c r="N6" s="6" t="str">
        <f aca="false">IF(ABS(K6)&gt;=Settings!$B$6,L6,IF(K6=0,"Push",L6&amp;" (auto)"))</f>
        <v>Under (auto)</v>
      </c>
      <c r="R6" s="6" t="s">
        <v>52</v>
      </c>
    </row>
    <row r="7" customFormat="false" ht="14.25" hidden="false" customHeight="false" outlineLevel="0" collapsed="false">
      <c r="A7" s="11" t="n">
        <v>1</v>
      </c>
      <c r="B7" s="11" t="s">
        <v>60</v>
      </c>
      <c r="C7" s="11" t="s">
        <v>61</v>
      </c>
      <c r="D7" s="11" t="s">
        <v>57</v>
      </c>
      <c r="E7" s="11" t="n">
        <v>-17.3</v>
      </c>
      <c r="F7" s="11" t="n">
        <v>-30</v>
      </c>
      <c r="G7" s="11" t="n">
        <f aca="false">F7-E7</f>
        <v>-12.7</v>
      </c>
      <c r="H7" s="11" t="str">
        <f aca="false">IF(G7=0,"Pick'em",IF(G7&gt;0,"Home","Away"))</f>
        <v>Away</v>
      </c>
      <c r="I7" s="11" t="n">
        <v>53</v>
      </c>
      <c r="J7" s="11" t="n">
        <v>56.5</v>
      </c>
      <c r="K7" s="11" t="n">
        <f aca="false">I7-J7</f>
        <v>-3.5</v>
      </c>
      <c r="L7" s="11" t="str">
        <f aca="false">IF(K7=0,"Push",IF(K7&gt;0,"Over","Under"))</f>
        <v>Under</v>
      </c>
      <c r="M7" s="11" t="str">
        <f aca="false">IF(ABS(G7)&gt;=Settings!$B$5,H7,IF(F7=0,"Pick'em",IF(F7&lt;0,"Home (auto)","Away (auto)")))</f>
        <v>Away</v>
      </c>
      <c r="N7" s="11" t="str">
        <f aca="false">IF(ABS(K7)&gt;=Settings!$B$6,L7,IF(K7=0,"Push",L7&amp;" (auto)"))</f>
        <v>Under</v>
      </c>
      <c r="R7" s="6" t="s">
        <v>62</v>
      </c>
    </row>
    <row r="8" customFormat="false" ht="14.25" hidden="false" customHeight="false" outlineLevel="0" collapsed="false">
      <c r="A8" s="0" t="n">
        <v>1</v>
      </c>
      <c r="B8" s="0" t="s">
        <v>60</v>
      </c>
      <c r="C8" s="9" t="s">
        <v>63</v>
      </c>
      <c r="D8" s="9" t="s">
        <v>51</v>
      </c>
      <c r="E8" s="0" t="n">
        <v>-39.8</v>
      </c>
      <c r="F8" s="0" t="n">
        <v>-41.5</v>
      </c>
      <c r="G8" s="6" t="n">
        <f aca="false">F8-E8</f>
        <v>-1.7</v>
      </c>
      <c r="H8" s="6" t="str">
        <f aca="false">IF(G8=0,"Pick'em",IF(G8&gt;0,"Home","Away"))</f>
        <v>Away</v>
      </c>
      <c r="I8" s="0" t="n">
        <v>55.2</v>
      </c>
      <c r="J8" s="0" t="n">
        <v>54.2</v>
      </c>
      <c r="K8" s="6" t="n">
        <f aca="false">I8-J8</f>
        <v>1</v>
      </c>
      <c r="L8" s="6" t="str">
        <f aca="false">IF(K8=0,"Push",IF(K8&gt;0,"Over","Under"))</f>
        <v>Over</v>
      </c>
      <c r="M8" s="6" t="str">
        <f aca="false">IF(ABS(G8)&gt;=Settings!$B$5,H8,IF(F8=0,"Pick'em",IF(F8&lt;0,"Home (auto)","Away (auto)")))</f>
        <v>Home (auto)</v>
      </c>
      <c r="N8" s="6" t="str">
        <f aca="false">IF(ABS(K8)&gt;=Settings!$B$6,L8,IF(K8=0,"Push",L8&amp;" (auto)"))</f>
        <v>Over (auto)</v>
      </c>
      <c r="R8" s="6" t="s">
        <v>64</v>
      </c>
    </row>
    <row r="9" customFormat="false" ht="14.25" hidden="false" customHeight="false" outlineLevel="0" collapsed="false">
      <c r="A9" s="0" t="n">
        <v>1</v>
      </c>
      <c r="B9" s="0" t="s">
        <v>60</v>
      </c>
      <c r="C9" s="9" t="s">
        <v>65</v>
      </c>
      <c r="D9" s="9" t="s">
        <v>66</v>
      </c>
      <c r="E9" s="0" t="n">
        <v>-28.7</v>
      </c>
      <c r="F9" s="0" t="n">
        <v>-31.8</v>
      </c>
      <c r="G9" s="6" t="n">
        <f aca="false">F9-E9</f>
        <v>-3.1</v>
      </c>
      <c r="H9" s="6" t="str">
        <f aca="false">IF(G9=0,"Pick'em",IF(G9&gt;0,"Home","Away"))</f>
        <v>Away</v>
      </c>
      <c r="I9" s="0" t="n">
        <v>47.7</v>
      </c>
      <c r="J9" s="0" t="n">
        <v>44.5</v>
      </c>
      <c r="K9" s="6" t="n">
        <f aca="false">I9-J9</f>
        <v>3.2</v>
      </c>
      <c r="L9" s="6" t="str">
        <f aca="false">IF(K9=0,"Push",IF(K9&gt;0,"Over","Under"))</f>
        <v>Over</v>
      </c>
      <c r="M9" s="6" t="str">
        <f aca="false">IF(ABS(G9)&gt;=Settings!$B$5,H9,IF(F9=0,"Pick'em",IF(F9&lt;0,"Home (auto)","Away (auto)")))</f>
        <v>Away</v>
      </c>
      <c r="N9" s="6" t="str">
        <f aca="false">IF(ABS(K9)&gt;=Settings!$B$6,L9,IF(K9=0,"Push",L9&amp;" (auto)"))</f>
        <v>Over</v>
      </c>
      <c r="R9" s="6" t="s">
        <v>51</v>
      </c>
    </row>
    <row r="10" customFormat="false" ht="14.25" hidden="false" customHeight="false" outlineLevel="0" collapsed="false">
      <c r="A10" s="0" t="n">
        <v>1</v>
      </c>
      <c r="B10" s="0" t="s">
        <v>60</v>
      </c>
      <c r="C10" s="9" t="s">
        <v>67</v>
      </c>
      <c r="D10" s="9" t="s">
        <v>68</v>
      </c>
      <c r="E10" s="0" t="n">
        <v>-8.3</v>
      </c>
      <c r="F10" s="0" t="n">
        <v>-2.8</v>
      </c>
      <c r="G10" s="6" t="n">
        <f aca="false">F10-E10</f>
        <v>5.5</v>
      </c>
      <c r="H10" s="6" t="str">
        <f aca="false">IF(G10=0,"Pick'em",IF(G10&gt;0,"Home","Away"))</f>
        <v>Home</v>
      </c>
      <c r="I10" s="0" t="n">
        <v>49.3</v>
      </c>
      <c r="J10" s="0" t="n">
        <v>46</v>
      </c>
      <c r="K10" s="6" t="n">
        <f aca="false">I10-J10</f>
        <v>3.3</v>
      </c>
      <c r="L10" s="6" t="str">
        <f aca="false">IF(K10=0,"Push",IF(K10&gt;0,"Over","Under"))</f>
        <v>Over</v>
      </c>
      <c r="M10" s="6" t="str">
        <f aca="false">IF(ABS(G10)&gt;=Settings!$B$5,H10,IF(F10=0,"Pick'em",IF(F10&lt;0,"Home (auto)","Away (auto)")))</f>
        <v>Home</v>
      </c>
      <c r="N10" s="6" t="str">
        <f aca="false">IF(ABS(K10)&gt;=Settings!$B$6,L10,IF(K10=0,"Push",L10&amp;" (auto)"))</f>
        <v>Over</v>
      </c>
      <c r="R10" s="6" t="s">
        <v>65</v>
      </c>
    </row>
    <row r="11" customFormat="false" ht="14.25" hidden="false" customHeight="false" outlineLevel="0" collapsed="false">
      <c r="A11" s="0" t="n">
        <v>1</v>
      </c>
      <c r="B11" s="0" t="s">
        <v>60</v>
      </c>
      <c r="C11" s="9" t="s">
        <v>69</v>
      </c>
      <c r="D11" s="9" t="s">
        <v>70</v>
      </c>
      <c r="E11" s="0" t="n">
        <v>-34.9</v>
      </c>
      <c r="F11" s="0" t="n">
        <v>-40.8</v>
      </c>
      <c r="G11" s="6" t="n">
        <f aca="false">F11-E11</f>
        <v>-5.9</v>
      </c>
      <c r="H11" s="6" t="str">
        <f aca="false">IF(G11=0,"Pick'em",IF(G11&gt;0,"Home","Away"))</f>
        <v>Away</v>
      </c>
      <c r="I11" s="0" t="n">
        <v>52.4</v>
      </c>
      <c r="J11" s="0" t="n">
        <v>51.2</v>
      </c>
      <c r="K11" s="6" t="n">
        <f aca="false">I11-J11</f>
        <v>1.2</v>
      </c>
      <c r="L11" s="6" t="str">
        <f aca="false">IF(K11=0,"Push",IF(K11&gt;0,"Over","Under"))</f>
        <v>Over</v>
      </c>
      <c r="M11" s="6" t="str">
        <f aca="false">IF(ABS(G11)&gt;=Settings!$B$5,H11,IF(F11=0,"Pick'em",IF(F11&lt;0,"Home (auto)","Away (auto)")))</f>
        <v>Away</v>
      </c>
      <c r="N11" s="6" t="str">
        <f aca="false">IF(ABS(K11)&gt;=Settings!$B$6,L11,IF(K11=0,"Push",L11&amp;" (auto)"))</f>
        <v>Over (auto)</v>
      </c>
      <c r="R11" s="6" t="s">
        <v>48</v>
      </c>
    </row>
    <row r="12" customFormat="false" ht="14.25" hidden="false" customHeight="false" outlineLevel="0" collapsed="false">
      <c r="A12" s="0" t="n">
        <v>1</v>
      </c>
      <c r="B12" s="0" t="s">
        <v>71</v>
      </c>
      <c r="C12" s="9" t="s">
        <v>56</v>
      </c>
      <c r="D12" s="9" t="s">
        <v>52</v>
      </c>
      <c r="E12" s="0" t="n">
        <v>3.5</v>
      </c>
      <c r="F12" s="0" t="n">
        <v>2.8</v>
      </c>
      <c r="G12" s="6" t="n">
        <f aca="false">F12-E12</f>
        <v>-0.7</v>
      </c>
      <c r="H12" s="6" t="str">
        <f aca="false">IF(G12=0,"Pick'em",IF(G12&gt;0,"Home","Away"))</f>
        <v>Away</v>
      </c>
      <c r="I12" s="0" t="n">
        <v>54.4</v>
      </c>
      <c r="J12" s="0" t="n">
        <v>55.5</v>
      </c>
      <c r="K12" s="6" t="n">
        <f aca="false">I12-J12</f>
        <v>-1.1</v>
      </c>
      <c r="L12" s="6" t="str">
        <f aca="false">IF(K12=0,"Push",IF(K12&gt;0,"Over","Under"))</f>
        <v>Under</v>
      </c>
      <c r="M12" s="6" t="str">
        <f aca="false">IF(ABS(G12)&gt;=Settings!$B$5,H12,IF(F12=0,"Pick'em",IF(F12&lt;0,"Home (auto)","Away (auto)")))</f>
        <v>Away (auto)</v>
      </c>
      <c r="N12" s="6" t="str">
        <f aca="false">IF(ABS(K12)&gt;=Settings!$B$6,L12,IF(K12=0,"Push",L12&amp;" (auto)"))</f>
        <v>Under (auto)</v>
      </c>
      <c r="R12" s="6" t="s">
        <v>56</v>
      </c>
    </row>
    <row r="13" customFormat="false" ht="14.25" hidden="false" customHeight="false" outlineLevel="0" collapsed="false">
      <c r="A13" s="0" t="n">
        <v>1</v>
      </c>
      <c r="B13" s="0" t="s">
        <v>71</v>
      </c>
      <c r="C13" s="9" t="s">
        <v>72</v>
      </c>
      <c r="D13" s="9" t="s">
        <v>64</v>
      </c>
      <c r="E13" s="0" t="n">
        <v>-18.2</v>
      </c>
      <c r="F13" s="0" t="n">
        <v>-11.2</v>
      </c>
      <c r="G13" s="6" t="n">
        <f aca="false">F13-E13</f>
        <v>7</v>
      </c>
      <c r="H13" s="6" t="str">
        <f aca="false">IF(G13=0,"Pick'em",IF(G13&gt;0,"Home","Away"))</f>
        <v>Home</v>
      </c>
      <c r="I13" s="0" t="n">
        <v>50.5</v>
      </c>
      <c r="J13" s="0" t="n">
        <v>47.2</v>
      </c>
      <c r="K13" s="6" t="n">
        <f aca="false">I13-J13</f>
        <v>3.3</v>
      </c>
      <c r="L13" s="6" t="str">
        <f aca="false">IF(K13=0,"Push",IF(K13&gt;0,"Over","Under"))</f>
        <v>Over</v>
      </c>
      <c r="M13" s="6" t="str">
        <f aca="false">IF(ABS(G13)&gt;=Settings!$B$5,H13,IF(F13=0,"Pick'em",IF(F13&lt;0,"Home (auto)","Away (auto)")))</f>
        <v>Home</v>
      </c>
      <c r="N13" s="6" t="str">
        <f aca="false">IF(ABS(K13)&gt;=Settings!$B$6,L13,IF(K13=0,"Push",L13&amp;" (auto)"))</f>
        <v>Over</v>
      </c>
    </row>
    <row r="14" customFormat="false" ht="14.25" hidden="false" customHeight="false" outlineLevel="0" collapsed="false">
      <c r="A14" s="0" t="n">
        <v>1</v>
      </c>
      <c r="B14" s="0" t="s">
        <v>71</v>
      </c>
      <c r="C14" s="9" t="s">
        <v>73</v>
      </c>
      <c r="D14" s="9" t="s">
        <v>62</v>
      </c>
      <c r="E14" s="0" t="n">
        <v>2.6</v>
      </c>
      <c r="F14" s="0" t="n">
        <v>0.2</v>
      </c>
      <c r="G14" s="6" t="n">
        <f aca="false">F14-E14</f>
        <v>-2.4</v>
      </c>
      <c r="H14" s="6" t="str">
        <f aca="false">IF(G14=0,"Pick'em",IF(G14&gt;0,"Home","Away"))</f>
        <v>Away</v>
      </c>
      <c r="I14" s="0" t="n">
        <v>51.7</v>
      </c>
      <c r="J14" s="0" t="n">
        <v>51.5</v>
      </c>
      <c r="K14" s="6" t="n">
        <f aca="false">I14-J14</f>
        <v>0.200000000000003</v>
      </c>
      <c r="L14" s="6" t="str">
        <f aca="false">IF(K14=0,"Push",IF(K14&gt;0,"Over","Under"))</f>
        <v>Over</v>
      </c>
      <c r="M14" s="6" t="str">
        <f aca="false">IF(ABS(G14)&gt;=Settings!$B$5,H14,IF(F14=0,"Pick'em",IF(F14&lt;0,"Home (auto)","Away (auto)")))</f>
        <v>Away</v>
      </c>
      <c r="N14" s="6" t="str">
        <f aca="false">IF(ABS(K14)&gt;=Settings!$B$6,L14,IF(K14=0,"Push",L14&amp;" (auto)"))</f>
        <v>Over (auto)</v>
      </c>
    </row>
    <row r="15" customFormat="false" ht="14.25" hidden="false" customHeight="false" outlineLevel="0" collapsed="false">
      <c r="C15" s="9"/>
      <c r="D15" s="9"/>
      <c r="G15" s="6"/>
      <c r="H15" s="6"/>
      <c r="K15" s="6"/>
      <c r="L15" s="6"/>
      <c r="M15" s="6"/>
      <c r="N15" s="6"/>
    </row>
    <row r="16" customFormat="false" ht="14.25" hidden="false" customHeight="false" outlineLevel="0" collapsed="false">
      <c r="C16" s="9"/>
      <c r="D16" s="9"/>
      <c r="G16" s="6"/>
      <c r="H16" s="6"/>
      <c r="K16" s="6"/>
      <c r="L16" s="6"/>
      <c r="M16" s="6"/>
      <c r="N16" s="6"/>
    </row>
    <row r="17" customFormat="false" ht="14.25" hidden="false" customHeight="false" outlineLevel="0" collapsed="false">
      <c r="C17" s="9"/>
      <c r="D17" s="9"/>
      <c r="G17" s="6"/>
      <c r="H17" s="6"/>
      <c r="K17" s="6"/>
      <c r="L17" s="6"/>
      <c r="M17" s="6"/>
      <c r="N17" s="6"/>
    </row>
    <row r="18" customFormat="false" ht="14.25" hidden="false" customHeight="false" outlineLevel="0" collapsed="false">
      <c r="C18" s="9"/>
      <c r="D18" s="9"/>
      <c r="G18" s="6"/>
      <c r="H18" s="6"/>
      <c r="K18" s="6"/>
      <c r="L18" s="6"/>
      <c r="M18" s="6"/>
      <c r="N18" s="6"/>
    </row>
    <row r="19" customFormat="false" ht="14.25" hidden="false" customHeight="false" outlineLevel="0" collapsed="false">
      <c r="C19" s="9"/>
      <c r="D19" s="9"/>
      <c r="G19" s="6"/>
      <c r="H19" s="6"/>
      <c r="K19" s="6"/>
      <c r="L19" s="6"/>
      <c r="M19" s="6"/>
      <c r="N19" s="6"/>
    </row>
    <row r="20" customFormat="false" ht="14.25" hidden="false" customHeight="false" outlineLevel="0" collapsed="false">
      <c r="C20" s="9"/>
      <c r="D20" s="9"/>
      <c r="G20" s="6"/>
      <c r="H20" s="6"/>
      <c r="K20" s="6"/>
      <c r="L20" s="6"/>
      <c r="M20" s="6"/>
      <c r="N20" s="6"/>
    </row>
    <row r="21" customFormat="false" ht="14.25" hidden="false" customHeight="false" outlineLevel="0" collapsed="false">
      <c r="C21" s="9"/>
      <c r="D21" s="9"/>
      <c r="G21" s="6"/>
      <c r="H21" s="6"/>
      <c r="K21" s="6"/>
      <c r="L21" s="6"/>
      <c r="M21" s="6"/>
      <c r="N21" s="6"/>
    </row>
    <row r="22" customFormat="false" ht="14.25" hidden="false" customHeight="false" outlineLevel="0" collapsed="false">
      <c r="C22" s="9"/>
      <c r="D22" s="9"/>
      <c r="G22" s="6"/>
      <c r="H22" s="6"/>
      <c r="K22" s="6"/>
      <c r="L22" s="6"/>
      <c r="M22" s="6"/>
      <c r="N22" s="6"/>
    </row>
    <row r="23" customFormat="false" ht="14.25" hidden="false" customHeight="false" outlineLevel="0" collapsed="false">
      <c r="C23" s="9"/>
      <c r="D23" s="9"/>
      <c r="G23" s="6"/>
      <c r="H23" s="6"/>
      <c r="K23" s="6"/>
      <c r="L23" s="6"/>
      <c r="M23" s="6"/>
      <c r="N23" s="6"/>
    </row>
    <row r="24" customFormat="false" ht="14.25" hidden="false" customHeight="false" outlineLevel="0" collapsed="false">
      <c r="C24" s="9"/>
      <c r="D24" s="9"/>
      <c r="G24" s="6"/>
      <c r="H24" s="6"/>
      <c r="K24" s="6"/>
      <c r="L24" s="6"/>
      <c r="M24" s="6"/>
      <c r="N24" s="6"/>
    </row>
    <row r="25" customFormat="false" ht="14.25" hidden="false" customHeight="false" outlineLevel="0" collapsed="false">
      <c r="C25" s="9"/>
      <c r="D25" s="9"/>
      <c r="G25" s="6"/>
      <c r="H25" s="6"/>
      <c r="K25" s="6"/>
      <c r="L25" s="6"/>
      <c r="M25" s="6"/>
      <c r="N25" s="6"/>
    </row>
    <row r="26" customFormat="false" ht="14.25" hidden="false" customHeight="false" outlineLevel="0" collapsed="false">
      <c r="C26" s="9"/>
      <c r="D26" s="9"/>
      <c r="G26" s="6"/>
      <c r="H26" s="6"/>
      <c r="K26" s="6"/>
      <c r="L26" s="6"/>
      <c r="M26" s="6"/>
      <c r="N26" s="6"/>
    </row>
    <row r="27" customFormat="false" ht="14.25" hidden="false" customHeight="false" outlineLevel="0" collapsed="false">
      <c r="C27" s="9"/>
      <c r="D27" s="9"/>
      <c r="G27" s="6"/>
      <c r="H27" s="6"/>
      <c r="K27" s="6"/>
      <c r="L27" s="6"/>
      <c r="M27" s="6"/>
      <c r="N27" s="6"/>
    </row>
    <row r="28" customFormat="false" ht="14.25" hidden="false" customHeight="false" outlineLevel="0" collapsed="false">
      <c r="C28" s="9"/>
      <c r="D28" s="9"/>
      <c r="G28" s="6"/>
      <c r="H28" s="6"/>
      <c r="K28" s="6"/>
      <c r="L28" s="6"/>
      <c r="M28" s="6"/>
      <c r="N28" s="6"/>
    </row>
    <row r="29" customFormat="false" ht="14.25" hidden="false" customHeight="false" outlineLevel="0" collapsed="false">
      <c r="C29" s="9"/>
      <c r="D29" s="9"/>
      <c r="G29" s="6"/>
      <c r="H29" s="6"/>
      <c r="K29" s="6"/>
      <c r="L29" s="6"/>
      <c r="M29" s="6"/>
      <c r="N29" s="6"/>
    </row>
    <row r="30" customFormat="false" ht="14.25" hidden="false" customHeight="false" outlineLevel="0" collapsed="false">
      <c r="C30" s="9"/>
      <c r="D30" s="9"/>
    </row>
    <row r="31" customFormat="false" ht="14.25" hidden="false" customHeight="false" outlineLevel="0" collapsed="false">
      <c r="C31" s="9"/>
      <c r="D31" s="9"/>
    </row>
    <row r="32" customFormat="false" ht="14.25" hidden="false" customHeight="false" outlineLevel="0" collapsed="false">
      <c r="C32" s="9"/>
      <c r="D32" s="9"/>
    </row>
    <row r="33" customFormat="false" ht="14.25" hidden="false" customHeight="false" outlineLevel="0" collapsed="false">
      <c r="C33" s="9"/>
      <c r="D33" s="9"/>
    </row>
    <row r="34" customFormat="false" ht="14.25" hidden="false" customHeight="false" outlineLevel="0" collapsed="false">
      <c r="C34" s="9"/>
      <c r="D34" s="9"/>
    </row>
    <row r="35" customFormat="false" ht="14.25" hidden="false" customHeight="false" outlineLevel="0" collapsed="false">
      <c r="C35" s="9"/>
      <c r="D35" s="9"/>
    </row>
    <row r="36" customFormat="false" ht="14.25" hidden="false" customHeight="false" outlineLevel="0" collapsed="false">
      <c r="C36" s="9"/>
      <c r="D36" s="9"/>
    </row>
    <row r="37" customFormat="false" ht="14.25" hidden="false" customHeight="false" outlineLevel="0" collapsed="false">
      <c r="C37" s="9"/>
      <c r="D37" s="9"/>
    </row>
    <row r="38" customFormat="false" ht="14.25" hidden="false" customHeight="false" outlineLevel="0" collapsed="false">
      <c r="C38" s="9"/>
      <c r="D38" s="9"/>
    </row>
    <row r="39" customFormat="false" ht="14.25" hidden="false" customHeight="false" outlineLevel="0" collapsed="false">
      <c r="C39" s="9"/>
      <c r="D39" s="9"/>
    </row>
    <row r="40" customFormat="false" ht="14.25" hidden="false" customHeight="false" outlineLevel="0" collapsed="false">
      <c r="C40" s="9"/>
      <c r="D40" s="9"/>
    </row>
    <row r="41" customFormat="false" ht="14.25" hidden="false" customHeight="false" outlineLevel="0" collapsed="false">
      <c r="C41" s="9"/>
      <c r="D41" s="9"/>
    </row>
    <row r="42" customFormat="false" ht="14.25" hidden="false" customHeight="false" outlineLevel="0" collapsed="false">
      <c r="C42" s="9"/>
      <c r="D42" s="9"/>
    </row>
    <row r="43" customFormat="false" ht="14.25" hidden="false" customHeight="false" outlineLevel="0" collapsed="false">
      <c r="C43" s="9"/>
      <c r="D43" s="9"/>
    </row>
    <row r="44" customFormat="false" ht="14.25" hidden="false" customHeight="false" outlineLevel="0" collapsed="false">
      <c r="C44" s="9"/>
      <c r="D44" s="9"/>
    </row>
    <row r="45" customFormat="false" ht="14.25" hidden="false" customHeight="false" outlineLevel="0" collapsed="false">
      <c r="C45" s="9"/>
      <c r="D45" s="9"/>
    </row>
    <row r="46" customFormat="false" ht="14.25" hidden="false" customHeight="false" outlineLevel="0" collapsed="false">
      <c r="C46" s="9"/>
      <c r="D46" s="9"/>
    </row>
    <row r="47" customFormat="false" ht="14.25" hidden="false" customHeight="false" outlineLevel="0" collapsed="false">
      <c r="C47" s="9"/>
      <c r="D47" s="9"/>
    </row>
    <row r="48" customFormat="false" ht="14.25" hidden="false" customHeight="false" outlineLevel="0" collapsed="false">
      <c r="C48" s="9"/>
      <c r="D48" s="9"/>
    </row>
    <row r="49" customFormat="false" ht="14.25" hidden="false" customHeight="false" outlineLevel="0" collapsed="false">
      <c r="C49" s="9"/>
      <c r="D49" s="9"/>
    </row>
    <row r="50" customFormat="false" ht="14.25" hidden="false" customHeight="false" outlineLevel="0" collapsed="false">
      <c r="C50" s="9"/>
      <c r="D50" s="9"/>
    </row>
    <row r="51" customFormat="false" ht="14.25" hidden="false" customHeight="false" outlineLevel="0" collapsed="false">
      <c r="C51" s="9"/>
      <c r="D51" s="9"/>
    </row>
    <row r="52" customFormat="false" ht="14.25" hidden="false" customHeight="false" outlineLevel="0" collapsed="false">
      <c r="C52" s="9"/>
      <c r="D52" s="9"/>
    </row>
    <row r="53" customFormat="false" ht="14.25" hidden="false" customHeight="false" outlineLevel="0" collapsed="false">
      <c r="C53" s="9"/>
      <c r="D53" s="9"/>
    </row>
    <row r="54" customFormat="false" ht="14.25" hidden="false" customHeight="false" outlineLevel="0" collapsed="false">
      <c r="C54" s="9"/>
      <c r="D54" s="9"/>
    </row>
    <row r="55" customFormat="false" ht="14.25" hidden="false" customHeight="false" outlineLevel="0" collapsed="false">
      <c r="C55" s="9"/>
      <c r="D55" s="9"/>
    </row>
    <row r="56" customFormat="false" ht="14.25" hidden="false" customHeight="false" outlineLevel="0" collapsed="false">
      <c r="C56" s="9"/>
      <c r="D56" s="9"/>
    </row>
    <row r="57" customFormat="false" ht="14.25" hidden="false" customHeight="false" outlineLevel="0" collapsed="false">
      <c r="C57" s="9"/>
      <c r="D57" s="9"/>
    </row>
    <row r="58" customFormat="false" ht="14.25" hidden="false" customHeight="false" outlineLevel="0" collapsed="false">
      <c r="C58" s="9"/>
      <c r="D58" s="9"/>
    </row>
    <row r="59" customFormat="false" ht="14.25" hidden="false" customHeight="false" outlineLevel="0" collapsed="false">
      <c r="C59" s="9"/>
      <c r="D59" s="9"/>
    </row>
    <row r="60" customFormat="false" ht="14.25" hidden="false" customHeight="false" outlineLevel="0" collapsed="false">
      <c r="C60" s="9"/>
      <c r="D60" s="9"/>
    </row>
    <row r="61" customFormat="false" ht="14.25" hidden="false" customHeight="false" outlineLevel="0" collapsed="false">
      <c r="C61" s="9"/>
      <c r="D61" s="9"/>
    </row>
    <row r="62" customFormat="false" ht="14.25" hidden="false" customHeight="false" outlineLevel="0" collapsed="false">
      <c r="C62" s="9"/>
      <c r="D62" s="9"/>
    </row>
    <row r="63" customFormat="false" ht="14.25" hidden="false" customHeight="false" outlineLevel="0" collapsed="false">
      <c r="C63" s="9"/>
      <c r="D63" s="9"/>
    </row>
    <row r="64" customFormat="false" ht="14.25" hidden="false" customHeight="false" outlineLevel="0" collapsed="false">
      <c r="C64" s="9"/>
      <c r="D64" s="9"/>
    </row>
    <row r="65" customFormat="false" ht="14.25" hidden="false" customHeight="false" outlineLevel="0" collapsed="false">
      <c r="C65" s="9"/>
      <c r="D65" s="9"/>
    </row>
    <row r="66" customFormat="false" ht="14.25" hidden="false" customHeight="false" outlineLevel="0" collapsed="false">
      <c r="C66" s="9"/>
      <c r="D66" s="9"/>
    </row>
    <row r="67" customFormat="false" ht="14.25" hidden="false" customHeight="false" outlineLevel="0" collapsed="false">
      <c r="C67" s="9"/>
      <c r="D67" s="9"/>
    </row>
    <row r="68" customFormat="false" ht="14.25" hidden="false" customHeight="false" outlineLevel="0" collapsed="false">
      <c r="C68" s="9"/>
      <c r="D68" s="9"/>
    </row>
    <row r="69" customFormat="false" ht="14.25" hidden="false" customHeight="false" outlineLevel="0" collapsed="false">
      <c r="C69" s="9"/>
      <c r="D69" s="9"/>
    </row>
    <row r="70" customFormat="false" ht="14.25" hidden="false" customHeight="false" outlineLevel="0" collapsed="false">
      <c r="C70" s="9"/>
      <c r="D70" s="9"/>
    </row>
    <row r="71" customFormat="false" ht="14.25" hidden="false" customHeight="false" outlineLevel="0" collapsed="false">
      <c r="C71" s="9"/>
      <c r="D71" s="9"/>
    </row>
    <row r="72" customFormat="false" ht="14.25" hidden="false" customHeight="false" outlineLevel="0" collapsed="false">
      <c r="C72" s="9"/>
      <c r="D72" s="9"/>
    </row>
    <row r="73" customFormat="false" ht="14.25" hidden="false" customHeight="false" outlineLevel="0" collapsed="false">
      <c r="C73" s="9"/>
      <c r="D73" s="9"/>
    </row>
    <row r="74" customFormat="false" ht="14.25" hidden="false" customHeight="false" outlineLevel="0" collapsed="false">
      <c r="C74" s="9"/>
      <c r="D74" s="9"/>
    </row>
    <row r="75" customFormat="false" ht="14.25" hidden="false" customHeight="false" outlineLevel="0" collapsed="false">
      <c r="C75" s="9"/>
      <c r="D75" s="9"/>
    </row>
    <row r="76" customFormat="false" ht="14.25" hidden="false" customHeight="false" outlineLevel="0" collapsed="false">
      <c r="C76" s="9"/>
      <c r="D76" s="9"/>
    </row>
    <row r="77" customFormat="false" ht="14.25" hidden="false" customHeight="false" outlineLevel="0" collapsed="false">
      <c r="C77" s="9"/>
      <c r="D77" s="9"/>
    </row>
    <row r="78" customFormat="false" ht="14.25" hidden="false" customHeight="false" outlineLevel="0" collapsed="false">
      <c r="C78" s="9"/>
      <c r="D78" s="9"/>
    </row>
    <row r="79" customFormat="false" ht="14.25" hidden="false" customHeight="false" outlineLevel="0" collapsed="false">
      <c r="C79" s="9"/>
      <c r="D79" s="9"/>
    </row>
    <row r="80" customFormat="false" ht="14.25" hidden="false" customHeight="false" outlineLevel="0" collapsed="false">
      <c r="C80" s="9"/>
      <c r="D80" s="9"/>
    </row>
    <row r="81" customFormat="false" ht="14.25" hidden="false" customHeight="false" outlineLevel="0" collapsed="false">
      <c r="C81" s="9"/>
      <c r="D81" s="9"/>
    </row>
    <row r="82" customFormat="false" ht="14.25" hidden="false" customHeight="false" outlineLevel="0" collapsed="false">
      <c r="C82" s="9"/>
      <c r="D82" s="9"/>
    </row>
    <row r="83" customFormat="false" ht="14.25" hidden="false" customHeight="false" outlineLevel="0" collapsed="false">
      <c r="C83" s="9"/>
      <c r="D83" s="9"/>
    </row>
    <row r="84" customFormat="false" ht="14.25" hidden="false" customHeight="false" outlineLevel="0" collapsed="false">
      <c r="C84" s="9"/>
      <c r="D84" s="9"/>
    </row>
    <row r="85" customFormat="false" ht="14.25" hidden="false" customHeight="false" outlineLevel="0" collapsed="false">
      <c r="C85" s="9"/>
      <c r="D85" s="9"/>
    </row>
    <row r="86" customFormat="false" ht="14.25" hidden="false" customHeight="false" outlineLevel="0" collapsed="false">
      <c r="C86" s="9"/>
      <c r="D86" s="9"/>
    </row>
    <row r="87" customFormat="false" ht="14.25" hidden="false" customHeight="false" outlineLevel="0" collapsed="false">
      <c r="C87" s="9"/>
      <c r="D87" s="9"/>
    </row>
    <row r="88" customFormat="false" ht="14.25" hidden="false" customHeight="false" outlineLevel="0" collapsed="false">
      <c r="C88" s="9"/>
      <c r="D88" s="9"/>
    </row>
    <row r="89" customFormat="false" ht="14.25" hidden="false" customHeight="false" outlineLevel="0" collapsed="false">
      <c r="C89" s="9"/>
      <c r="D89" s="9"/>
    </row>
    <row r="90" customFormat="false" ht="14.25" hidden="false" customHeight="false" outlineLevel="0" collapsed="false">
      <c r="C90" s="9"/>
      <c r="D90" s="9"/>
    </row>
    <row r="91" customFormat="false" ht="14.25" hidden="false" customHeight="false" outlineLevel="0" collapsed="false">
      <c r="C91" s="9"/>
      <c r="D91" s="9"/>
    </row>
    <row r="92" customFormat="false" ht="14.25" hidden="false" customHeight="false" outlineLevel="0" collapsed="false">
      <c r="C92" s="9"/>
      <c r="D92" s="9"/>
    </row>
    <row r="93" customFormat="false" ht="14.25" hidden="false" customHeight="false" outlineLevel="0" collapsed="false">
      <c r="C93" s="9"/>
      <c r="D93" s="9"/>
    </row>
    <row r="94" customFormat="false" ht="14.25" hidden="false" customHeight="false" outlineLevel="0" collapsed="false">
      <c r="C94" s="9"/>
      <c r="D94" s="9"/>
    </row>
    <row r="95" customFormat="false" ht="14.25" hidden="false" customHeight="false" outlineLevel="0" collapsed="false">
      <c r="C95" s="9"/>
      <c r="D95" s="9"/>
    </row>
    <row r="96" customFormat="false" ht="14.25" hidden="false" customHeight="false" outlineLevel="0" collapsed="false">
      <c r="C96" s="9"/>
      <c r="D96" s="9"/>
    </row>
    <row r="97" customFormat="false" ht="14.25" hidden="false" customHeight="false" outlineLevel="0" collapsed="false">
      <c r="C97" s="9"/>
      <c r="D97" s="9"/>
    </row>
    <row r="98" customFormat="false" ht="14.25" hidden="false" customHeight="false" outlineLevel="0" collapsed="false">
      <c r="C98" s="9"/>
      <c r="D98" s="9"/>
    </row>
    <row r="99" customFormat="false" ht="14.25" hidden="false" customHeight="false" outlineLevel="0" collapsed="false">
      <c r="C99" s="9"/>
      <c r="D99" s="9"/>
    </row>
    <row r="100" customFormat="false" ht="14.25" hidden="false" customHeight="false" outlineLevel="0" collapsed="false">
      <c r="C100" s="9"/>
      <c r="D100" s="9"/>
    </row>
    <row r="101" customFormat="false" ht="14.25" hidden="false" customHeight="false" outlineLevel="0" collapsed="false">
      <c r="C101" s="9"/>
      <c r="D101" s="9"/>
    </row>
    <row r="102" customFormat="false" ht="14.25" hidden="false" customHeight="false" outlineLevel="0" collapsed="false">
      <c r="C102" s="9"/>
      <c r="D102" s="9"/>
    </row>
    <row r="103" customFormat="false" ht="14.25" hidden="false" customHeight="false" outlineLevel="0" collapsed="false">
      <c r="C103" s="9"/>
      <c r="D103" s="9"/>
    </row>
    <row r="104" customFormat="false" ht="14.25" hidden="false" customHeight="false" outlineLevel="0" collapsed="false">
      <c r="C104" s="9"/>
      <c r="D104" s="9"/>
    </row>
    <row r="105" customFormat="false" ht="14.25" hidden="false" customHeight="false" outlineLevel="0" collapsed="false">
      <c r="C105" s="9"/>
      <c r="D105" s="9"/>
    </row>
    <row r="106" customFormat="false" ht="14.25" hidden="false" customHeight="false" outlineLevel="0" collapsed="false">
      <c r="C106" s="9"/>
      <c r="D106" s="9"/>
    </row>
    <row r="107" customFormat="false" ht="14.25" hidden="false" customHeight="false" outlineLevel="0" collapsed="false">
      <c r="C107" s="9"/>
      <c r="D107" s="9"/>
    </row>
    <row r="108" customFormat="false" ht="14.25" hidden="false" customHeight="false" outlineLevel="0" collapsed="false">
      <c r="C108" s="9"/>
      <c r="D108" s="9"/>
    </row>
    <row r="109" customFormat="false" ht="14.25" hidden="false" customHeight="false" outlineLevel="0" collapsed="false">
      <c r="C109" s="9"/>
      <c r="D109" s="9"/>
    </row>
    <row r="110" customFormat="false" ht="14.25" hidden="false" customHeight="false" outlineLevel="0" collapsed="false">
      <c r="C110" s="9"/>
      <c r="D110" s="9"/>
    </row>
    <row r="111" customFormat="false" ht="14.25" hidden="false" customHeight="false" outlineLevel="0" collapsed="false">
      <c r="C111" s="9"/>
      <c r="D111" s="9"/>
    </row>
    <row r="112" customFormat="false" ht="14.25" hidden="false" customHeight="false" outlineLevel="0" collapsed="false">
      <c r="C112" s="9"/>
      <c r="D112" s="9"/>
    </row>
    <row r="113" customFormat="false" ht="14.25" hidden="false" customHeight="false" outlineLevel="0" collapsed="false">
      <c r="C113" s="9"/>
      <c r="D113" s="9"/>
    </row>
    <row r="114" customFormat="false" ht="14.25" hidden="false" customHeight="false" outlineLevel="0" collapsed="false">
      <c r="C114" s="9"/>
      <c r="D114" s="9"/>
    </row>
    <row r="115" customFormat="false" ht="14.25" hidden="false" customHeight="false" outlineLevel="0" collapsed="false">
      <c r="C115" s="9"/>
      <c r="D115" s="9"/>
    </row>
    <row r="116" customFormat="false" ht="14.25" hidden="false" customHeight="false" outlineLevel="0" collapsed="false">
      <c r="C116" s="9"/>
      <c r="D116" s="9"/>
    </row>
    <row r="117" customFormat="false" ht="14.25" hidden="false" customHeight="false" outlineLevel="0" collapsed="false">
      <c r="C117" s="9"/>
      <c r="D117" s="9"/>
    </row>
    <row r="118" customFormat="false" ht="14.25" hidden="false" customHeight="false" outlineLevel="0" collapsed="false">
      <c r="C118" s="9"/>
      <c r="D118" s="9"/>
    </row>
    <row r="119" customFormat="false" ht="14.25" hidden="false" customHeight="false" outlineLevel="0" collapsed="false">
      <c r="C119" s="9"/>
      <c r="D119" s="9"/>
    </row>
    <row r="120" customFormat="false" ht="14.25" hidden="false" customHeight="false" outlineLevel="0" collapsed="false">
      <c r="C120" s="9"/>
      <c r="D120" s="9"/>
    </row>
    <row r="121" customFormat="false" ht="14.25" hidden="false" customHeight="false" outlineLevel="0" collapsed="false">
      <c r="C121" s="9"/>
      <c r="D121" s="9"/>
    </row>
    <row r="122" customFormat="false" ht="14.25" hidden="false" customHeight="false" outlineLevel="0" collapsed="false">
      <c r="C122" s="9"/>
      <c r="D122" s="9"/>
    </row>
    <row r="123" customFormat="false" ht="14.25" hidden="false" customHeight="false" outlineLevel="0" collapsed="false">
      <c r="C123" s="9"/>
      <c r="D123" s="9"/>
    </row>
    <row r="124" customFormat="false" ht="14.25" hidden="false" customHeight="false" outlineLevel="0" collapsed="false">
      <c r="C124" s="9"/>
      <c r="D124" s="9"/>
    </row>
    <row r="125" customFormat="false" ht="14.25" hidden="false" customHeight="false" outlineLevel="0" collapsed="false">
      <c r="C125" s="9"/>
      <c r="D125" s="9"/>
    </row>
    <row r="126" customFormat="false" ht="14.25" hidden="false" customHeight="false" outlineLevel="0" collapsed="false">
      <c r="C126" s="9"/>
      <c r="D126" s="9"/>
    </row>
    <row r="127" customFormat="false" ht="14.25" hidden="false" customHeight="false" outlineLevel="0" collapsed="false">
      <c r="C127" s="9"/>
      <c r="D127" s="9"/>
    </row>
    <row r="128" customFormat="false" ht="14.25" hidden="false" customHeight="false" outlineLevel="0" collapsed="false">
      <c r="C128" s="9"/>
      <c r="D128" s="9"/>
    </row>
    <row r="129" customFormat="false" ht="14.25" hidden="false" customHeight="false" outlineLevel="0" collapsed="false">
      <c r="C129" s="9"/>
      <c r="D129" s="9"/>
    </row>
    <row r="130" customFormat="false" ht="14.25" hidden="false" customHeight="false" outlineLevel="0" collapsed="false">
      <c r="C130" s="9"/>
      <c r="D130" s="9"/>
    </row>
    <row r="131" customFormat="false" ht="14.25" hidden="false" customHeight="false" outlineLevel="0" collapsed="false">
      <c r="C131" s="9"/>
      <c r="D131" s="9"/>
    </row>
    <row r="132" customFormat="false" ht="14.25" hidden="false" customHeight="false" outlineLevel="0" collapsed="false">
      <c r="C132" s="9"/>
      <c r="D132" s="9"/>
    </row>
    <row r="133" customFormat="false" ht="14.25" hidden="false" customHeight="false" outlineLevel="0" collapsed="false">
      <c r="C133" s="9"/>
      <c r="D133" s="9"/>
    </row>
    <row r="134" customFormat="false" ht="14.25" hidden="false" customHeight="false" outlineLevel="0" collapsed="false">
      <c r="C134" s="9"/>
      <c r="D134" s="9"/>
    </row>
    <row r="135" customFormat="false" ht="14.25" hidden="false" customHeight="false" outlineLevel="0" collapsed="false">
      <c r="C135" s="9"/>
      <c r="D135" s="9"/>
    </row>
    <row r="136" customFormat="false" ht="14.25" hidden="false" customHeight="false" outlineLevel="0" collapsed="false">
      <c r="C136" s="9"/>
      <c r="D136" s="9"/>
    </row>
    <row r="137" customFormat="false" ht="14.25" hidden="false" customHeight="false" outlineLevel="0" collapsed="false">
      <c r="C137" s="9"/>
      <c r="D137" s="9"/>
    </row>
    <row r="138" customFormat="false" ht="14.25" hidden="false" customHeight="false" outlineLevel="0" collapsed="false">
      <c r="C138" s="9"/>
      <c r="D138" s="9"/>
    </row>
    <row r="139" customFormat="false" ht="14.25" hidden="false" customHeight="false" outlineLevel="0" collapsed="false">
      <c r="C139" s="9"/>
      <c r="D139" s="9"/>
    </row>
    <row r="140" customFormat="false" ht="14.25" hidden="false" customHeight="false" outlineLevel="0" collapsed="false">
      <c r="C140" s="9"/>
      <c r="D140" s="9"/>
    </row>
    <row r="141" customFormat="false" ht="14.25" hidden="false" customHeight="false" outlineLevel="0" collapsed="false">
      <c r="C141" s="9"/>
      <c r="D141" s="9"/>
    </row>
    <row r="142" customFormat="false" ht="14.25" hidden="false" customHeight="false" outlineLevel="0" collapsed="false">
      <c r="C142" s="9"/>
      <c r="D142" s="9"/>
    </row>
    <row r="143" customFormat="false" ht="14.25" hidden="false" customHeight="false" outlineLevel="0" collapsed="false">
      <c r="C143" s="9"/>
      <c r="D143" s="9"/>
    </row>
    <row r="144" customFormat="false" ht="14.25" hidden="false" customHeight="false" outlineLevel="0" collapsed="false">
      <c r="C144" s="9"/>
      <c r="D144" s="9"/>
    </row>
    <row r="145" customFormat="false" ht="14.25" hidden="false" customHeight="false" outlineLevel="0" collapsed="false">
      <c r="C145" s="9"/>
      <c r="D145" s="9"/>
    </row>
    <row r="146" customFormat="false" ht="14.25" hidden="false" customHeight="false" outlineLevel="0" collapsed="false">
      <c r="C146" s="9"/>
      <c r="D146" s="9"/>
    </row>
    <row r="147" customFormat="false" ht="14.25" hidden="false" customHeight="false" outlineLevel="0" collapsed="false">
      <c r="C147" s="9"/>
      <c r="D147" s="9"/>
    </row>
    <row r="148" customFormat="false" ht="14.25" hidden="false" customHeight="false" outlineLevel="0" collapsed="false">
      <c r="C148" s="9"/>
      <c r="D148" s="9"/>
    </row>
    <row r="149" customFormat="false" ht="14.25" hidden="false" customHeight="false" outlineLevel="0" collapsed="false">
      <c r="C149" s="9"/>
      <c r="D149" s="9"/>
    </row>
    <row r="150" customFormat="false" ht="14.25" hidden="false" customHeight="false" outlineLevel="0" collapsed="false">
      <c r="C150" s="9"/>
      <c r="D150" s="9"/>
    </row>
    <row r="151" customFormat="false" ht="14.25" hidden="false" customHeight="false" outlineLevel="0" collapsed="false">
      <c r="C151" s="9"/>
      <c r="D151" s="9"/>
    </row>
    <row r="152" customFormat="false" ht="14.25" hidden="false" customHeight="false" outlineLevel="0" collapsed="false">
      <c r="C152" s="9"/>
      <c r="D152" s="9"/>
    </row>
    <row r="153" customFormat="false" ht="14.25" hidden="false" customHeight="false" outlineLevel="0" collapsed="false">
      <c r="C153" s="9"/>
      <c r="D153" s="9"/>
    </row>
    <row r="154" customFormat="false" ht="14.25" hidden="false" customHeight="false" outlineLevel="0" collapsed="false">
      <c r="C154" s="9"/>
      <c r="D154" s="9"/>
    </row>
    <row r="155" customFormat="false" ht="14.25" hidden="false" customHeight="false" outlineLevel="0" collapsed="false">
      <c r="C155" s="9"/>
      <c r="D155" s="9"/>
    </row>
    <row r="156" customFormat="false" ht="14.25" hidden="false" customHeight="false" outlineLevel="0" collapsed="false">
      <c r="C156" s="9"/>
      <c r="D156" s="9"/>
    </row>
    <row r="157" customFormat="false" ht="14.25" hidden="false" customHeight="false" outlineLevel="0" collapsed="false">
      <c r="C157" s="9"/>
      <c r="D157" s="9"/>
    </row>
    <row r="158" customFormat="false" ht="14.25" hidden="false" customHeight="false" outlineLevel="0" collapsed="false">
      <c r="C158" s="9"/>
      <c r="D158" s="9"/>
    </row>
    <row r="159" customFormat="false" ht="14.25" hidden="false" customHeight="false" outlineLevel="0" collapsed="false">
      <c r="C159" s="9"/>
      <c r="D159" s="9"/>
    </row>
    <row r="160" customFormat="false" ht="14.25" hidden="false" customHeight="false" outlineLevel="0" collapsed="false">
      <c r="C160" s="9"/>
      <c r="D160" s="9"/>
    </row>
    <row r="161" customFormat="false" ht="14.25" hidden="false" customHeight="false" outlineLevel="0" collapsed="false">
      <c r="C161" s="9"/>
      <c r="D161" s="9"/>
    </row>
    <row r="162" customFormat="false" ht="14.25" hidden="false" customHeight="false" outlineLevel="0" collapsed="false">
      <c r="C162" s="9"/>
      <c r="D162" s="9"/>
    </row>
    <row r="163" customFormat="false" ht="14.25" hidden="false" customHeight="false" outlineLevel="0" collapsed="false">
      <c r="C163" s="9"/>
      <c r="D163" s="9"/>
    </row>
    <row r="164" customFormat="false" ht="14.25" hidden="false" customHeight="false" outlineLevel="0" collapsed="false">
      <c r="C164" s="9"/>
      <c r="D164" s="9"/>
    </row>
    <row r="165" customFormat="false" ht="14.25" hidden="false" customHeight="false" outlineLevel="0" collapsed="false">
      <c r="C165" s="9"/>
      <c r="D165" s="9"/>
    </row>
    <row r="166" customFormat="false" ht="14.25" hidden="false" customHeight="false" outlineLevel="0" collapsed="false">
      <c r="C166" s="9"/>
      <c r="D166" s="9"/>
    </row>
    <row r="167" customFormat="false" ht="14.25" hidden="false" customHeight="false" outlineLevel="0" collapsed="false">
      <c r="C167" s="9"/>
      <c r="D167" s="9"/>
    </row>
    <row r="168" customFormat="false" ht="14.25" hidden="false" customHeight="false" outlineLevel="0" collapsed="false">
      <c r="C168" s="9"/>
      <c r="D168" s="9"/>
    </row>
    <row r="169" customFormat="false" ht="14.25" hidden="false" customHeight="false" outlineLevel="0" collapsed="false">
      <c r="C169" s="9"/>
      <c r="D169" s="9"/>
    </row>
    <row r="170" customFormat="false" ht="14.25" hidden="false" customHeight="false" outlineLevel="0" collapsed="false">
      <c r="C170" s="9"/>
      <c r="D170" s="9"/>
    </row>
    <row r="171" customFormat="false" ht="14.25" hidden="false" customHeight="false" outlineLevel="0" collapsed="false">
      <c r="C171" s="9"/>
      <c r="D171" s="9"/>
    </row>
    <row r="172" customFormat="false" ht="14.25" hidden="false" customHeight="false" outlineLevel="0" collapsed="false">
      <c r="C172" s="9"/>
      <c r="D172" s="9"/>
    </row>
    <row r="173" customFormat="false" ht="14.25" hidden="false" customHeight="false" outlineLevel="0" collapsed="false">
      <c r="C173" s="9"/>
      <c r="D173" s="9"/>
    </row>
    <row r="174" customFormat="false" ht="14.25" hidden="false" customHeight="false" outlineLevel="0" collapsed="false">
      <c r="C174" s="9"/>
      <c r="D174" s="9"/>
    </row>
    <row r="175" customFormat="false" ht="14.25" hidden="false" customHeight="false" outlineLevel="0" collapsed="false">
      <c r="C175" s="9"/>
      <c r="D175" s="9"/>
    </row>
    <row r="176" customFormat="false" ht="14.25" hidden="false" customHeight="false" outlineLevel="0" collapsed="false">
      <c r="C176" s="9"/>
      <c r="D176" s="9"/>
    </row>
    <row r="177" customFormat="false" ht="14.25" hidden="false" customHeight="false" outlineLevel="0" collapsed="false">
      <c r="C177" s="9"/>
      <c r="D177" s="9"/>
    </row>
    <row r="178" customFormat="false" ht="14.25" hidden="false" customHeight="false" outlineLevel="0" collapsed="false">
      <c r="C178" s="9"/>
      <c r="D178" s="9"/>
    </row>
    <row r="179" customFormat="false" ht="14.25" hidden="false" customHeight="false" outlineLevel="0" collapsed="false">
      <c r="C179" s="9"/>
      <c r="D179" s="9"/>
    </row>
    <row r="180" customFormat="false" ht="14.25" hidden="false" customHeight="false" outlineLevel="0" collapsed="false">
      <c r="C180" s="9"/>
      <c r="D180" s="9"/>
    </row>
    <row r="181" customFormat="false" ht="14.25" hidden="false" customHeight="false" outlineLevel="0" collapsed="false">
      <c r="C181" s="9"/>
      <c r="D181" s="9"/>
    </row>
    <row r="182" customFormat="false" ht="14.25" hidden="false" customHeight="false" outlineLevel="0" collapsed="false">
      <c r="C182" s="9"/>
      <c r="D182" s="9"/>
    </row>
    <row r="183" customFormat="false" ht="14.25" hidden="false" customHeight="false" outlineLevel="0" collapsed="false">
      <c r="C183" s="9"/>
      <c r="D183" s="9"/>
    </row>
    <row r="184" customFormat="false" ht="14.25" hidden="false" customHeight="false" outlineLevel="0" collapsed="false">
      <c r="C184" s="9"/>
      <c r="D184" s="9"/>
    </row>
    <row r="185" customFormat="false" ht="14.25" hidden="false" customHeight="false" outlineLevel="0" collapsed="false">
      <c r="C185" s="9"/>
      <c r="D185" s="9"/>
    </row>
    <row r="186" customFormat="false" ht="14.25" hidden="false" customHeight="false" outlineLevel="0" collapsed="false">
      <c r="C186" s="9"/>
      <c r="D186" s="9"/>
    </row>
    <row r="187" customFormat="false" ht="14.25" hidden="false" customHeight="false" outlineLevel="0" collapsed="false">
      <c r="C187" s="9"/>
      <c r="D187" s="9"/>
    </row>
    <row r="188" customFormat="false" ht="14.25" hidden="false" customHeight="false" outlineLevel="0" collapsed="false">
      <c r="C188" s="9"/>
      <c r="D188" s="9"/>
    </row>
    <row r="189" customFormat="false" ht="14.25" hidden="false" customHeight="false" outlineLevel="0" collapsed="false">
      <c r="C189" s="9"/>
      <c r="D189" s="9"/>
    </row>
    <row r="190" customFormat="false" ht="14.25" hidden="false" customHeight="false" outlineLevel="0" collapsed="false">
      <c r="C190" s="9"/>
      <c r="D190" s="9"/>
    </row>
    <row r="191" customFormat="false" ht="14.25" hidden="false" customHeight="false" outlineLevel="0" collapsed="false">
      <c r="C191" s="9"/>
      <c r="D191" s="9"/>
    </row>
    <row r="192" customFormat="false" ht="14.25" hidden="false" customHeight="false" outlineLevel="0" collapsed="false">
      <c r="C192" s="9"/>
      <c r="D192" s="9"/>
    </row>
    <row r="193" customFormat="false" ht="14.25" hidden="false" customHeight="false" outlineLevel="0" collapsed="false">
      <c r="C193" s="9"/>
      <c r="D193" s="9"/>
    </row>
    <row r="194" customFormat="false" ht="14.25" hidden="false" customHeight="false" outlineLevel="0" collapsed="false">
      <c r="C194" s="9"/>
      <c r="D194" s="9"/>
    </row>
    <row r="195" customFormat="false" ht="14.25" hidden="false" customHeight="false" outlineLevel="0" collapsed="false">
      <c r="C195" s="9"/>
      <c r="D195" s="9"/>
    </row>
    <row r="196" customFormat="false" ht="14.25" hidden="false" customHeight="false" outlineLevel="0" collapsed="false">
      <c r="C196" s="9"/>
      <c r="D196" s="9"/>
    </row>
    <row r="197" customFormat="false" ht="14.25" hidden="false" customHeight="false" outlineLevel="0" collapsed="false">
      <c r="C197" s="9"/>
      <c r="D197" s="9"/>
    </row>
    <row r="198" customFormat="false" ht="14.25" hidden="false" customHeight="false" outlineLevel="0" collapsed="false">
      <c r="C198" s="9"/>
      <c r="D198" s="9"/>
    </row>
    <row r="199" customFormat="false" ht="14.25" hidden="false" customHeight="false" outlineLevel="0" collapsed="false">
      <c r="C199" s="9"/>
      <c r="D199" s="9"/>
    </row>
    <row r="200" customFormat="false" ht="14.25" hidden="false" customHeight="false" outlineLevel="0" collapsed="false">
      <c r="C200" s="9"/>
      <c r="D200" s="9"/>
    </row>
    <row r="201" customFormat="false" ht="14.25" hidden="false" customHeight="false" outlineLevel="0" collapsed="false">
      <c r="C201" s="9"/>
      <c r="D201" s="9"/>
    </row>
    <row r="202" customFormat="false" ht="14.25" hidden="false" customHeight="false" outlineLevel="0" collapsed="false">
      <c r="C202" s="9"/>
      <c r="D202" s="9"/>
    </row>
    <row r="203" customFormat="false" ht="14.25" hidden="false" customHeight="false" outlineLevel="0" collapsed="false">
      <c r="C203" s="9"/>
      <c r="D203" s="9"/>
    </row>
    <row r="204" customFormat="false" ht="14.25" hidden="false" customHeight="false" outlineLevel="0" collapsed="false">
      <c r="C204" s="9"/>
      <c r="D204" s="9"/>
    </row>
    <row r="205" customFormat="false" ht="14.25" hidden="false" customHeight="false" outlineLevel="0" collapsed="false">
      <c r="C205" s="9"/>
      <c r="D205" s="9"/>
    </row>
    <row r="206" customFormat="false" ht="14.25" hidden="false" customHeight="false" outlineLevel="0" collapsed="false">
      <c r="C206" s="9"/>
      <c r="D206" s="9"/>
    </row>
    <row r="207" customFormat="false" ht="14.25" hidden="false" customHeight="false" outlineLevel="0" collapsed="false">
      <c r="C207" s="9"/>
      <c r="D207" s="9"/>
    </row>
    <row r="208" customFormat="false" ht="14.25" hidden="false" customHeight="false" outlineLevel="0" collapsed="false">
      <c r="C208" s="9"/>
      <c r="D208" s="9"/>
    </row>
    <row r="209" customFormat="false" ht="14.25" hidden="false" customHeight="false" outlineLevel="0" collapsed="false">
      <c r="C209" s="9"/>
      <c r="D209" s="9"/>
    </row>
    <row r="210" customFormat="false" ht="14.25" hidden="false" customHeight="false" outlineLevel="0" collapsed="false">
      <c r="C210" s="9"/>
      <c r="D210" s="9"/>
    </row>
    <row r="211" customFormat="false" ht="14.25" hidden="false" customHeight="false" outlineLevel="0" collapsed="false">
      <c r="C211" s="9"/>
      <c r="D211" s="9"/>
    </row>
    <row r="212" customFormat="false" ht="14.25" hidden="false" customHeight="false" outlineLevel="0" collapsed="false">
      <c r="C212" s="9"/>
      <c r="D212" s="9"/>
    </row>
    <row r="213" customFormat="false" ht="14.25" hidden="false" customHeight="false" outlineLevel="0" collapsed="false">
      <c r="C213" s="9"/>
      <c r="D213" s="9"/>
    </row>
    <row r="214" customFormat="false" ht="14.25" hidden="false" customHeight="false" outlineLevel="0" collapsed="false">
      <c r="C214" s="9"/>
      <c r="D214" s="9"/>
    </row>
    <row r="215" customFormat="false" ht="14.25" hidden="false" customHeight="false" outlineLevel="0" collapsed="false">
      <c r="C215" s="9"/>
      <c r="D215" s="9"/>
    </row>
    <row r="216" customFormat="false" ht="14.25" hidden="false" customHeight="false" outlineLevel="0" collapsed="false">
      <c r="C216" s="9"/>
      <c r="D216" s="9"/>
    </row>
    <row r="217" customFormat="false" ht="14.25" hidden="false" customHeight="false" outlineLevel="0" collapsed="false">
      <c r="C217" s="9"/>
      <c r="D217" s="9"/>
    </row>
    <row r="218" customFormat="false" ht="14.25" hidden="false" customHeight="false" outlineLevel="0" collapsed="false">
      <c r="C218" s="9"/>
      <c r="D218" s="9"/>
    </row>
    <row r="219" customFormat="false" ht="14.25" hidden="false" customHeight="false" outlineLevel="0" collapsed="false">
      <c r="C219" s="9"/>
      <c r="D219" s="9"/>
    </row>
    <row r="220" customFormat="false" ht="14.25" hidden="false" customHeight="false" outlineLevel="0" collapsed="false">
      <c r="C220" s="9"/>
      <c r="D220" s="9"/>
    </row>
    <row r="221" customFormat="false" ht="14.25" hidden="false" customHeight="false" outlineLevel="0" collapsed="false">
      <c r="C221" s="9"/>
      <c r="D221" s="9"/>
    </row>
    <row r="222" customFormat="false" ht="14.25" hidden="false" customHeight="false" outlineLevel="0" collapsed="false">
      <c r="C222" s="9"/>
      <c r="D222" s="9"/>
    </row>
    <row r="223" customFormat="false" ht="14.25" hidden="false" customHeight="false" outlineLevel="0" collapsed="false">
      <c r="C223" s="9"/>
      <c r="D223" s="9"/>
    </row>
    <row r="224" customFormat="false" ht="14.25" hidden="false" customHeight="false" outlineLevel="0" collapsed="false">
      <c r="C224" s="9"/>
      <c r="D224" s="9"/>
    </row>
    <row r="225" customFormat="false" ht="14.25" hidden="false" customHeight="false" outlineLevel="0" collapsed="false">
      <c r="C225" s="9"/>
      <c r="D225" s="9"/>
    </row>
    <row r="226" customFormat="false" ht="14.25" hidden="false" customHeight="false" outlineLevel="0" collapsed="false">
      <c r="C226" s="9"/>
      <c r="D226" s="9"/>
    </row>
    <row r="227" customFormat="false" ht="14.25" hidden="false" customHeight="false" outlineLevel="0" collapsed="false">
      <c r="C227" s="9"/>
      <c r="D227" s="9"/>
    </row>
    <row r="228" customFormat="false" ht="14.25" hidden="false" customHeight="false" outlineLevel="0" collapsed="false">
      <c r="C228" s="9"/>
      <c r="D228" s="9"/>
    </row>
    <row r="229" customFormat="false" ht="14.25" hidden="false" customHeight="false" outlineLevel="0" collapsed="false">
      <c r="C229" s="9"/>
      <c r="D229" s="9"/>
    </row>
    <row r="230" customFormat="false" ht="14.25" hidden="false" customHeight="false" outlineLevel="0" collapsed="false">
      <c r="C230" s="9"/>
      <c r="D230" s="9"/>
    </row>
    <row r="231" customFormat="false" ht="14.25" hidden="false" customHeight="false" outlineLevel="0" collapsed="false">
      <c r="C231" s="9"/>
      <c r="D231" s="9"/>
    </row>
    <row r="232" customFormat="false" ht="14.25" hidden="false" customHeight="false" outlineLevel="0" collapsed="false">
      <c r="C232" s="9"/>
      <c r="D232" s="9"/>
    </row>
    <row r="233" customFormat="false" ht="14.25" hidden="false" customHeight="false" outlineLevel="0" collapsed="false">
      <c r="C233" s="9"/>
      <c r="D233" s="9"/>
    </row>
    <row r="234" customFormat="false" ht="14.25" hidden="false" customHeight="false" outlineLevel="0" collapsed="false">
      <c r="C234" s="9"/>
      <c r="D234" s="9"/>
    </row>
    <row r="235" customFormat="false" ht="14.25" hidden="false" customHeight="false" outlineLevel="0" collapsed="false">
      <c r="C235" s="9"/>
      <c r="D235" s="9"/>
    </row>
    <row r="236" customFormat="false" ht="14.25" hidden="false" customHeight="false" outlineLevel="0" collapsed="false">
      <c r="C236" s="9"/>
      <c r="D236" s="9"/>
    </row>
    <row r="237" customFormat="false" ht="14.25" hidden="false" customHeight="false" outlineLevel="0" collapsed="false">
      <c r="C237" s="9"/>
      <c r="D237" s="9"/>
    </row>
    <row r="238" customFormat="false" ht="14.25" hidden="false" customHeight="false" outlineLevel="0" collapsed="false">
      <c r="C238" s="9"/>
      <c r="D238" s="9"/>
    </row>
    <row r="239" customFormat="false" ht="14.25" hidden="false" customHeight="false" outlineLevel="0" collapsed="false">
      <c r="C239" s="9"/>
      <c r="D239" s="9"/>
    </row>
    <row r="240" customFormat="false" ht="14.25" hidden="false" customHeight="false" outlineLevel="0" collapsed="false">
      <c r="C240" s="9"/>
      <c r="D240" s="9"/>
    </row>
    <row r="241" customFormat="false" ht="14.25" hidden="false" customHeight="false" outlineLevel="0" collapsed="false">
      <c r="C241" s="9"/>
      <c r="D241" s="9"/>
    </row>
    <row r="242" customFormat="false" ht="14.25" hidden="false" customHeight="false" outlineLevel="0" collapsed="false">
      <c r="C242" s="9"/>
      <c r="D242" s="9"/>
    </row>
    <row r="243" customFormat="false" ht="14.25" hidden="false" customHeight="false" outlineLevel="0" collapsed="false">
      <c r="C243" s="9"/>
      <c r="D243" s="9"/>
    </row>
    <row r="244" customFormat="false" ht="14.25" hidden="false" customHeight="false" outlineLevel="0" collapsed="false">
      <c r="C244" s="9"/>
      <c r="D244" s="9"/>
    </row>
    <row r="245" customFormat="false" ht="14.25" hidden="false" customHeight="false" outlineLevel="0" collapsed="false">
      <c r="C245" s="9"/>
      <c r="D245" s="9"/>
    </row>
    <row r="246" customFormat="false" ht="14.25" hidden="false" customHeight="false" outlineLevel="0" collapsed="false">
      <c r="C246" s="9"/>
      <c r="D246" s="9"/>
    </row>
    <row r="247" customFormat="false" ht="14.25" hidden="false" customHeight="false" outlineLevel="0" collapsed="false">
      <c r="C247" s="9"/>
      <c r="D247" s="9"/>
    </row>
    <row r="248" customFormat="false" ht="14.25" hidden="false" customHeight="false" outlineLevel="0" collapsed="false">
      <c r="C248" s="9"/>
      <c r="D248" s="9"/>
    </row>
    <row r="249" customFormat="false" ht="14.25" hidden="false" customHeight="false" outlineLevel="0" collapsed="false">
      <c r="C249" s="9"/>
      <c r="D249" s="9"/>
    </row>
    <row r="250" customFormat="false" ht="14.25" hidden="false" customHeight="false" outlineLevel="0" collapsed="false">
      <c r="C250" s="9"/>
      <c r="D250" s="9"/>
    </row>
    <row r="251" customFormat="false" ht="14.25" hidden="false" customHeight="false" outlineLevel="0" collapsed="false">
      <c r="C251" s="9"/>
      <c r="D251" s="9"/>
    </row>
    <row r="252" customFormat="false" ht="14.25" hidden="false" customHeight="false" outlineLevel="0" collapsed="false">
      <c r="C252" s="9"/>
      <c r="D252" s="9"/>
    </row>
    <row r="253" customFormat="false" ht="14.25" hidden="false" customHeight="false" outlineLevel="0" collapsed="false">
      <c r="C253" s="9"/>
      <c r="D253" s="9"/>
    </row>
    <row r="254" customFormat="false" ht="14.25" hidden="false" customHeight="false" outlineLevel="0" collapsed="false">
      <c r="C254" s="9"/>
      <c r="D254" s="9"/>
    </row>
    <row r="255" customFormat="false" ht="14.25" hidden="false" customHeight="false" outlineLevel="0" collapsed="false">
      <c r="C255" s="9"/>
      <c r="D255" s="9"/>
    </row>
    <row r="256" customFormat="false" ht="14.25" hidden="false" customHeight="false" outlineLevel="0" collapsed="false">
      <c r="C256" s="9"/>
      <c r="D256" s="9"/>
    </row>
    <row r="257" customFormat="false" ht="14.25" hidden="false" customHeight="false" outlineLevel="0" collapsed="false">
      <c r="C257" s="9"/>
      <c r="D257" s="9"/>
    </row>
    <row r="258" customFormat="false" ht="14.25" hidden="false" customHeight="false" outlineLevel="0" collapsed="false">
      <c r="C258" s="9"/>
      <c r="D258" s="9"/>
    </row>
    <row r="259" customFormat="false" ht="14.25" hidden="false" customHeight="false" outlineLevel="0" collapsed="false">
      <c r="C259" s="9"/>
      <c r="D259" s="9"/>
    </row>
    <row r="260" customFormat="false" ht="14.25" hidden="false" customHeight="false" outlineLevel="0" collapsed="false">
      <c r="C260" s="9"/>
      <c r="D260" s="9"/>
    </row>
    <row r="261" customFormat="false" ht="14.25" hidden="false" customHeight="false" outlineLevel="0" collapsed="false">
      <c r="C261" s="9"/>
      <c r="D261" s="9"/>
    </row>
    <row r="262" customFormat="false" ht="14.25" hidden="false" customHeight="false" outlineLevel="0" collapsed="false">
      <c r="C262" s="9"/>
      <c r="D262" s="9"/>
    </row>
    <row r="263" customFormat="false" ht="14.25" hidden="false" customHeight="false" outlineLevel="0" collapsed="false">
      <c r="C263" s="9"/>
      <c r="D263" s="9"/>
    </row>
    <row r="264" customFormat="false" ht="14.25" hidden="false" customHeight="false" outlineLevel="0" collapsed="false">
      <c r="C264" s="9"/>
      <c r="D264" s="9"/>
    </row>
    <row r="265" customFormat="false" ht="14.25" hidden="false" customHeight="false" outlineLevel="0" collapsed="false">
      <c r="C265" s="9"/>
      <c r="D265" s="9"/>
    </row>
    <row r="266" customFormat="false" ht="14.25" hidden="false" customHeight="false" outlineLevel="0" collapsed="false">
      <c r="C266" s="9"/>
      <c r="D266" s="9"/>
    </row>
    <row r="267" customFormat="false" ht="14.25" hidden="false" customHeight="false" outlineLevel="0" collapsed="false">
      <c r="C267" s="9"/>
      <c r="D267" s="9"/>
    </row>
    <row r="268" customFormat="false" ht="14.25" hidden="false" customHeight="false" outlineLevel="0" collapsed="false">
      <c r="C268" s="9"/>
      <c r="D268" s="9"/>
    </row>
    <row r="269" customFormat="false" ht="14.25" hidden="false" customHeight="false" outlineLevel="0" collapsed="false">
      <c r="C269" s="9"/>
      <c r="D269" s="9"/>
    </row>
    <row r="270" customFormat="false" ht="14.25" hidden="false" customHeight="false" outlineLevel="0" collapsed="false">
      <c r="C270" s="9"/>
      <c r="D270" s="9"/>
    </row>
    <row r="271" customFormat="false" ht="14.25" hidden="false" customHeight="false" outlineLevel="0" collapsed="false">
      <c r="C271" s="9"/>
      <c r="D271" s="9"/>
    </row>
    <row r="272" customFormat="false" ht="14.25" hidden="false" customHeight="false" outlineLevel="0" collapsed="false">
      <c r="C272" s="9"/>
      <c r="D272" s="9"/>
    </row>
    <row r="273" customFormat="false" ht="14.25" hidden="false" customHeight="false" outlineLevel="0" collapsed="false">
      <c r="C273" s="9"/>
      <c r="D273" s="9"/>
    </row>
    <row r="274" customFormat="false" ht="14.25" hidden="false" customHeight="false" outlineLevel="0" collapsed="false">
      <c r="C274" s="9"/>
      <c r="D274" s="9"/>
    </row>
    <row r="275" customFormat="false" ht="14.25" hidden="false" customHeight="false" outlineLevel="0" collapsed="false">
      <c r="C275" s="9"/>
      <c r="D275" s="9"/>
    </row>
    <row r="276" customFormat="false" ht="14.25" hidden="false" customHeight="false" outlineLevel="0" collapsed="false">
      <c r="C276" s="9"/>
      <c r="D276" s="9"/>
    </row>
    <row r="277" customFormat="false" ht="14.25" hidden="false" customHeight="false" outlineLevel="0" collapsed="false">
      <c r="C277" s="9"/>
      <c r="D277" s="9"/>
    </row>
    <row r="278" customFormat="false" ht="14.25" hidden="false" customHeight="false" outlineLevel="0" collapsed="false">
      <c r="C278" s="9"/>
      <c r="D278" s="9"/>
    </row>
    <row r="279" customFormat="false" ht="14.25" hidden="false" customHeight="false" outlineLevel="0" collapsed="false">
      <c r="C279" s="9"/>
      <c r="D279" s="9"/>
    </row>
    <row r="280" customFormat="false" ht="14.25" hidden="false" customHeight="false" outlineLevel="0" collapsed="false">
      <c r="C280" s="9"/>
      <c r="D280" s="9"/>
    </row>
    <row r="281" customFormat="false" ht="14.25" hidden="false" customHeight="false" outlineLevel="0" collapsed="false">
      <c r="C281" s="9"/>
      <c r="D281" s="9"/>
    </row>
    <row r="282" customFormat="false" ht="14.25" hidden="false" customHeight="false" outlineLevel="0" collapsed="false">
      <c r="C282" s="9"/>
      <c r="D282" s="9"/>
    </row>
    <row r="283" customFormat="false" ht="14.25" hidden="false" customHeight="false" outlineLevel="0" collapsed="false">
      <c r="C283" s="9"/>
      <c r="D283" s="9"/>
    </row>
    <row r="284" customFormat="false" ht="14.25" hidden="false" customHeight="false" outlineLevel="0" collapsed="false">
      <c r="C284" s="9"/>
      <c r="D284" s="9"/>
    </row>
    <row r="285" customFormat="false" ht="14.25" hidden="false" customHeight="false" outlineLevel="0" collapsed="false">
      <c r="C285" s="9"/>
      <c r="D285" s="9"/>
    </row>
    <row r="286" customFormat="false" ht="14.25" hidden="false" customHeight="false" outlineLevel="0" collapsed="false">
      <c r="C286" s="9"/>
      <c r="D286" s="9"/>
    </row>
    <row r="287" customFormat="false" ht="14.25" hidden="false" customHeight="false" outlineLevel="0" collapsed="false">
      <c r="C287" s="9"/>
      <c r="D287" s="9"/>
    </row>
    <row r="288" customFormat="false" ht="14.25" hidden="false" customHeight="false" outlineLevel="0" collapsed="false">
      <c r="C288" s="9"/>
      <c r="D288" s="9"/>
    </row>
    <row r="289" customFormat="false" ht="14.25" hidden="false" customHeight="false" outlineLevel="0" collapsed="false">
      <c r="C289" s="9"/>
      <c r="D289" s="9"/>
    </row>
    <row r="290" customFormat="false" ht="14.25" hidden="false" customHeight="false" outlineLevel="0" collapsed="false">
      <c r="C290" s="9"/>
      <c r="D290" s="9"/>
    </row>
    <row r="291" customFormat="false" ht="14.25" hidden="false" customHeight="false" outlineLevel="0" collapsed="false">
      <c r="C291" s="9"/>
      <c r="D291" s="9"/>
    </row>
    <row r="292" customFormat="false" ht="14.25" hidden="false" customHeight="false" outlineLevel="0" collapsed="false">
      <c r="C292" s="9"/>
      <c r="D292" s="9"/>
    </row>
    <row r="293" customFormat="false" ht="14.25" hidden="false" customHeight="false" outlineLevel="0" collapsed="false">
      <c r="C293" s="9"/>
      <c r="D293" s="9"/>
    </row>
    <row r="294" customFormat="false" ht="14.25" hidden="false" customHeight="false" outlineLevel="0" collapsed="false">
      <c r="C294" s="9"/>
      <c r="D294" s="9"/>
    </row>
    <row r="295" customFormat="false" ht="14.25" hidden="false" customHeight="false" outlineLevel="0" collapsed="false">
      <c r="C295" s="9"/>
      <c r="D295" s="9"/>
    </row>
    <row r="296" customFormat="false" ht="14.25" hidden="false" customHeight="false" outlineLevel="0" collapsed="false">
      <c r="C296" s="9"/>
      <c r="D296" s="9"/>
    </row>
    <row r="297" customFormat="false" ht="14.25" hidden="false" customHeight="false" outlineLevel="0" collapsed="false">
      <c r="C297" s="9"/>
      <c r="D297" s="9"/>
    </row>
    <row r="298" customFormat="false" ht="14.25" hidden="false" customHeight="false" outlineLevel="0" collapsed="false">
      <c r="C298" s="9"/>
      <c r="D298" s="9"/>
    </row>
    <row r="299" customFormat="false" ht="14.25" hidden="false" customHeight="false" outlineLevel="0" collapsed="false">
      <c r="C299" s="9"/>
      <c r="D299" s="9"/>
    </row>
    <row r="300" customFormat="false" ht="14.25" hidden="false" customHeight="false" outlineLevel="0" collapsed="false">
      <c r="C300" s="9"/>
      <c r="D300" s="9"/>
    </row>
    <row r="301" customFormat="false" ht="14.25" hidden="false" customHeight="false" outlineLevel="0" collapsed="false">
      <c r="C301" s="9"/>
      <c r="D301" s="9"/>
    </row>
    <row r="302" customFormat="false" ht="14.25" hidden="false" customHeight="false" outlineLevel="0" collapsed="false">
      <c r="C302" s="9"/>
      <c r="D302" s="9"/>
    </row>
    <row r="303" customFormat="false" ht="14.25" hidden="false" customHeight="false" outlineLevel="0" collapsed="false">
      <c r="C303" s="9"/>
      <c r="D303" s="9"/>
    </row>
    <row r="304" customFormat="false" ht="14.25" hidden="false" customHeight="false" outlineLevel="0" collapsed="false">
      <c r="C304" s="9"/>
      <c r="D304" s="9"/>
    </row>
    <row r="305" customFormat="false" ht="14.25" hidden="false" customHeight="false" outlineLevel="0" collapsed="false">
      <c r="C305" s="9"/>
      <c r="D305" s="9"/>
    </row>
    <row r="306" customFormat="false" ht="14.25" hidden="false" customHeight="false" outlineLevel="0" collapsed="false">
      <c r="C306" s="9"/>
      <c r="D306" s="9"/>
    </row>
    <row r="307" customFormat="false" ht="14.25" hidden="false" customHeight="false" outlineLevel="0" collapsed="false">
      <c r="C307" s="9"/>
      <c r="D307" s="9"/>
    </row>
    <row r="308" customFormat="false" ht="14.25" hidden="false" customHeight="false" outlineLevel="0" collapsed="false">
      <c r="C308" s="9"/>
      <c r="D308" s="9"/>
    </row>
    <row r="309" customFormat="false" ht="14.25" hidden="false" customHeight="false" outlineLevel="0" collapsed="false">
      <c r="C309" s="9"/>
      <c r="D309" s="9"/>
    </row>
    <row r="310" customFormat="false" ht="14.25" hidden="false" customHeight="false" outlineLevel="0" collapsed="false">
      <c r="C310" s="9"/>
      <c r="D310" s="9"/>
    </row>
    <row r="311" customFormat="false" ht="14.25" hidden="false" customHeight="false" outlineLevel="0" collapsed="false">
      <c r="C311" s="9"/>
      <c r="D311" s="9"/>
    </row>
    <row r="312" customFormat="false" ht="14.25" hidden="false" customHeight="false" outlineLevel="0" collapsed="false">
      <c r="C312" s="9"/>
      <c r="D312" s="9"/>
    </row>
    <row r="313" customFormat="false" ht="14.25" hidden="false" customHeight="false" outlineLevel="0" collapsed="false">
      <c r="C313" s="9"/>
      <c r="D313" s="9"/>
    </row>
    <row r="314" customFormat="false" ht="14.25" hidden="false" customHeight="false" outlineLevel="0" collapsed="false">
      <c r="C314" s="9"/>
      <c r="D314" s="9"/>
    </row>
    <row r="315" customFormat="false" ht="14.25" hidden="false" customHeight="false" outlineLevel="0" collapsed="false">
      <c r="C315" s="9"/>
      <c r="D315" s="9"/>
    </row>
    <row r="316" customFormat="false" ht="14.25" hidden="false" customHeight="false" outlineLevel="0" collapsed="false">
      <c r="C316" s="9"/>
      <c r="D316" s="9"/>
    </row>
    <row r="317" customFormat="false" ht="14.25" hidden="false" customHeight="false" outlineLevel="0" collapsed="false">
      <c r="C317" s="9"/>
      <c r="D317" s="9"/>
    </row>
    <row r="318" customFormat="false" ht="14.25" hidden="false" customHeight="false" outlineLevel="0" collapsed="false">
      <c r="C318" s="9"/>
      <c r="D318" s="9"/>
    </row>
    <row r="319" customFormat="false" ht="14.25" hidden="false" customHeight="false" outlineLevel="0" collapsed="false">
      <c r="C319" s="9"/>
      <c r="D319" s="9"/>
    </row>
    <row r="320" customFormat="false" ht="14.25" hidden="false" customHeight="false" outlineLevel="0" collapsed="false">
      <c r="C320" s="9"/>
      <c r="D320" s="9"/>
    </row>
    <row r="321" customFormat="false" ht="14.25" hidden="false" customHeight="false" outlineLevel="0" collapsed="false">
      <c r="C321" s="9"/>
      <c r="D321" s="9"/>
    </row>
    <row r="322" customFormat="false" ht="14.25" hidden="false" customHeight="false" outlineLevel="0" collapsed="false">
      <c r="C322" s="9"/>
      <c r="D322" s="9"/>
    </row>
    <row r="323" customFormat="false" ht="14.25" hidden="false" customHeight="false" outlineLevel="0" collapsed="false">
      <c r="C323" s="9"/>
      <c r="D323" s="9"/>
    </row>
    <row r="324" customFormat="false" ht="14.25" hidden="false" customHeight="false" outlineLevel="0" collapsed="false">
      <c r="C324" s="9"/>
      <c r="D324" s="9"/>
    </row>
    <row r="325" customFormat="false" ht="14.25" hidden="false" customHeight="false" outlineLevel="0" collapsed="false">
      <c r="C325" s="9"/>
      <c r="D325" s="9"/>
    </row>
    <row r="326" customFormat="false" ht="14.25" hidden="false" customHeight="false" outlineLevel="0" collapsed="false">
      <c r="C326" s="9"/>
      <c r="D326" s="9"/>
    </row>
    <row r="327" customFormat="false" ht="14.25" hidden="false" customHeight="false" outlineLevel="0" collapsed="false">
      <c r="C327" s="9"/>
      <c r="D327" s="9"/>
    </row>
    <row r="328" customFormat="false" ht="14.25" hidden="false" customHeight="false" outlineLevel="0" collapsed="false">
      <c r="C328" s="9"/>
      <c r="D328" s="9"/>
    </row>
    <row r="329" customFormat="false" ht="14.25" hidden="false" customHeight="false" outlineLevel="0" collapsed="false">
      <c r="C329" s="9"/>
      <c r="D329" s="9"/>
    </row>
    <row r="330" customFormat="false" ht="14.25" hidden="false" customHeight="false" outlineLevel="0" collapsed="false">
      <c r="C330" s="9"/>
      <c r="D330" s="9"/>
    </row>
    <row r="331" customFormat="false" ht="14.25" hidden="false" customHeight="false" outlineLevel="0" collapsed="false">
      <c r="C331" s="9"/>
      <c r="D331" s="9"/>
    </row>
    <row r="332" customFormat="false" ht="14.25" hidden="false" customHeight="false" outlineLevel="0" collapsed="false">
      <c r="C332" s="9"/>
      <c r="D332" s="9"/>
    </row>
    <row r="333" customFormat="false" ht="14.25" hidden="false" customHeight="false" outlineLevel="0" collapsed="false">
      <c r="C333" s="9"/>
      <c r="D333" s="9"/>
    </row>
    <row r="334" customFormat="false" ht="14.25" hidden="false" customHeight="false" outlineLevel="0" collapsed="false">
      <c r="C334" s="9"/>
      <c r="D334" s="9"/>
    </row>
    <row r="335" customFormat="false" ht="14.25" hidden="false" customHeight="false" outlineLevel="0" collapsed="false">
      <c r="C335" s="9"/>
      <c r="D335" s="9"/>
    </row>
    <row r="336" customFormat="false" ht="14.25" hidden="false" customHeight="false" outlineLevel="0" collapsed="false">
      <c r="C336" s="9"/>
      <c r="D336" s="9"/>
    </row>
    <row r="337" customFormat="false" ht="14.25" hidden="false" customHeight="false" outlineLevel="0" collapsed="false">
      <c r="C337" s="9"/>
      <c r="D337" s="9"/>
    </row>
    <row r="338" customFormat="false" ht="14.25" hidden="false" customHeight="false" outlineLevel="0" collapsed="false">
      <c r="C338" s="9"/>
      <c r="D338" s="9"/>
    </row>
    <row r="339" customFormat="false" ht="14.25" hidden="false" customHeight="false" outlineLevel="0" collapsed="false">
      <c r="C339" s="9"/>
      <c r="D339" s="9"/>
    </row>
    <row r="340" customFormat="false" ht="14.25" hidden="false" customHeight="false" outlineLevel="0" collapsed="false">
      <c r="C340" s="9"/>
      <c r="D340" s="9"/>
    </row>
    <row r="341" customFormat="false" ht="14.25" hidden="false" customHeight="false" outlineLevel="0" collapsed="false">
      <c r="C341" s="9"/>
      <c r="D341" s="9"/>
    </row>
    <row r="342" customFormat="false" ht="14.25" hidden="false" customHeight="false" outlineLevel="0" collapsed="false">
      <c r="C342" s="9"/>
      <c r="D342" s="9"/>
    </row>
    <row r="343" customFormat="false" ht="14.25" hidden="false" customHeight="false" outlineLevel="0" collapsed="false">
      <c r="C343" s="9"/>
      <c r="D343" s="9"/>
    </row>
    <row r="344" customFormat="false" ht="14.25" hidden="false" customHeight="false" outlineLevel="0" collapsed="false">
      <c r="C344" s="9"/>
      <c r="D344" s="9"/>
    </row>
    <row r="345" customFormat="false" ht="14.25" hidden="false" customHeight="false" outlineLevel="0" collapsed="false">
      <c r="C345" s="9"/>
      <c r="D345" s="9"/>
    </row>
    <row r="346" customFormat="false" ht="14.25" hidden="false" customHeight="false" outlineLevel="0" collapsed="false">
      <c r="C346" s="9"/>
      <c r="D346" s="9"/>
    </row>
    <row r="347" customFormat="false" ht="14.25" hidden="false" customHeight="false" outlineLevel="0" collapsed="false">
      <c r="C347" s="9"/>
      <c r="D347" s="9"/>
    </row>
    <row r="348" customFormat="false" ht="14.25" hidden="false" customHeight="false" outlineLevel="0" collapsed="false">
      <c r="C348" s="9"/>
      <c r="D348" s="9"/>
    </row>
    <row r="349" customFormat="false" ht="14.25" hidden="false" customHeight="false" outlineLevel="0" collapsed="false">
      <c r="C349" s="9"/>
      <c r="D349" s="9"/>
    </row>
    <row r="350" customFormat="false" ht="14.25" hidden="false" customHeight="false" outlineLevel="0" collapsed="false">
      <c r="C350" s="9"/>
      <c r="D350" s="9"/>
    </row>
    <row r="351" customFormat="false" ht="14.25" hidden="false" customHeight="false" outlineLevel="0" collapsed="false">
      <c r="C351" s="9"/>
      <c r="D351" s="9"/>
    </row>
    <row r="352" customFormat="false" ht="14.25" hidden="false" customHeight="false" outlineLevel="0" collapsed="false">
      <c r="C352" s="9"/>
      <c r="D352" s="9"/>
    </row>
    <row r="353" customFormat="false" ht="14.25" hidden="false" customHeight="false" outlineLevel="0" collapsed="false">
      <c r="C353" s="9"/>
      <c r="D353" s="9"/>
    </row>
    <row r="354" customFormat="false" ht="14.25" hidden="false" customHeight="false" outlineLevel="0" collapsed="false">
      <c r="C354" s="9"/>
      <c r="D354" s="9"/>
    </row>
    <row r="355" customFormat="false" ht="14.25" hidden="false" customHeight="false" outlineLevel="0" collapsed="false">
      <c r="C355" s="9"/>
      <c r="D355" s="9"/>
    </row>
    <row r="356" customFormat="false" ht="14.25" hidden="false" customHeight="false" outlineLevel="0" collapsed="false">
      <c r="C356" s="9"/>
      <c r="D356" s="9"/>
    </row>
    <row r="357" customFormat="false" ht="14.25" hidden="false" customHeight="false" outlineLevel="0" collapsed="false">
      <c r="C357" s="9"/>
      <c r="D357" s="9"/>
    </row>
    <row r="358" customFormat="false" ht="14.25" hidden="false" customHeight="false" outlineLevel="0" collapsed="false">
      <c r="C358" s="9"/>
      <c r="D358" s="9"/>
    </row>
    <row r="359" customFormat="false" ht="14.25" hidden="false" customHeight="false" outlineLevel="0" collapsed="false">
      <c r="C359" s="9"/>
      <c r="D359" s="9"/>
    </row>
    <row r="360" customFormat="false" ht="14.25" hidden="false" customHeight="false" outlineLevel="0" collapsed="false">
      <c r="C360" s="9"/>
      <c r="D360" s="9"/>
    </row>
    <row r="361" customFormat="false" ht="14.25" hidden="false" customHeight="false" outlineLevel="0" collapsed="false">
      <c r="C361" s="9"/>
      <c r="D361" s="9"/>
    </row>
    <row r="362" customFormat="false" ht="14.25" hidden="false" customHeight="false" outlineLevel="0" collapsed="false">
      <c r="C362" s="9"/>
      <c r="D362" s="9"/>
    </row>
    <row r="363" customFormat="false" ht="14.25" hidden="false" customHeight="false" outlineLevel="0" collapsed="false">
      <c r="C363" s="9"/>
      <c r="D363" s="9"/>
    </row>
    <row r="364" customFormat="false" ht="14.25" hidden="false" customHeight="false" outlineLevel="0" collapsed="false">
      <c r="C364" s="9"/>
      <c r="D364" s="9"/>
    </row>
    <row r="365" customFormat="false" ht="14.25" hidden="false" customHeight="false" outlineLevel="0" collapsed="false">
      <c r="C365" s="9"/>
      <c r="D365" s="9"/>
    </row>
    <row r="366" customFormat="false" ht="14.25" hidden="false" customHeight="false" outlineLevel="0" collapsed="false">
      <c r="C366" s="9"/>
      <c r="D366" s="9"/>
    </row>
    <row r="367" customFormat="false" ht="14.25" hidden="false" customHeight="false" outlineLevel="0" collapsed="false">
      <c r="C367" s="9"/>
      <c r="D367" s="9"/>
    </row>
    <row r="368" customFormat="false" ht="14.25" hidden="false" customHeight="false" outlineLevel="0" collapsed="false">
      <c r="C368" s="9"/>
      <c r="D368" s="9"/>
    </row>
    <row r="369" customFormat="false" ht="14.25" hidden="false" customHeight="false" outlineLevel="0" collapsed="false">
      <c r="C369" s="9"/>
      <c r="D369" s="9"/>
    </row>
    <row r="370" customFormat="false" ht="14.25" hidden="false" customHeight="false" outlineLevel="0" collapsed="false">
      <c r="C370" s="9"/>
      <c r="D370" s="9"/>
    </row>
    <row r="371" customFormat="false" ht="14.25" hidden="false" customHeight="false" outlineLevel="0" collapsed="false">
      <c r="C371" s="9"/>
      <c r="D371" s="9"/>
    </row>
    <row r="372" customFormat="false" ht="14.25" hidden="false" customHeight="false" outlineLevel="0" collapsed="false">
      <c r="C372" s="9"/>
      <c r="D372" s="9"/>
    </row>
    <row r="373" customFormat="false" ht="14.25" hidden="false" customHeight="false" outlineLevel="0" collapsed="false">
      <c r="C373" s="9"/>
      <c r="D373" s="9"/>
    </row>
    <row r="374" customFormat="false" ht="14.25" hidden="false" customHeight="false" outlineLevel="0" collapsed="false">
      <c r="C374" s="9"/>
      <c r="D374" s="9"/>
    </row>
    <row r="375" customFormat="false" ht="14.25" hidden="false" customHeight="false" outlineLevel="0" collapsed="false">
      <c r="C375" s="9"/>
      <c r="D375" s="9"/>
    </row>
    <row r="376" customFormat="false" ht="14.25" hidden="false" customHeight="false" outlineLevel="0" collapsed="false">
      <c r="C376" s="9"/>
      <c r="D376" s="9"/>
    </row>
    <row r="377" customFormat="false" ht="14.25" hidden="false" customHeight="false" outlineLevel="0" collapsed="false">
      <c r="C377" s="9"/>
      <c r="D377" s="9"/>
    </row>
    <row r="378" customFormat="false" ht="14.25" hidden="false" customHeight="false" outlineLevel="0" collapsed="false">
      <c r="C378" s="9"/>
      <c r="D378" s="9"/>
    </row>
    <row r="379" customFormat="false" ht="14.25" hidden="false" customHeight="false" outlineLevel="0" collapsed="false">
      <c r="C379" s="9"/>
      <c r="D379" s="9"/>
    </row>
    <row r="380" customFormat="false" ht="14.25" hidden="false" customHeight="false" outlineLevel="0" collapsed="false">
      <c r="C380" s="9"/>
      <c r="D380" s="9"/>
    </row>
    <row r="381" customFormat="false" ht="14.25" hidden="false" customHeight="false" outlineLevel="0" collapsed="false">
      <c r="C381" s="9"/>
      <c r="D381" s="9"/>
    </row>
    <row r="382" customFormat="false" ht="14.25" hidden="false" customHeight="false" outlineLevel="0" collapsed="false">
      <c r="C382" s="9"/>
      <c r="D382" s="9"/>
    </row>
    <row r="383" customFormat="false" ht="14.25" hidden="false" customHeight="false" outlineLevel="0" collapsed="false">
      <c r="C383" s="9"/>
      <c r="D383" s="9"/>
    </row>
    <row r="384" customFormat="false" ht="14.25" hidden="false" customHeight="false" outlineLevel="0" collapsed="false">
      <c r="C384" s="9"/>
      <c r="D384" s="9"/>
    </row>
    <row r="385" customFormat="false" ht="14.25" hidden="false" customHeight="false" outlineLevel="0" collapsed="false">
      <c r="C385" s="9"/>
      <c r="D385" s="9"/>
    </row>
    <row r="386" customFormat="false" ht="14.25" hidden="false" customHeight="false" outlineLevel="0" collapsed="false">
      <c r="C386" s="9"/>
      <c r="D386" s="9"/>
    </row>
    <row r="387" customFormat="false" ht="14.25" hidden="false" customHeight="false" outlineLevel="0" collapsed="false">
      <c r="C387" s="9"/>
      <c r="D387" s="9"/>
    </row>
    <row r="388" customFormat="false" ht="14.25" hidden="false" customHeight="false" outlineLevel="0" collapsed="false">
      <c r="C388" s="9"/>
      <c r="D388" s="9"/>
    </row>
    <row r="389" customFormat="false" ht="14.25" hidden="false" customHeight="false" outlineLevel="0" collapsed="false">
      <c r="C389" s="9"/>
      <c r="D389" s="9"/>
    </row>
    <row r="390" customFormat="false" ht="14.25" hidden="false" customHeight="false" outlineLevel="0" collapsed="false">
      <c r="C390" s="9"/>
      <c r="D390" s="9"/>
    </row>
    <row r="391" customFormat="false" ht="14.25" hidden="false" customHeight="false" outlineLevel="0" collapsed="false">
      <c r="C391" s="9"/>
      <c r="D391" s="9"/>
    </row>
    <row r="392" customFormat="false" ht="14.25" hidden="false" customHeight="false" outlineLevel="0" collapsed="false">
      <c r="C392" s="9"/>
      <c r="D392" s="9"/>
    </row>
    <row r="393" customFormat="false" ht="14.25" hidden="false" customHeight="false" outlineLevel="0" collapsed="false">
      <c r="C393" s="9"/>
      <c r="D393" s="9"/>
    </row>
    <row r="394" customFormat="false" ht="14.25" hidden="false" customHeight="false" outlineLevel="0" collapsed="false">
      <c r="C394" s="9"/>
      <c r="D394" s="9"/>
    </row>
    <row r="395" customFormat="false" ht="14.25" hidden="false" customHeight="false" outlineLevel="0" collapsed="false">
      <c r="C395" s="9"/>
      <c r="D395" s="9"/>
    </row>
    <row r="396" customFormat="false" ht="14.25" hidden="false" customHeight="false" outlineLevel="0" collapsed="false">
      <c r="C396" s="9"/>
      <c r="D396" s="9"/>
    </row>
    <row r="397" customFormat="false" ht="14.25" hidden="false" customHeight="false" outlineLevel="0" collapsed="false">
      <c r="C397" s="9"/>
      <c r="D397" s="9"/>
    </row>
    <row r="398" customFormat="false" ht="14.25" hidden="false" customHeight="false" outlineLevel="0" collapsed="false">
      <c r="C398" s="9"/>
      <c r="D398" s="9"/>
    </row>
    <row r="399" customFormat="false" ht="14.25" hidden="false" customHeight="false" outlineLevel="0" collapsed="false">
      <c r="C399" s="9"/>
      <c r="D399" s="9"/>
    </row>
    <row r="400" customFormat="false" ht="14.25" hidden="false" customHeight="false" outlineLevel="0" collapsed="false">
      <c r="C400" s="9"/>
      <c r="D400" s="9"/>
    </row>
    <row r="401" customFormat="false" ht="14.25" hidden="false" customHeight="false" outlineLevel="0" collapsed="false">
      <c r="C401" s="9"/>
      <c r="D401" s="9"/>
    </row>
    <row r="402" customFormat="false" ht="14.25" hidden="false" customHeight="false" outlineLevel="0" collapsed="false">
      <c r="C402" s="9"/>
      <c r="D402" s="9"/>
    </row>
    <row r="403" customFormat="false" ht="14.25" hidden="false" customHeight="false" outlineLevel="0" collapsed="false">
      <c r="C403" s="9"/>
      <c r="D403" s="9"/>
    </row>
    <row r="404" customFormat="false" ht="14.25" hidden="false" customHeight="false" outlineLevel="0" collapsed="false">
      <c r="C404" s="9"/>
      <c r="D404" s="9"/>
    </row>
    <row r="405" customFormat="false" ht="14.25" hidden="false" customHeight="false" outlineLevel="0" collapsed="false">
      <c r="C405" s="9"/>
      <c r="D405" s="9"/>
    </row>
    <row r="406" customFormat="false" ht="14.25" hidden="false" customHeight="false" outlineLevel="0" collapsed="false">
      <c r="C406" s="9"/>
      <c r="D406" s="9"/>
    </row>
    <row r="407" customFormat="false" ht="14.25" hidden="false" customHeight="false" outlineLevel="0" collapsed="false">
      <c r="C407" s="9"/>
      <c r="D407" s="9"/>
    </row>
    <row r="408" customFormat="false" ht="14.25" hidden="false" customHeight="false" outlineLevel="0" collapsed="false">
      <c r="C408" s="9"/>
      <c r="D408" s="9"/>
    </row>
    <row r="409" customFormat="false" ht="14.25" hidden="false" customHeight="false" outlineLevel="0" collapsed="false">
      <c r="C409" s="9"/>
      <c r="D409" s="9"/>
    </row>
    <row r="410" customFormat="false" ht="14.25" hidden="false" customHeight="false" outlineLevel="0" collapsed="false">
      <c r="C410" s="9"/>
      <c r="D410" s="9"/>
    </row>
    <row r="411" customFormat="false" ht="14.25" hidden="false" customHeight="false" outlineLevel="0" collapsed="false">
      <c r="C411" s="9"/>
      <c r="D411" s="9"/>
    </row>
    <row r="412" customFormat="false" ht="14.25" hidden="false" customHeight="false" outlineLevel="0" collapsed="false">
      <c r="C412" s="9"/>
      <c r="D412" s="9"/>
    </row>
    <row r="413" customFormat="false" ht="14.25" hidden="false" customHeight="false" outlineLevel="0" collapsed="false">
      <c r="C413" s="9"/>
      <c r="D413" s="9"/>
    </row>
    <row r="414" customFormat="false" ht="14.25" hidden="false" customHeight="false" outlineLevel="0" collapsed="false">
      <c r="C414" s="9"/>
      <c r="D414" s="9"/>
    </row>
    <row r="415" customFormat="false" ht="14.25" hidden="false" customHeight="false" outlineLevel="0" collapsed="false">
      <c r="C415" s="9"/>
      <c r="D415" s="9"/>
    </row>
    <row r="416" customFormat="false" ht="14.25" hidden="false" customHeight="false" outlineLevel="0" collapsed="false">
      <c r="C416" s="9"/>
      <c r="D416" s="9"/>
    </row>
    <row r="417" customFormat="false" ht="14.25" hidden="false" customHeight="false" outlineLevel="0" collapsed="false">
      <c r="C417" s="9"/>
      <c r="D417" s="9"/>
    </row>
    <row r="418" customFormat="false" ht="14.25" hidden="false" customHeight="false" outlineLevel="0" collapsed="false">
      <c r="C418" s="9"/>
      <c r="D418" s="9"/>
    </row>
    <row r="419" customFormat="false" ht="14.25" hidden="false" customHeight="false" outlineLevel="0" collapsed="false">
      <c r="C419" s="9"/>
      <c r="D419" s="9"/>
    </row>
    <row r="420" customFormat="false" ht="14.25" hidden="false" customHeight="false" outlineLevel="0" collapsed="false">
      <c r="C420" s="9"/>
      <c r="D420" s="9"/>
    </row>
    <row r="421" customFormat="false" ht="14.25" hidden="false" customHeight="false" outlineLevel="0" collapsed="false">
      <c r="C421" s="9"/>
      <c r="D421" s="9"/>
    </row>
    <row r="422" customFormat="false" ht="14.25" hidden="false" customHeight="false" outlineLevel="0" collapsed="false">
      <c r="C422" s="9"/>
      <c r="D422" s="9"/>
    </row>
    <row r="423" customFormat="false" ht="14.25" hidden="false" customHeight="false" outlineLevel="0" collapsed="false">
      <c r="C423" s="9"/>
      <c r="D423" s="9"/>
    </row>
    <row r="424" customFormat="false" ht="14.25" hidden="false" customHeight="false" outlineLevel="0" collapsed="false">
      <c r="C424" s="9"/>
      <c r="D424" s="9"/>
    </row>
    <row r="425" customFormat="false" ht="14.25" hidden="false" customHeight="false" outlineLevel="0" collapsed="false">
      <c r="C425" s="9"/>
      <c r="D425" s="9"/>
    </row>
    <row r="426" customFormat="false" ht="14.25" hidden="false" customHeight="false" outlineLevel="0" collapsed="false">
      <c r="C426" s="9"/>
      <c r="D426" s="9"/>
    </row>
    <row r="427" customFormat="false" ht="14.25" hidden="false" customHeight="false" outlineLevel="0" collapsed="false">
      <c r="C427" s="9"/>
      <c r="D427" s="9"/>
    </row>
    <row r="428" customFormat="false" ht="14.25" hidden="false" customHeight="false" outlineLevel="0" collapsed="false">
      <c r="C428" s="9"/>
      <c r="D428" s="9"/>
    </row>
    <row r="429" customFormat="false" ht="14.25" hidden="false" customHeight="false" outlineLevel="0" collapsed="false">
      <c r="C429" s="9"/>
      <c r="D429" s="9"/>
    </row>
    <row r="430" customFormat="false" ht="14.25" hidden="false" customHeight="false" outlineLevel="0" collapsed="false">
      <c r="C430" s="9"/>
      <c r="D430" s="9"/>
    </row>
    <row r="431" customFormat="false" ht="14.25" hidden="false" customHeight="false" outlineLevel="0" collapsed="false">
      <c r="C431" s="9"/>
      <c r="D431" s="9"/>
    </row>
    <row r="432" customFormat="false" ht="14.25" hidden="false" customHeight="false" outlineLevel="0" collapsed="false">
      <c r="C432" s="9"/>
      <c r="D432" s="9"/>
    </row>
    <row r="433" customFormat="false" ht="14.25" hidden="false" customHeight="false" outlineLevel="0" collapsed="false">
      <c r="C433" s="9"/>
      <c r="D433" s="9"/>
    </row>
    <row r="434" customFormat="false" ht="14.25" hidden="false" customHeight="false" outlineLevel="0" collapsed="false">
      <c r="C434" s="9"/>
      <c r="D434" s="9"/>
    </row>
    <row r="435" customFormat="false" ht="14.25" hidden="false" customHeight="false" outlineLevel="0" collapsed="false">
      <c r="C435" s="9"/>
      <c r="D435" s="9"/>
    </row>
    <row r="436" customFormat="false" ht="14.25" hidden="false" customHeight="false" outlineLevel="0" collapsed="false">
      <c r="C436" s="9"/>
      <c r="D436" s="9"/>
    </row>
    <row r="437" customFormat="false" ht="14.25" hidden="false" customHeight="false" outlineLevel="0" collapsed="false">
      <c r="C437" s="9"/>
      <c r="D437" s="9"/>
    </row>
    <row r="438" customFormat="false" ht="14.25" hidden="false" customHeight="false" outlineLevel="0" collapsed="false">
      <c r="C438" s="9"/>
      <c r="D438" s="9"/>
    </row>
    <row r="439" customFormat="false" ht="14.25" hidden="false" customHeight="false" outlineLevel="0" collapsed="false">
      <c r="C439" s="9"/>
      <c r="D439" s="9"/>
    </row>
    <row r="440" customFormat="false" ht="14.25" hidden="false" customHeight="false" outlineLevel="0" collapsed="false">
      <c r="C440" s="9"/>
      <c r="D440" s="9"/>
    </row>
    <row r="441" customFormat="false" ht="14.25" hidden="false" customHeight="false" outlineLevel="0" collapsed="false">
      <c r="C441" s="9"/>
      <c r="D441" s="9"/>
    </row>
    <row r="442" customFormat="false" ht="14.25" hidden="false" customHeight="false" outlineLevel="0" collapsed="false">
      <c r="C442" s="9"/>
      <c r="D442" s="9"/>
    </row>
    <row r="443" customFormat="false" ht="14.25" hidden="false" customHeight="false" outlineLevel="0" collapsed="false">
      <c r="C443" s="9"/>
      <c r="D443" s="9"/>
    </row>
    <row r="444" customFormat="false" ht="14.25" hidden="false" customHeight="false" outlineLevel="0" collapsed="false">
      <c r="C444" s="9"/>
      <c r="D444" s="9"/>
    </row>
    <row r="445" customFormat="false" ht="14.25" hidden="false" customHeight="false" outlineLevel="0" collapsed="false">
      <c r="C445" s="9"/>
      <c r="D445" s="9"/>
    </row>
    <row r="446" customFormat="false" ht="14.25" hidden="false" customHeight="false" outlineLevel="0" collapsed="false">
      <c r="C446" s="9"/>
      <c r="D446" s="9"/>
    </row>
    <row r="447" customFormat="false" ht="14.25" hidden="false" customHeight="false" outlineLevel="0" collapsed="false">
      <c r="C447" s="9"/>
      <c r="D447" s="9"/>
    </row>
    <row r="448" customFormat="false" ht="14.25" hidden="false" customHeight="false" outlineLevel="0" collapsed="false">
      <c r="C448" s="9"/>
      <c r="D448" s="9"/>
    </row>
    <row r="449" customFormat="false" ht="14.25" hidden="false" customHeight="false" outlineLevel="0" collapsed="false">
      <c r="C449" s="9"/>
      <c r="D449" s="9"/>
    </row>
    <row r="450" customFormat="false" ht="14.25" hidden="false" customHeight="false" outlineLevel="0" collapsed="false">
      <c r="C450" s="9"/>
      <c r="D450" s="9"/>
    </row>
    <row r="451" customFormat="false" ht="14.25" hidden="false" customHeight="false" outlineLevel="0" collapsed="false">
      <c r="C451" s="9"/>
      <c r="D451" s="9"/>
    </row>
    <row r="452" customFormat="false" ht="14.25" hidden="false" customHeight="false" outlineLevel="0" collapsed="false">
      <c r="C452" s="9"/>
      <c r="D452" s="9"/>
    </row>
    <row r="453" customFormat="false" ht="14.25" hidden="false" customHeight="false" outlineLevel="0" collapsed="false">
      <c r="C453" s="9"/>
      <c r="D453" s="9"/>
    </row>
    <row r="454" customFormat="false" ht="14.25" hidden="false" customHeight="false" outlineLevel="0" collapsed="false">
      <c r="C454" s="9"/>
      <c r="D454" s="9"/>
    </row>
    <row r="455" customFormat="false" ht="14.25" hidden="false" customHeight="false" outlineLevel="0" collapsed="false">
      <c r="C455" s="9"/>
      <c r="D455" s="9"/>
    </row>
    <row r="456" customFormat="false" ht="14.25" hidden="false" customHeight="false" outlineLevel="0" collapsed="false">
      <c r="C456" s="9"/>
      <c r="D456" s="9"/>
    </row>
    <row r="457" customFormat="false" ht="14.25" hidden="false" customHeight="false" outlineLevel="0" collapsed="false">
      <c r="C457" s="9"/>
      <c r="D457" s="9"/>
    </row>
    <row r="458" customFormat="false" ht="14.25" hidden="false" customHeight="false" outlineLevel="0" collapsed="false">
      <c r="C458" s="9"/>
      <c r="D458" s="9"/>
    </row>
    <row r="459" customFormat="false" ht="14.25" hidden="false" customHeight="false" outlineLevel="0" collapsed="false">
      <c r="C459" s="9"/>
      <c r="D459" s="9"/>
    </row>
    <row r="460" customFormat="false" ht="14.25" hidden="false" customHeight="false" outlineLevel="0" collapsed="false">
      <c r="C460" s="9"/>
      <c r="D460" s="9"/>
    </row>
    <row r="461" customFormat="false" ht="14.25" hidden="false" customHeight="false" outlineLevel="0" collapsed="false">
      <c r="C461" s="9"/>
      <c r="D461" s="9"/>
    </row>
    <row r="462" customFormat="false" ht="14.25" hidden="false" customHeight="false" outlineLevel="0" collapsed="false">
      <c r="C462" s="9"/>
      <c r="D462" s="9"/>
    </row>
    <row r="463" customFormat="false" ht="14.25" hidden="false" customHeight="false" outlineLevel="0" collapsed="false">
      <c r="C463" s="9"/>
      <c r="D463" s="9"/>
    </row>
    <row r="464" customFormat="false" ht="14.25" hidden="false" customHeight="false" outlineLevel="0" collapsed="false">
      <c r="C464" s="9"/>
      <c r="D464" s="9"/>
    </row>
    <row r="465" customFormat="false" ht="14.25" hidden="false" customHeight="false" outlineLevel="0" collapsed="false">
      <c r="C465" s="9"/>
      <c r="D465" s="9"/>
    </row>
    <row r="466" customFormat="false" ht="14.25" hidden="false" customHeight="false" outlineLevel="0" collapsed="false">
      <c r="C466" s="9"/>
      <c r="D466" s="9"/>
    </row>
    <row r="467" customFormat="false" ht="14.25" hidden="false" customHeight="false" outlineLevel="0" collapsed="false">
      <c r="C467" s="9"/>
      <c r="D467" s="9"/>
    </row>
    <row r="468" customFormat="false" ht="14.25" hidden="false" customHeight="false" outlineLevel="0" collapsed="false">
      <c r="C468" s="9"/>
      <c r="D468" s="9"/>
    </row>
    <row r="469" customFormat="false" ht="14.25" hidden="false" customHeight="false" outlineLevel="0" collapsed="false">
      <c r="C469" s="9"/>
      <c r="D469" s="9"/>
    </row>
    <row r="470" customFormat="false" ht="14.25" hidden="false" customHeight="false" outlineLevel="0" collapsed="false">
      <c r="C470" s="9"/>
      <c r="D470" s="9"/>
    </row>
    <row r="471" customFormat="false" ht="14.25" hidden="false" customHeight="false" outlineLevel="0" collapsed="false">
      <c r="C471" s="9"/>
      <c r="D471" s="9"/>
    </row>
    <row r="472" customFormat="false" ht="14.25" hidden="false" customHeight="false" outlineLevel="0" collapsed="false">
      <c r="C472" s="9"/>
      <c r="D472" s="9"/>
    </row>
    <row r="473" customFormat="false" ht="14.25" hidden="false" customHeight="false" outlineLevel="0" collapsed="false">
      <c r="C473" s="9"/>
      <c r="D473" s="9"/>
    </row>
    <row r="474" customFormat="false" ht="14.25" hidden="false" customHeight="false" outlineLevel="0" collapsed="false">
      <c r="C474" s="9"/>
      <c r="D474" s="9"/>
    </row>
    <row r="475" customFormat="false" ht="14.25" hidden="false" customHeight="false" outlineLevel="0" collapsed="false">
      <c r="C475" s="9"/>
      <c r="D475" s="9"/>
    </row>
    <row r="476" customFormat="false" ht="14.25" hidden="false" customHeight="false" outlineLevel="0" collapsed="false">
      <c r="C476" s="9"/>
      <c r="D476" s="9"/>
    </row>
    <row r="477" customFormat="false" ht="14.25" hidden="false" customHeight="false" outlineLevel="0" collapsed="false">
      <c r="C477" s="9"/>
      <c r="D477" s="9"/>
    </row>
    <row r="478" customFormat="false" ht="14.25" hidden="false" customHeight="false" outlineLevel="0" collapsed="false">
      <c r="C478" s="9"/>
      <c r="D478" s="9"/>
    </row>
    <row r="479" customFormat="false" ht="14.25" hidden="false" customHeight="false" outlineLevel="0" collapsed="false">
      <c r="C479" s="9"/>
      <c r="D479" s="9"/>
    </row>
    <row r="480" customFormat="false" ht="14.25" hidden="false" customHeight="false" outlineLevel="0" collapsed="false">
      <c r="C480" s="9"/>
      <c r="D480" s="9"/>
    </row>
    <row r="481" customFormat="false" ht="14.25" hidden="false" customHeight="false" outlineLevel="0" collapsed="false">
      <c r="C481" s="9"/>
      <c r="D481" s="9"/>
    </row>
    <row r="482" customFormat="false" ht="14.25" hidden="false" customHeight="false" outlineLevel="0" collapsed="false">
      <c r="C482" s="9"/>
      <c r="D482" s="9"/>
    </row>
    <row r="483" customFormat="false" ht="14.25" hidden="false" customHeight="false" outlineLevel="0" collapsed="false">
      <c r="C483" s="9"/>
      <c r="D483" s="9"/>
    </row>
    <row r="484" customFormat="false" ht="14.25" hidden="false" customHeight="false" outlineLevel="0" collapsed="false">
      <c r="C484" s="9"/>
      <c r="D484" s="9"/>
    </row>
    <row r="485" customFormat="false" ht="14.25" hidden="false" customHeight="false" outlineLevel="0" collapsed="false">
      <c r="C485" s="9"/>
      <c r="D485" s="9"/>
    </row>
    <row r="486" customFormat="false" ht="14.25" hidden="false" customHeight="false" outlineLevel="0" collapsed="false">
      <c r="C486" s="9"/>
      <c r="D486" s="9"/>
    </row>
    <row r="487" customFormat="false" ht="14.25" hidden="false" customHeight="false" outlineLevel="0" collapsed="false">
      <c r="C487" s="9"/>
      <c r="D487" s="9"/>
    </row>
    <row r="488" customFormat="false" ht="14.25" hidden="false" customHeight="false" outlineLevel="0" collapsed="false">
      <c r="C488" s="9"/>
      <c r="D488" s="9"/>
    </row>
    <row r="489" customFormat="false" ht="14.25" hidden="false" customHeight="false" outlineLevel="0" collapsed="false">
      <c r="C489" s="9"/>
      <c r="D489" s="9"/>
    </row>
    <row r="490" customFormat="false" ht="14.25" hidden="false" customHeight="false" outlineLevel="0" collapsed="false">
      <c r="C490" s="9"/>
      <c r="D490" s="9"/>
    </row>
    <row r="491" customFormat="false" ht="14.25" hidden="false" customHeight="false" outlineLevel="0" collapsed="false">
      <c r="C491" s="9"/>
      <c r="D491" s="9"/>
    </row>
    <row r="492" customFormat="false" ht="14.25" hidden="false" customHeight="false" outlineLevel="0" collapsed="false">
      <c r="C492" s="9"/>
      <c r="D492" s="9"/>
    </row>
    <row r="493" customFormat="false" ht="14.25" hidden="false" customHeight="false" outlineLevel="0" collapsed="false">
      <c r="C493" s="9"/>
      <c r="D493" s="9"/>
    </row>
    <row r="494" customFormat="false" ht="14.25" hidden="false" customHeight="false" outlineLevel="0" collapsed="false">
      <c r="C494" s="9"/>
      <c r="D494" s="9"/>
    </row>
    <row r="495" customFormat="false" ht="14.25" hidden="false" customHeight="false" outlineLevel="0" collapsed="false">
      <c r="C495" s="9"/>
      <c r="D495" s="9"/>
    </row>
    <row r="496" customFormat="false" ht="14.25" hidden="false" customHeight="false" outlineLevel="0" collapsed="false">
      <c r="C496" s="9"/>
      <c r="D496" s="9"/>
    </row>
    <row r="497" customFormat="false" ht="14.25" hidden="false" customHeight="false" outlineLevel="0" collapsed="false">
      <c r="C497" s="9"/>
      <c r="D497" s="9"/>
    </row>
    <row r="498" customFormat="false" ht="14.25" hidden="false" customHeight="false" outlineLevel="0" collapsed="false">
      <c r="C498" s="9"/>
      <c r="D498" s="9"/>
    </row>
    <row r="499" customFormat="false" ht="14.25" hidden="false" customHeight="false" outlineLevel="0" collapsed="false">
      <c r="C499" s="9"/>
      <c r="D499" s="9"/>
    </row>
    <row r="500" customFormat="false" ht="14.25" hidden="false" customHeight="false" outlineLevel="0" collapsed="false">
      <c r="C500" s="9"/>
      <c r="D500" s="9"/>
    </row>
  </sheetData>
  <conditionalFormatting sqref="C2:C500">
    <cfRule type="expression" priority="2" aboveAverage="0" equalAverage="0" bottom="0" percent="0" rank="0" text="" dxfId="0">
      <formula>AND(OR($G2&lt;=-7,$G2&gt;=7),$H2="Away")</formula>
    </cfRule>
  </conditionalFormatting>
  <conditionalFormatting sqref="D2:D500">
    <cfRule type="expression" priority="3" aboveAverage="0" equalAverage="0" bottom="0" percent="0" rank="0" text="" dxfId="0">
      <formula>AND(OR($G2&lt;=-7,$G2&gt;=7),$H2="Home")</formula>
    </cfRule>
  </conditionalFormatting>
  <conditionalFormatting sqref="E2:F500">
    <cfRule type="expression" priority="4" aboveAverage="0" equalAverage="0" bottom="0" percent="0" rank="0" text="" dxfId="0">
      <formula>OR($G2&lt;=-7,$G2&gt;=7)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0" activePane="bottomLeft" state="frozen"/>
      <selection pane="topLeft" activeCell="A1" activeCellId="0" sqref="A1"/>
      <selection pane="bottomLeft" activeCell="E7" activeCellId="0" sqref="E7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6"/>
    <col collapsed="false" customWidth="true" hidden="false" outlineLevel="0" max="3" min="3" style="0" width="37.45"/>
    <col collapsed="false" customWidth="true" hidden="false" outlineLevel="0" max="4" min="4" style="0" width="10"/>
    <col collapsed="false" customWidth="true" hidden="false" outlineLevel="0" max="5" min="5" style="0" width="22.27"/>
    <col collapsed="false" customWidth="true" hidden="false" outlineLevel="0" max="6" min="6" style="0" width="11"/>
    <col collapsed="false" customWidth="true" hidden="false" outlineLevel="0" max="7" min="7" style="0" width="14"/>
    <col collapsed="false" customWidth="true" hidden="false" outlineLevel="0" max="9" min="8" style="0" width="12"/>
    <col collapsed="false" customWidth="true" hidden="false" outlineLevel="0" max="10" min="10" style="0" width="10"/>
    <col collapsed="false" customWidth="true" hidden="false" outlineLevel="0" max="11" min="11" style="0" width="9"/>
    <col collapsed="false" customWidth="true" hidden="false" outlineLevel="0" max="12" min="12" style="0" width="14"/>
    <col collapsed="false" customWidth="true" hidden="false" outlineLevel="0" max="13" min="13" style="0" width="15"/>
  </cols>
  <sheetData>
    <row r="1" customFormat="false" ht="25.5" hidden="false" customHeight="true" outlineLevel="0" collapsed="false">
      <c r="A1" s="5" t="s">
        <v>31</v>
      </c>
      <c r="B1" s="5" t="s">
        <v>30</v>
      </c>
      <c r="C1" s="5" t="s">
        <v>74</v>
      </c>
      <c r="D1" s="5" t="s">
        <v>75</v>
      </c>
      <c r="E1" s="5" t="s">
        <v>76</v>
      </c>
      <c r="F1" s="5" t="s">
        <v>77</v>
      </c>
      <c r="G1" s="5" t="s">
        <v>78</v>
      </c>
      <c r="H1" s="5" t="s">
        <v>79</v>
      </c>
      <c r="I1" s="5" t="s">
        <v>80</v>
      </c>
      <c r="J1" s="5" t="s">
        <v>81</v>
      </c>
      <c r="K1" s="5" t="s">
        <v>82</v>
      </c>
      <c r="L1" s="5" t="s">
        <v>83</v>
      </c>
      <c r="M1" s="5" t="s">
        <v>84</v>
      </c>
    </row>
    <row r="2" customFormat="false" ht="14.25" hidden="false" customHeight="false" outlineLevel="0" collapsed="false">
      <c r="A2" s="0" t="s">
        <v>47</v>
      </c>
      <c r="B2" s="0" t="n">
        <v>1</v>
      </c>
      <c r="C2" s="0" t="s">
        <v>85</v>
      </c>
      <c r="D2" s="0" t="s">
        <v>86</v>
      </c>
      <c r="E2" s="0" t="s">
        <v>51</v>
      </c>
      <c r="F2" s="0" t="n">
        <v>-7.5</v>
      </c>
      <c r="G2" s="0" t="n">
        <v>100</v>
      </c>
      <c r="H2" s="0" t="n">
        <v>1</v>
      </c>
      <c r="I2" s="0" t="n">
        <v>-7</v>
      </c>
      <c r="J2" s="6" t="n">
        <f aca="false">IF(I2="","",I2-F2)</f>
        <v>0.5</v>
      </c>
      <c r="K2" s="9" t="s">
        <v>87</v>
      </c>
      <c r="L2" s="12" t="n">
        <f aca="false">IF(K2="W",IF(G2&lt;0,H2*100/ABS(G2),H2*G2/100),IF(K2="L",-H2,0))</f>
        <v>1</v>
      </c>
      <c r="M2" s="12" t="n">
        <f aca="false">Settings!$B$4+SUM(L$2:L2)</f>
        <v>101</v>
      </c>
    </row>
    <row r="3" customFormat="false" ht="14.25" hidden="false" customHeight="false" outlineLevel="0" collapsed="false">
      <c r="A3" s="0" t="s">
        <v>47</v>
      </c>
      <c r="B3" s="0" t="n">
        <v>1</v>
      </c>
      <c r="C3" s="0" t="s">
        <v>85</v>
      </c>
      <c r="D3" s="0" t="s">
        <v>88</v>
      </c>
      <c r="E3" s="0" t="s">
        <v>51</v>
      </c>
      <c r="G3" s="0" t="n">
        <v>-285</v>
      </c>
      <c r="H3" s="0" t="n">
        <v>5</v>
      </c>
      <c r="J3" s="6" t="str">
        <f aca="false">IF(I3="","",I3-F3)</f>
        <v/>
      </c>
      <c r="K3" s="9" t="s">
        <v>87</v>
      </c>
      <c r="L3" s="12" t="n">
        <f aca="false">IF(K3="W",IF(G3&lt;0,H3*100/ABS(G3),H3*G3/100),IF(K3="L",-H3,0))</f>
        <v>1.75438596491228</v>
      </c>
      <c r="M3" s="12" t="n">
        <f aca="false">Settings!$B$4+SUM(L$2:L3)</f>
        <v>102.754385964912</v>
      </c>
    </row>
    <row r="4" customFormat="false" ht="14.25" hidden="false" customHeight="false" outlineLevel="0" collapsed="false">
      <c r="A4" s="0" t="s">
        <v>47</v>
      </c>
      <c r="B4" s="0" t="n">
        <v>1</v>
      </c>
      <c r="C4" s="0" t="s">
        <v>89</v>
      </c>
      <c r="D4" s="0" t="s">
        <v>88</v>
      </c>
      <c r="E4" s="0" t="s">
        <v>56</v>
      </c>
      <c r="G4" s="0" t="n">
        <v>-178</v>
      </c>
      <c r="H4" s="0" t="n">
        <v>5</v>
      </c>
      <c r="J4" s="6" t="str">
        <f aca="false">IF(I4="","",I4-F5)</f>
        <v/>
      </c>
      <c r="K4" s="9" t="s">
        <v>90</v>
      </c>
      <c r="L4" s="12" t="n">
        <f aca="false">IF(K4="W",IF(G4&lt;0,H4*100/ABS(G4),H4*G4/100),IF(K4="L",-H4,0))</f>
        <v>-5</v>
      </c>
      <c r="M4" s="12" t="n">
        <f aca="false">Settings!$B$4+SUM(L$2:L4)</f>
        <v>97.7543859649123</v>
      </c>
    </row>
    <row r="5" customFormat="false" ht="14.25" hidden="false" customHeight="false" outlineLevel="0" collapsed="false">
      <c r="A5" s="0" t="s">
        <v>47</v>
      </c>
      <c r="B5" s="0" t="n">
        <v>1</v>
      </c>
      <c r="C5" s="0" t="s">
        <v>91</v>
      </c>
      <c r="D5" s="0" t="s">
        <v>92</v>
      </c>
      <c r="E5" s="0" t="s">
        <v>93</v>
      </c>
      <c r="G5" s="0" t="n">
        <v>110</v>
      </c>
      <c r="H5" s="0" t="n">
        <v>3</v>
      </c>
      <c r="J5" s="6" t="str">
        <f aca="false">IF(I5="","",I5-#REF!)</f>
        <v/>
      </c>
      <c r="K5" s="9" t="s">
        <v>90</v>
      </c>
      <c r="L5" s="12" t="n">
        <f aca="false">IF(K5="W",IF(G5&lt;0,H5*100/ABS(G5),H5*G5/100),IF(K5="L",-H5,0))</f>
        <v>-3</v>
      </c>
      <c r="M5" s="12" t="n">
        <f aca="false">Settings!$B$4+SUM(L$2:L5)</f>
        <v>94.7543859649123</v>
      </c>
    </row>
    <row r="6" customFormat="false" ht="14.25" hidden="false" customHeight="false" outlineLevel="0" collapsed="false">
      <c r="A6" s="0" t="s">
        <v>58</v>
      </c>
      <c r="B6" s="0" t="n">
        <v>1</v>
      </c>
      <c r="C6" s="0" t="s">
        <v>94</v>
      </c>
      <c r="D6" s="0" t="s">
        <v>86</v>
      </c>
      <c r="E6" s="0" t="s">
        <v>59</v>
      </c>
      <c r="F6" s="0" t="n">
        <v>-3.5</v>
      </c>
      <c r="G6" s="0" t="n">
        <v>-110</v>
      </c>
      <c r="H6" s="0" t="n">
        <v>2</v>
      </c>
      <c r="J6" s="6" t="str">
        <f aca="false">IF(I6="","",I6-F6)</f>
        <v/>
      </c>
      <c r="K6" s="9" t="s">
        <v>90</v>
      </c>
      <c r="L6" s="12" t="n">
        <f aca="false">IF(K6="W",IF(G6&lt;0,H6*100/ABS(G6),H6*G6/100),IF(K6="L",-H6,0))</f>
        <v>-2</v>
      </c>
      <c r="M6" s="12" t="n">
        <f aca="false">Settings!$B$4+SUM(L$2:L6)</f>
        <v>92.7543859649123</v>
      </c>
    </row>
    <row r="7" customFormat="false" ht="14.25" hidden="false" customHeight="false" outlineLevel="0" collapsed="false">
      <c r="A7" s="11" t="s">
        <v>60</v>
      </c>
      <c r="B7" s="0" t="n">
        <v>1</v>
      </c>
      <c r="C7" s="9" t="s">
        <v>95</v>
      </c>
      <c r="D7" s="9" t="s">
        <v>92</v>
      </c>
      <c r="E7" s="9" t="s">
        <v>96</v>
      </c>
      <c r="G7" s="0" t="n">
        <v>149</v>
      </c>
      <c r="H7" s="0" t="n">
        <v>2</v>
      </c>
      <c r="J7" s="6" t="str">
        <f aca="false">IF(I7="","",I7-F7)</f>
        <v/>
      </c>
      <c r="K7" s="9" t="s">
        <v>90</v>
      </c>
      <c r="L7" s="12" t="n">
        <f aca="false">IF(K7="W",IF(G7&lt;0,H7*100/ABS(G7),H7*G7/100),IF(K7="L",-H7,0))</f>
        <v>-2</v>
      </c>
      <c r="M7" s="12" t="n">
        <f aca="false">Settings!$B$4+SUM(L$2:L7)</f>
        <v>90.7543859649123</v>
      </c>
    </row>
    <row r="8" customFormat="false" ht="14.25" hidden="false" customHeight="false" outlineLevel="0" collapsed="false">
      <c r="A8" s="11" t="s">
        <v>60</v>
      </c>
      <c r="B8" s="0" t="n">
        <v>1</v>
      </c>
      <c r="C8" s="9" t="s">
        <v>97</v>
      </c>
      <c r="D8" s="9" t="s">
        <v>86</v>
      </c>
      <c r="E8" s="9" t="s">
        <v>68</v>
      </c>
      <c r="F8" s="0" t="n">
        <v>-2.5</v>
      </c>
      <c r="G8" s="0" t="n">
        <v>-110</v>
      </c>
      <c r="H8" s="0" t="n">
        <v>2</v>
      </c>
      <c r="I8" s="0" t="n">
        <v>-3</v>
      </c>
      <c r="J8" s="6" t="n">
        <f aca="false">IF(I8="","",I8-F8)</f>
        <v>-0.5</v>
      </c>
      <c r="K8" s="9" t="s">
        <v>87</v>
      </c>
      <c r="L8" s="12" t="n">
        <f aca="false">IF(K8="W",IF(G8&lt;0,H8*100/ABS(G8),H8*G8/100),IF(K8="L",-H8,0))</f>
        <v>1.81818181818182</v>
      </c>
      <c r="M8" s="12" t="n">
        <f aca="false">Settings!$B$4+SUM(L$2:L8)</f>
        <v>92.5725677830941</v>
      </c>
    </row>
    <row r="9" customFormat="false" ht="14.25" hidden="false" customHeight="false" outlineLevel="0" collapsed="false">
      <c r="A9" s="11" t="s">
        <v>60</v>
      </c>
      <c r="B9" s="0" t="n">
        <v>1</v>
      </c>
      <c r="C9" s="9" t="s">
        <v>97</v>
      </c>
      <c r="D9" s="9" t="s">
        <v>88</v>
      </c>
      <c r="E9" s="9" t="s">
        <v>68</v>
      </c>
      <c r="G9" s="0" t="n">
        <v>-145</v>
      </c>
      <c r="H9" s="0" t="n">
        <v>2</v>
      </c>
      <c r="J9" s="6" t="str">
        <f aca="false">IF(I9="","",I9-F9)</f>
        <v/>
      </c>
      <c r="K9" s="9" t="s">
        <v>87</v>
      </c>
      <c r="L9" s="12" t="n">
        <f aca="false">IF(K9="W",IF(G9&lt;0,H9*100/ABS(G9),H9*G9/100),IF(K9="L",-H9,0))</f>
        <v>1.37931034482759</v>
      </c>
      <c r="M9" s="12" t="n">
        <f aca="false">Settings!$B$4+SUM(L$2:L9)</f>
        <v>93.9518781279217</v>
      </c>
    </row>
    <row r="10" customFormat="false" ht="14.25" hidden="false" customHeight="false" outlineLevel="0" collapsed="false">
      <c r="A10" s="11" t="s">
        <v>60</v>
      </c>
      <c r="B10" s="0" t="n">
        <v>1</v>
      </c>
      <c r="C10" s="9" t="s">
        <v>98</v>
      </c>
      <c r="D10" s="9" t="s">
        <v>86</v>
      </c>
      <c r="E10" s="9" t="s">
        <v>64</v>
      </c>
      <c r="F10" s="0" t="n">
        <v>-12.5</v>
      </c>
      <c r="G10" s="0" t="n">
        <v>-110</v>
      </c>
      <c r="H10" s="0" t="n">
        <v>5</v>
      </c>
      <c r="I10" s="0" t="n">
        <v>-10</v>
      </c>
      <c r="J10" s="6" t="n">
        <f aca="false">IF(I10="","",I10-F10)</f>
        <v>2.5</v>
      </c>
      <c r="K10" s="9" t="s">
        <v>87</v>
      </c>
      <c r="L10" s="12" t="n">
        <f aca="false">IF(K10="W",IF(G10&lt;0,H10*100/ABS(G10),H10*G10/100),IF(K10="L",-H10,0))</f>
        <v>4.54545454545455</v>
      </c>
      <c r="M10" s="12" t="n">
        <f aca="false">Settings!$B$4+SUM(L$2:L10)</f>
        <v>98.4973326733762</v>
      </c>
    </row>
    <row r="11" customFormat="false" ht="14.25" hidden="false" customHeight="false" outlineLevel="0" collapsed="false">
      <c r="A11" s="11"/>
      <c r="J11" s="6" t="str">
        <f aca="false">IF(I11="","",I11-F11)</f>
        <v/>
      </c>
      <c r="L11" s="12" t="n">
        <f aca="false">IF(K11="W",IF(G11&lt;0,H11*100/ABS(G11),H11*G11/100),IF(K11="L",-H11,0))</f>
        <v>0</v>
      </c>
      <c r="M11" s="12" t="n">
        <f aca="false">Settings!$B$4+SUM(L$2:L11)</f>
        <v>98.4973326733762</v>
      </c>
    </row>
    <row r="12" customFormat="false" ht="14.25" hidden="false" customHeight="false" outlineLevel="0" collapsed="false">
      <c r="J12" s="6" t="str">
        <f aca="false">IF(I12="","",I12-F12)</f>
        <v/>
      </c>
      <c r="L12" s="12" t="n">
        <f aca="false">IF(K12="W",IF(G12&lt;0,H12*100/ABS(G12),H12*G12/100),IF(K12="L",-H12,0))</f>
        <v>0</v>
      </c>
      <c r="M12" s="12" t="n">
        <f aca="false">Settings!$B$4+SUM(L$2:L12)</f>
        <v>98.4973326733762</v>
      </c>
    </row>
    <row r="13" customFormat="false" ht="14.25" hidden="false" customHeight="false" outlineLevel="0" collapsed="false">
      <c r="J13" s="6" t="str">
        <f aca="false">IF(I13="","",I13-F13)</f>
        <v/>
      </c>
      <c r="L13" s="12" t="n">
        <f aca="false">IF(K13="W",IF(G13&lt;0,H13*100/ABS(G13),H13*G13/100),IF(K13="L",-H13,0))</f>
        <v>0</v>
      </c>
      <c r="M13" s="12" t="n">
        <f aca="false">Settings!$B$4+SUM(L$2:L13)</f>
        <v>98.4973326733762</v>
      </c>
    </row>
    <row r="14" customFormat="false" ht="14.25" hidden="false" customHeight="false" outlineLevel="0" collapsed="false">
      <c r="J14" s="6" t="str">
        <f aca="false">IF(I14="","",I14-F14)</f>
        <v/>
      </c>
      <c r="L14" s="12" t="n">
        <f aca="false">IF(K14="W",IF(G14&lt;0,H14*100/ABS(G14),H14*G14/100),IF(K14="L",-H14,0))</f>
        <v>0</v>
      </c>
      <c r="M14" s="12" t="n">
        <f aca="false">Settings!$B$4+SUM(L$2:L14)</f>
        <v>98.4973326733762</v>
      </c>
    </row>
    <row r="15" customFormat="false" ht="14.25" hidden="false" customHeight="false" outlineLevel="0" collapsed="false">
      <c r="J15" s="6" t="str">
        <f aca="false">IF(I15="","",I15-F15)</f>
        <v/>
      </c>
      <c r="L15" s="12" t="n">
        <f aca="false">IF(K15="W",IF(G15&lt;0,H15*100/ABS(G15),H15*G15/100),IF(K15="L",-H15,0))</f>
        <v>0</v>
      </c>
      <c r="M15" s="12" t="n">
        <f aca="false">Settings!$B$4+SUM(L$2:L15)</f>
        <v>98.4973326733762</v>
      </c>
    </row>
    <row r="16" customFormat="false" ht="14.25" hidden="false" customHeight="false" outlineLevel="0" collapsed="false">
      <c r="J16" s="6" t="str">
        <f aca="false">IF(I16="","",I16-F16)</f>
        <v/>
      </c>
      <c r="L16" s="12" t="n">
        <f aca="false">IF(K16="W",IF(G16&lt;0,H16*100/ABS(G16),H16*G16/100),IF(K16="L",-H16,0))</f>
        <v>0</v>
      </c>
      <c r="M16" s="12" t="n">
        <f aca="false">Settings!$B$4+SUM(L$2:L16)</f>
        <v>98.4973326733762</v>
      </c>
    </row>
    <row r="17" customFormat="false" ht="14.25" hidden="false" customHeight="false" outlineLevel="0" collapsed="false">
      <c r="J17" s="6" t="str">
        <f aca="false">IF(I17="","",I17-F17)</f>
        <v/>
      </c>
      <c r="L17" s="12" t="n">
        <f aca="false">IF(K17="W",IF(G17&lt;0,H17*100/ABS(G17),H17*G17/100),IF(K17="L",-H17,0))</f>
        <v>0</v>
      </c>
      <c r="M17" s="12" t="n">
        <f aca="false">Settings!$B$4+SUM(L$2:L17)</f>
        <v>98.4973326733762</v>
      </c>
    </row>
    <row r="18" customFormat="false" ht="14.25" hidden="false" customHeight="false" outlineLevel="0" collapsed="false">
      <c r="J18" s="6" t="str">
        <f aca="false">IF(I18="","",I18-F18)</f>
        <v/>
      </c>
      <c r="L18" s="12" t="n">
        <f aca="false">IF(K18="W",IF(G18&lt;0,H18*100/ABS(G18),H18*G18/100),IF(K18="L",-H18,0))</f>
        <v>0</v>
      </c>
      <c r="M18" s="12" t="n">
        <f aca="false">Settings!$B$4+SUM(L$2:L18)</f>
        <v>98.4973326733762</v>
      </c>
    </row>
    <row r="19" customFormat="false" ht="14.25" hidden="false" customHeight="false" outlineLevel="0" collapsed="false">
      <c r="J19" s="6" t="str">
        <f aca="false">IF(I19="","",I19-F19)</f>
        <v/>
      </c>
      <c r="L19" s="12" t="n">
        <f aca="false">IF(K19="W",IF(G19&lt;0,H19*100/ABS(G19),H19*G19/100),IF(K19="L",-H19,0))</f>
        <v>0</v>
      </c>
      <c r="M19" s="12" t="n">
        <f aca="false">Settings!$B$4+SUM(L$2:L19)</f>
        <v>98.4973326733762</v>
      </c>
    </row>
    <row r="20" customFormat="false" ht="14.25" hidden="false" customHeight="false" outlineLevel="0" collapsed="false">
      <c r="J20" s="6" t="str">
        <f aca="false">IF(I20="","",I20-F20)</f>
        <v/>
      </c>
      <c r="L20" s="12" t="n">
        <f aca="false">IF(K20="W",IF(G20&lt;0,H20*100/ABS(G20),H20*G20/100),IF(K20="L",-H20,0))</f>
        <v>0</v>
      </c>
      <c r="M20" s="12" t="n">
        <f aca="false">Settings!$B$4+SUM(L$2:L20)</f>
        <v>98.4973326733762</v>
      </c>
    </row>
    <row r="21" customFormat="false" ht="14.25" hidden="false" customHeight="false" outlineLevel="0" collapsed="false">
      <c r="J21" s="6" t="str">
        <f aca="false">IF(I21="","",I21-F21)</f>
        <v/>
      </c>
      <c r="L21" s="12" t="n">
        <f aca="false">IF(K21="W",IF(G21&lt;0,H21*100/ABS(G21),H21*G21/100),IF(K21="L",-H21,0))</f>
        <v>0</v>
      </c>
      <c r="M21" s="12" t="n">
        <f aca="false">Settings!$B$4+SUM(L$2:L21)</f>
        <v>98.4973326733762</v>
      </c>
    </row>
    <row r="22" customFormat="false" ht="14.25" hidden="false" customHeight="false" outlineLevel="0" collapsed="false">
      <c r="J22" s="6" t="str">
        <f aca="false">IF(I22="","",I22-F22)</f>
        <v/>
      </c>
      <c r="L22" s="12" t="n">
        <f aca="false">IF(K22="W",IF(G22&lt;0,H22*100/ABS(G22),H22*G22/100),IF(K22="L",-H22,0))</f>
        <v>0</v>
      </c>
      <c r="M22" s="12" t="n">
        <f aca="false">Settings!$B$4+SUM(L$2:L22)</f>
        <v>98.4973326733762</v>
      </c>
    </row>
    <row r="23" customFormat="false" ht="14.25" hidden="false" customHeight="false" outlineLevel="0" collapsed="false">
      <c r="J23" s="6" t="str">
        <f aca="false">IF(I23="","",I23-F23)</f>
        <v/>
      </c>
      <c r="L23" s="12" t="n">
        <f aca="false">IF(K23="W",IF(G23&lt;0,H23*100/ABS(G23),H23*G23/100),IF(K23="L",-H23,0))</f>
        <v>0</v>
      </c>
      <c r="M23" s="12" t="n">
        <f aca="false">Settings!$B$4+SUM(L$2:L23)</f>
        <v>98.4973326733762</v>
      </c>
    </row>
    <row r="24" customFormat="false" ht="14.25" hidden="false" customHeight="false" outlineLevel="0" collapsed="false">
      <c r="J24" s="6" t="str">
        <f aca="false">IF(I24="","",I24-F24)</f>
        <v/>
      </c>
      <c r="L24" s="12" t="n">
        <f aca="false">IF(K24="W",IF(G24&lt;0,H24*100/ABS(G24),H24*G24/100),IF(K24="L",-H24,0))</f>
        <v>0</v>
      </c>
      <c r="M24" s="12" t="n">
        <f aca="false">Settings!$B$4+SUM(L$2:L24)</f>
        <v>98.4973326733762</v>
      </c>
    </row>
    <row r="25" customFormat="false" ht="14.25" hidden="false" customHeight="false" outlineLevel="0" collapsed="false">
      <c r="J25" s="6" t="str">
        <f aca="false">IF(I25="","",I25-F25)</f>
        <v/>
      </c>
      <c r="L25" s="12" t="n">
        <f aca="false">IF(K25="W",IF(G25&lt;0,H25*100/ABS(G25),H25*G25/100),IF(K25="L",-H25,0))</f>
        <v>0</v>
      </c>
      <c r="M25" s="12" t="n">
        <f aca="false">Settings!$B$4+SUM(L$2:L25)</f>
        <v>98.4973326733762</v>
      </c>
    </row>
    <row r="26" customFormat="false" ht="14.25" hidden="false" customHeight="false" outlineLevel="0" collapsed="false">
      <c r="J26" s="6" t="str">
        <f aca="false">IF(I26="","",I26-F26)</f>
        <v/>
      </c>
      <c r="L26" s="12" t="n">
        <f aca="false">IF(K26="W",IF(G26&lt;0,H26*100/ABS(G26),H26*G26/100),IF(K26="L",-H26,0))</f>
        <v>0</v>
      </c>
      <c r="M26" s="12" t="n">
        <f aca="false">Settings!$B$4+SUM(L$2:L26)</f>
        <v>98.4973326733762</v>
      </c>
    </row>
    <row r="27" customFormat="false" ht="14.25" hidden="false" customHeight="false" outlineLevel="0" collapsed="false">
      <c r="J27" s="6" t="str">
        <f aca="false">IF(I27="","",I27-F27)</f>
        <v/>
      </c>
      <c r="L27" s="12" t="n">
        <f aca="false">IF(K27="W",IF(G27&lt;0,H27*100/ABS(G27),H27*G27/100),IF(K27="L",-H27,0))</f>
        <v>0</v>
      </c>
      <c r="M27" s="12" t="n">
        <f aca="false">Settings!$B$4+SUM(L$2:L27)</f>
        <v>98.4973326733762</v>
      </c>
    </row>
    <row r="28" customFormat="false" ht="14.25" hidden="false" customHeight="false" outlineLevel="0" collapsed="false">
      <c r="J28" s="6" t="str">
        <f aca="false">IF(I28="","",I28-F28)</f>
        <v/>
      </c>
      <c r="L28" s="12" t="n">
        <f aca="false">IF(K28="W",IF(G28&lt;0,H28*100/ABS(G28),H28*G28/100),IF(K28="L",-H28,0))</f>
        <v>0</v>
      </c>
      <c r="M28" s="12" t="n">
        <f aca="false">Settings!$B$4+SUM(L$2:L28)</f>
        <v>98.4973326733762</v>
      </c>
    </row>
    <row r="29" customFormat="false" ht="14.25" hidden="false" customHeight="false" outlineLevel="0" collapsed="false">
      <c r="J29" s="6" t="str">
        <f aca="false">IF(I29="","",I29-F29)</f>
        <v/>
      </c>
      <c r="L29" s="12" t="n">
        <f aca="false">IF(K29="W",IF(G29&lt;0,H29*100/ABS(G29),H29*G29/100),IF(K29="L",-H29,0))</f>
        <v>0</v>
      </c>
      <c r="M29" s="12" t="n">
        <f aca="false">Settings!$B$4+SUM(L$2:L29)</f>
        <v>98.4973326733762</v>
      </c>
    </row>
    <row r="30" customFormat="false" ht="14.25" hidden="false" customHeight="false" outlineLevel="0" collapsed="false">
      <c r="J30" s="6" t="str">
        <f aca="false">IF(I30="","",I30-F30)</f>
        <v/>
      </c>
      <c r="L30" s="12" t="n">
        <f aca="false">IF(K30="W",IF(G30&lt;0,H30*100/ABS(G30),H30*G30/100),IF(K30="L",-H30,0))</f>
        <v>0</v>
      </c>
      <c r="M30" s="12" t="n">
        <f aca="false">Settings!$B$4+SUM(L$2:L30)</f>
        <v>98.4973326733762</v>
      </c>
    </row>
    <row r="31" customFormat="false" ht="14.25" hidden="false" customHeight="false" outlineLevel="0" collapsed="false">
      <c r="J31" s="6" t="str">
        <f aca="false">IF(I31="","",I31-F31)</f>
        <v/>
      </c>
      <c r="L31" s="12" t="n">
        <f aca="false">IF(K31="W",IF(G31&lt;0,H31*100/ABS(G31),H31*G31/100),IF(K31="L",-H31,0))</f>
        <v>0</v>
      </c>
      <c r="M31" s="12" t="n">
        <f aca="false">Settings!$B$4+SUM(L$2:L31)</f>
        <v>98.4973326733762</v>
      </c>
    </row>
    <row r="32" customFormat="false" ht="14.25" hidden="false" customHeight="false" outlineLevel="0" collapsed="false">
      <c r="J32" s="6" t="str">
        <f aca="false">IF(I32="","",I32-F32)</f>
        <v/>
      </c>
      <c r="L32" s="12" t="n">
        <f aca="false">IF(K32="W",IF(G32&lt;0,H32*100/ABS(G32),H32*G32/100),IF(K32="L",-H32,0))</f>
        <v>0</v>
      </c>
      <c r="M32" s="12" t="n">
        <f aca="false">Settings!$B$4+SUM(L$2:L32)</f>
        <v>98.4973326733762</v>
      </c>
    </row>
    <row r="33" customFormat="false" ht="14.25" hidden="false" customHeight="false" outlineLevel="0" collapsed="false">
      <c r="J33" s="6" t="str">
        <f aca="false">IF(I33="","",I33-F33)</f>
        <v/>
      </c>
      <c r="L33" s="12" t="n">
        <f aca="false">IF(K33="W",IF(G33&lt;0,H33*100/ABS(G33),H33*G33/100),IF(K33="L",-H33,0))</f>
        <v>0</v>
      </c>
      <c r="M33" s="12" t="n">
        <f aca="false">Settings!$B$4+SUM(L$2:L33)</f>
        <v>98.4973326733762</v>
      </c>
    </row>
    <row r="34" customFormat="false" ht="14.25" hidden="false" customHeight="false" outlineLevel="0" collapsed="false">
      <c r="J34" s="6" t="str">
        <f aca="false">IF(I34="","",I34-F34)</f>
        <v/>
      </c>
      <c r="L34" s="12" t="n">
        <f aca="false">IF(K34="W",IF(G34&lt;0,H34*100/ABS(G34),H34*G34/100),IF(K34="L",-H34,0))</f>
        <v>0</v>
      </c>
      <c r="M34" s="12" t="n">
        <f aca="false">Settings!$B$4+SUM(L$2:L34)</f>
        <v>98.4973326733762</v>
      </c>
    </row>
    <row r="35" customFormat="false" ht="14.25" hidden="false" customHeight="false" outlineLevel="0" collapsed="false">
      <c r="J35" s="6" t="str">
        <f aca="false">IF(I35="","",I35-F35)</f>
        <v/>
      </c>
      <c r="L35" s="12" t="n">
        <f aca="false">IF(K35="W",IF(G35&lt;0,H35*100/ABS(G35),H35*G35/100),IF(K35="L",-H35,0))</f>
        <v>0</v>
      </c>
      <c r="M35" s="12" t="n">
        <f aca="false">Settings!$B$4+SUM(L$2:L35)</f>
        <v>98.4973326733762</v>
      </c>
    </row>
    <row r="36" customFormat="false" ht="14.25" hidden="false" customHeight="false" outlineLevel="0" collapsed="false">
      <c r="J36" s="6" t="str">
        <f aca="false">IF(I36="","",I36-F36)</f>
        <v/>
      </c>
      <c r="L36" s="12" t="n">
        <f aca="false">IF(K36="W",IF(G36&lt;0,H36*100/ABS(G36),H36*G36/100),IF(K36="L",-H36,0))</f>
        <v>0</v>
      </c>
      <c r="M36" s="12" t="n">
        <f aca="false">Settings!$B$4+SUM(L$2:L36)</f>
        <v>98.4973326733762</v>
      </c>
    </row>
    <row r="37" customFormat="false" ht="14.25" hidden="false" customHeight="false" outlineLevel="0" collapsed="false">
      <c r="J37" s="6" t="str">
        <f aca="false">IF(I37="","",I37-F37)</f>
        <v/>
      </c>
      <c r="L37" s="12" t="n">
        <f aca="false">IF(K37="W",IF(G37&lt;0,H37*100/ABS(G37),H37*G37/100),IF(K37="L",-H37,0))</f>
        <v>0</v>
      </c>
      <c r="M37" s="12" t="n">
        <f aca="false">Settings!$B$4+SUM(L$2:L37)</f>
        <v>98.4973326733762</v>
      </c>
    </row>
    <row r="38" customFormat="false" ht="14.25" hidden="false" customHeight="false" outlineLevel="0" collapsed="false">
      <c r="J38" s="6" t="str">
        <f aca="false">IF(I38="","",I38-F38)</f>
        <v/>
      </c>
      <c r="L38" s="12" t="n">
        <f aca="false">IF(K38="W",IF(G38&lt;0,H38*100/ABS(G38),H38*G38/100),IF(K38="L",-H38,0))</f>
        <v>0</v>
      </c>
      <c r="M38" s="12" t="n">
        <f aca="false">Settings!$B$4+SUM(L$2:L38)</f>
        <v>98.4973326733762</v>
      </c>
    </row>
    <row r="39" customFormat="false" ht="14.25" hidden="false" customHeight="false" outlineLevel="0" collapsed="false">
      <c r="J39" s="6" t="str">
        <f aca="false">IF(I39="","",I39-F39)</f>
        <v/>
      </c>
      <c r="L39" s="12" t="n">
        <f aca="false">IF(K39="W",IF(G39&lt;0,H39*100/ABS(G39),H39*G39/100),IF(K39="L",-H39,0))</f>
        <v>0</v>
      </c>
      <c r="M39" s="12" t="n">
        <f aca="false">Settings!$B$4+SUM(L$2:L39)</f>
        <v>98.4973326733762</v>
      </c>
    </row>
    <row r="40" customFormat="false" ht="14.25" hidden="false" customHeight="false" outlineLevel="0" collapsed="false">
      <c r="J40" s="6" t="str">
        <f aca="false">IF(I40="","",I40-F40)</f>
        <v/>
      </c>
      <c r="L40" s="12" t="n">
        <f aca="false">IF(K40="W",IF(G40&lt;0,H40*100/ABS(G40),H40*G40/100),IF(K40="L",-H40,0))</f>
        <v>0</v>
      </c>
      <c r="M40" s="12" t="n">
        <f aca="false">Settings!$B$4+SUM(L$2:L40)</f>
        <v>98.4973326733762</v>
      </c>
    </row>
    <row r="41" customFormat="false" ht="14.25" hidden="false" customHeight="false" outlineLevel="0" collapsed="false">
      <c r="J41" s="6" t="str">
        <f aca="false">IF(I41="","",I41-F41)</f>
        <v/>
      </c>
      <c r="L41" s="12" t="n">
        <f aca="false">IF(K41="W",IF(G41&lt;0,H41*100/ABS(G41),H41*G41/100),IF(K41="L",-H41,0))</f>
        <v>0</v>
      </c>
      <c r="M41" s="12" t="n">
        <f aca="false">Settings!$B$4+SUM(L$2:L41)</f>
        <v>98.4973326733762</v>
      </c>
    </row>
    <row r="44" customFormat="false" ht="14.25" hidden="false" customHeight="false" outlineLevel="0" collapsed="false">
      <c r="A44" s="2" t="s">
        <v>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F1" activeCellId="0" sqref="F1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37"/>
    <col collapsed="false" customWidth="true" hidden="false" outlineLevel="0" max="3" min="3" style="0" width="7.18"/>
    <col collapsed="false" customWidth="true" hidden="false" outlineLevel="0" max="4" min="4" style="0" width="17"/>
    <col collapsed="false" customWidth="true" hidden="false" outlineLevel="0" max="5" min="5" style="0" width="12"/>
    <col collapsed="false" customWidth="true" hidden="false" outlineLevel="0" max="7" min="6" style="0" width="10"/>
    <col collapsed="false" customWidth="true" hidden="false" outlineLevel="0" max="8" min="8" style="0" width="11"/>
    <col collapsed="false" customWidth="true" hidden="false" outlineLevel="0" max="9" min="9" style="0" width="60"/>
  </cols>
  <sheetData>
    <row r="1" customFormat="false" ht="25.5" hidden="false" customHeight="true" outlineLevel="0" collapsed="false">
      <c r="A1" s="5" t="s">
        <v>100</v>
      </c>
      <c r="B1" s="5" t="s">
        <v>101</v>
      </c>
      <c r="C1" s="5" t="s">
        <v>102</v>
      </c>
      <c r="D1" s="5" t="s">
        <v>103</v>
      </c>
      <c r="E1" s="5" t="s">
        <v>104</v>
      </c>
      <c r="F1" s="5" t="s">
        <v>105</v>
      </c>
      <c r="G1" s="5" t="s">
        <v>106</v>
      </c>
      <c r="H1" s="5" t="s">
        <v>107</v>
      </c>
      <c r="I1" s="5" t="s">
        <v>21</v>
      </c>
    </row>
    <row r="2" customFormat="false" ht="14.25" hidden="false" customHeight="false" outlineLevel="0" collapsed="false">
      <c r="A2" s="6" t="s">
        <v>51</v>
      </c>
      <c r="B2" s="6" t="s">
        <v>108</v>
      </c>
      <c r="C2" s="6" t="s">
        <v>109</v>
      </c>
      <c r="D2" s="10" t="n">
        <v>1738.7</v>
      </c>
      <c r="E2" s="10" t="n">
        <v>-1.8</v>
      </c>
      <c r="F2" s="10" t="n">
        <v>0.23890241574583</v>
      </c>
      <c r="G2" s="10" t="n">
        <v>-0.313104117746208</v>
      </c>
      <c r="H2" s="10" t="n">
        <v>117</v>
      </c>
      <c r="I2" s="2" t="s">
        <v>110</v>
      </c>
    </row>
    <row r="3" customFormat="false" ht="14.25" hidden="false" customHeight="false" outlineLevel="0" collapsed="false">
      <c r="A3" s="6" t="s">
        <v>56</v>
      </c>
      <c r="B3" s="6" t="s">
        <v>111</v>
      </c>
      <c r="C3" s="6" t="s">
        <v>112</v>
      </c>
      <c r="D3" s="10" t="n">
        <v>1613.1</v>
      </c>
      <c r="E3" s="10" t="n">
        <v>3.6</v>
      </c>
      <c r="F3" s="10" t="n">
        <v>0.120026137832497</v>
      </c>
      <c r="G3" s="10" t="n">
        <v>0.0892851354528907</v>
      </c>
      <c r="H3" s="10" t="n">
        <v>63</v>
      </c>
      <c r="I3" s="2" t="s">
        <v>113</v>
      </c>
    </row>
    <row r="4" customFormat="false" ht="14.25" hidden="false" customHeight="false" outlineLevel="0" collapsed="false">
      <c r="A4" s="6" t="s">
        <v>64</v>
      </c>
      <c r="B4" s="6" t="s">
        <v>111</v>
      </c>
      <c r="C4" s="6" t="s">
        <v>112</v>
      </c>
      <c r="D4" s="10" t="n">
        <v>1569</v>
      </c>
      <c r="E4" s="10" t="n">
        <v>0</v>
      </c>
      <c r="F4" s="10" t="n">
        <v>0.218710771609836</v>
      </c>
      <c r="G4" s="10" t="n">
        <v>-0.0521819579954482</v>
      </c>
      <c r="H4" s="10" t="n">
        <v>87</v>
      </c>
      <c r="I4" s="2" t="s">
        <v>114</v>
      </c>
    </row>
    <row r="5" customFormat="false" ht="14.25" hidden="false" customHeight="false" outlineLevel="0" collapsed="false">
      <c r="A5" s="6" t="s">
        <v>52</v>
      </c>
      <c r="B5" s="6" t="s">
        <v>111</v>
      </c>
      <c r="C5" s="6" t="s">
        <v>112</v>
      </c>
      <c r="D5" s="10" t="n">
        <v>1491.7</v>
      </c>
      <c r="E5" s="10" t="n">
        <v>-2.6</v>
      </c>
      <c r="F5" s="10" t="n">
        <v>-0.00677990204860647</v>
      </c>
      <c r="G5" s="10" t="n">
        <v>0.246843337573555</v>
      </c>
      <c r="H5" s="10" t="n">
        <v>124</v>
      </c>
      <c r="I5" s="2" t="s">
        <v>115</v>
      </c>
    </row>
    <row r="6" customFormat="false" ht="14.25" hidden="false" customHeight="false" outlineLevel="0" collapsed="false">
      <c r="A6" s="6" t="s">
        <v>57</v>
      </c>
      <c r="B6" s="6" t="s">
        <v>111</v>
      </c>
      <c r="C6" s="6" t="s">
        <v>112</v>
      </c>
      <c r="D6" s="10" t="n">
        <v>1499.4</v>
      </c>
      <c r="E6" s="10" t="n">
        <v>-3.2</v>
      </c>
      <c r="F6" s="10" t="n">
        <v>0.398894580108972</v>
      </c>
      <c r="G6" s="10" t="n">
        <v>-0.248118563368299</v>
      </c>
      <c r="H6" s="10" t="n">
        <v>141</v>
      </c>
      <c r="I6" s="2" t="s">
        <v>116</v>
      </c>
    </row>
    <row r="7" customFormat="false" ht="14.25" hidden="false" customHeight="false" outlineLevel="0" collapsed="false">
      <c r="A7" s="6" t="s">
        <v>67</v>
      </c>
      <c r="B7" s="6" t="s">
        <v>111</v>
      </c>
      <c r="C7" s="6" t="s">
        <v>112</v>
      </c>
      <c r="D7" s="10" t="n">
        <v>1396.8</v>
      </c>
      <c r="E7" s="10" t="n">
        <v>-10.8</v>
      </c>
      <c r="F7" s="10" t="n">
        <v>-0.0251076991146115</v>
      </c>
      <c r="G7" s="10" t="n">
        <v>0.301241820375048</v>
      </c>
      <c r="H7" s="10" t="n">
        <v>114</v>
      </c>
      <c r="I7" s="2" t="s">
        <v>117</v>
      </c>
    </row>
    <row r="8" customFormat="false" ht="14.25" hidden="false" customHeight="false" outlineLevel="0" collapsed="false">
      <c r="A8" s="6" t="s">
        <v>65</v>
      </c>
      <c r="B8" s="6" t="s">
        <v>118</v>
      </c>
      <c r="C8" s="6" t="s">
        <v>109</v>
      </c>
      <c r="D8" s="10" t="n">
        <v>1412.1</v>
      </c>
      <c r="E8" s="10" t="n">
        <v>-17.2</v>
      </c>
      <c r="F8" s="10" t="n">
        <v>-0.331732073650518</v>
      </c>
      <c r="G8" s="10" t="n">
        <v>0.0613173930418566</v>
      </c>
      <c r="H8" s="10" t="n">
        <v>82</v>
      </c>
      <c r="I8" s="2" t="s">
        <v>119</v>
      </c>
    </row>
    <row r="9" customFormat="false" ht="14.25" hidden="false" customHeight="false" outlineLevel="0" collapsed="false">
      <c r="A9" s="6" t="s">
        <v>48</v>
      </c>
      <c r="B9" s="6" t="s">
        <v>111</v>
      </c>
      <c r="C9" s="6" t="s">
        <v>112</v>
      </c>
      <c r="D9" s="10" t="n">
        <v>1432.7</v>
      </c>
      <c r="E9" s="10" t="n">
        <v>-15.7</v>
      </c>
      <c r="F9" s="10" t="n">
        <v>0.165445410812368</v>
      </c>
      <c r="G9" s="10" t="n">
        <v>0.192612782957952</v>
      </c>
      <c r="H9" s="10" t="n">
        <v>129</v>
      </c>
      <c r="I9" s="2" t="s">
        <v>114</v>
      </c>
    </row>
    <row r="10" customFormat="false" ht="14.25" hidden="false" customHeight="false" outlineLevel="0" collapsed="false">
      <c r="A10" s="6" t="s">
        <v>62</v>
      </c>
      <c r="B10" s="6" t="s">
        <v>111</v>
      </c>
      <c r="C10" s="6" t="s">
        <v>112</v>
      </c>
      <c r="D10" s="10" t="n">
        <v>1439.9</v>
      </c>
      <c r="E10" s="10" t="n">
        <v>-11.7</v>
      </c>
      <c r="F10" s="10" t="n">
        <v>0.556278847672138</v>
      </c>
      <c r="G10" s="10" t="n">
        <v>0.0656228862120106</v>
      </c>
      <c r="H10" s="10" t="n">
        <v>98</v>
      </c>
      <c r="I10" s="2" t="s">
        <v>120</v>
      </c>
    </row>
    <row r="11" customFormat="false" ht="14.25" hidden="false" customHeight="false" outlineLevel="0" collapsed="false">
      <c r="A11" s="6" t="s">
        <v>69</v>
      </c>
      <c r="B11" s="6" t="s">
        <v>121</v>
      </c>
      <c r="C11" s="6" t="s">
        <v>109</v>
      </c>
      <c r="D11" s="10" t="n">
        <v>1344.5</v>
      </c>
      <c r="E11" s="10" t="n">
        <v>-19.3</v>
      </c>
      <c r="F11" s="10" t="n">
        <v>-0.251351409758154</v>
      </c>
      <c r="G11" s="10" t="n">
        <v>0.387190583531566</v>
      </c>
      <c r="H11" s="10" t="n">
        <v>92</v>
      </c>
      <c r="I11" s="2" t="s">
        <v>122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6"/>
    <col collapsed="false" customWidth="true" hidden="false" outlineLevel="0" max="3" min="3" style="0" width="12"/>
    <col collapsed="false" customWidth="true" hidden="false" outlineLevel="0" max="5" min="4" style="0" width="18"/>
    <col collapsed="false" customWidth="true" hidden="false" outlineLevel="0" max="7" min="6" style="0" width="12"/>
    <col collapsed="false" customWidth="true" hidden="false" outlineLevel="0" max="8" min="8" style="0" width="11"/>
    <col collapsed="false" customWidth="true" hidden="false" outlineLevel="0" max="9" min="9" style="0" width="18"/>
    <col collapsed="false" customWidth="true" hidden="false" outlineLevel="0" max="10" min="10" style="0" width="16"/>
    <col collapsed="false" customWidth="true" hidden="false" outlineLevel="0" max="11" min="11" style="0" width="12"/>
    <col collapsed="false" customWidth="true" hidden="false" outlineLevel="0" max="12" min="12" style="0" width="11"/>
    <col collapsed="false" customWidth="true" hidden="false" outlineLevel="0" max="13" min="13" style="0" width="12"/>
    <col collapsed="false" customWidth="true" hidden="false" outlineLevel="0" max="14" min="14" style="0" width="13"/>
    <col collapsed="false" customWidth="true" hidden="false" outlineLevel="0" max="15" min="15" style="0" width="15"/>
    <col collapsed="false" customWidth="true" hidden="false" outlineLevel="0" max="17" min="16" style="0" width="17"/>
  </cols>
  <sheetData>
    <row r="1" customFormat="false" ht="17.35" hidden="false" customHeight="false" outlineLevel="0" collapsed="false">
      <c r="A1" s="13" t="s">
        <v>123</v>
      </c>
    </row>
    <row r="2" customFormat="false" ht="15" hidden="false" customHeight="false" outlineLevel="0" collapsed="false">
      <c r="A2" s="14" t="s">
        <v>124</v>
      </c>
    </row>
    <row r="4" customFormat="false" ht="15" hidden="false" customHeight="false" outlineLevel="0" collapsed="false">
      <c r="A4" s="15" t="s">
        <v>125</v>
      </c>
    </row>
    <row r="5" customFormat="false" ht="23.85" hidden="false" customHeight="false" outlineLevel="0" collapsed="false">
      <c r="A5" s="16" t="s">
        <v>126</v>
      </c>
      <c r="B5" s="16" t="s">
        <v>127</v>
      </c>
      <c r="C5" s="16" t="s">
        <v>128</v>
      </c>
      <c r="D5" s="16" t="s">
        <v>129</v>
      </c>
      <c r="E5" s="16" t="s">
        <v>130</v>
      </c>
      <c r="F5" s="16" t="s">
        <v>131</v>
      </c>
      <c r="G5" s="16" t="s">
        <v>132</v>
      </c>
      <c r="H5" s="16" t="s">
        <v>133</v>
      </c>
      <c r="I5" s="16" t="s">
        <v>134</v>
      </c>
      <c r="J5" s="16" t="s">
        <v>135</v>
      </c>
    </row>
    <row r="6" customFormat="false" ht="15" hidden="false" customHeight="false" outlineLevel="0" collapsed="false">
      <c r="A6" s="17" t="s">
        <v>136</v>
      </c>
      <c r="B6" s="17" t="n">
        <v>8529</v>
      </c>
      <c r="C6" s="17" t="n">
        <v>6628</v>
      </c>
      <c r="D6" s="17" t="n">
        <v>3297</v>
      </c>
      <c r="E6" s="17" t="n">
        <v>3331</v>
      </c>
      <c r="F6" s="17" t="n">
        <v>54</v>
      </c>
      <c r="G6" s="17" t="s">
        <v>137</v>
      </c>
      <c r="H6" s="17" t="s">
        <v>138</v>
      </c>
      <c r="I6" s="17" t="s">
        <v>139</v>
      </c>
      <c r="J6" s="17" t="s">
        <v>140</v>
      </c>
    </row>
    <row r="7" customFormat="false" ht="15" hidden="false" customHeight="false" outlineLevel="0" collapsed="false">
      <c r="A7" s="17" t="s">
        <v>141</v>
      </c>
      <c r="B7" s="17" t="n">
        <v>969</v>
      </c>
      <c r="C7" s="17" t="n">
        <v>768</v>
      </c>
      <c r="D7" s="17" t="n">
        <v>379</v>
      </c>
      <c r="E7" s="17" t="n">
        <v>389</v>
      </c>
      <c r="F7" s="17" t="n">
        <v>8</v>
      </c>
      <c r="G7" s="17" t="s">
        <v>142</v>
      </c>
      <c r="H7" s="17" t="s">
        <v>143</v>
      </c>
      <c r="I7" s="17" t="s">
        <v>144</v>
      </c>
      <c r="J7" s="17" t="s">
        <v>145</v>
      </c>
    </row>
    <row r="8" customFormat="false" ht="15" hidden="false" customHeight="false" outlineLevel="0" collapsed="false">
      <c r="A8" s="17" t="s">
        <v>146</v>
      </c>
      <c r="B8" s="17" t="n">
        <v>8529</v>
      </c>
      <c r="C8" s="17" t="n">
        <v>6564</v>
      </c>
      <c r="D8" s="17" t="n">
        <v>3317</v>
      </c>
      <c r="E8" s="17" t="n">
        <v>3247</v>
      </c>
      <c r="F8" s="17" t="n">
        <v>59</v>
      </c>
      <c r="G8" s="17" t="s">
        <v>147</v>
      </c>
      <c r="H8" s="17" t="s">
        <v>148</v>
      </c>
      <c r="I8" s="17" t="s">
        <v>149</v>
      </c>
      <c r="J8" s="17" t="s">
        <v>150</v>
      </c>
    </row>
    <row r="9" customFormat="false" ht="15" hidden="false" customHeight="false" outlineLevel="0" collapsed="false">
      <c r="A9" s="17" t="s">
        <v>151</v>
      </c>
      <c r="B9" s="17" t="n">
        <v>969</v>
      </c>
      <c r="C9" s="17" t="n">
        <v>730</v>
      </c>
      <c r="D9" s="17" t="n">
        <v>376</v>
      </c>
      <c r="E9" s="17" t="n">
        <v>354</v>
      </c>
      <c r="F9" s="17" t="n">
        <v>10</v>
      </c>
      <c r="G9" s="17" t="s">
        <v>152</v>
      </c>
      <c r="H9" s="17" t="s">
        <v>153</v>
      </c>
      <c r="I9" s="17" t="s">
        <v>154</v>
      </c>
      <c r="J9" s="17" t="s">
        <v>155</v>
      </c>
    </row>
    <row r="11" customFormat="false" ht="15" hidden="false" customHeight="false" outlineLevel="0" collapsed="false">
      <c r="A11" s="15" t="s">
        <v>156</v>
      </c>
    </row>
    <row r="12" customFormat="false" ht="23.85" hidden="false" customHeight="false" outlineLevel="0" collapsed="false">
      <c r="A12" s="16" t="s">
        <v>126</v>
      </c>
      <c r="B12" s="16" t="s">
        <v>127</v>
      </c>
      <c r="C12" s="16" t="s">
        <v>128</v>
      </c>
      <c r="D12" s="16" t="s">
        <v>129</v>
      </c>
      <c r="E12" s="16" t="s">
        <v>130</v>
      </c>
      <c r="F12" s="16" t="s">
        <v>131</v>
      </c>
      <c r="G12" s="16" t="s">
        <v>132</v>
      </c>
      <c r="H12" s="16" t="s">
        <v>133</v>
      </c>
      <c r="I12" s="16" t="s">
        <v>134</v>
      </c>
      <c r="J12" s="16" t="s">
        <v>135</v>
      </c>
    </row>
    <row r="13" customFormat="false" ht="15" hidden="false" customHeight="false" outlineLevel="0" collapsed="false">
      <c r="A13" s="17" t="s">
        <v>136</v>
      </c>
      <c r="B13" s="17" t="n">
        <v>96</v>
      </c>
      <c r="C13" s="17" t="n">
        <v>85</v>
      </c>
      <c r="D13" s="17" t="n">
        <v>34</v>
      </c>
      <c r="E13" s="17" t="n">
        <v>51</v>
      </c>
      <c r="F13" s="17" t="n">
        <v>1</v>
      </c>
      <c r="G13" s="17" t="s">
        <v>157</v>
      </c>
      <c r="H13" s="17" t="s">
        <v>158</v>
      </c>
      <c r="I13" s="17" t="s">
        <v>159</v>
      </c>
      <c r="J13" s="17" t="s">
        <v>160</v>
      </c>
    </row>
    <row r="14" customFormat="false" ht="15" hidden="false" customHeight="false" outlineLevel="0" collapsed="false">
      <c r="A14" s="17" t="s">
        <v>141</v>
      </c>
      <c r="B14" s="17" t="n">
        <v>13</v>
      </c>
      <c r="C14" s="17" t="n">
        <v>11</v>
      </c>
      <c r="D14" s="17" t="n">
        <v>4</v>
      </c>
      <c r="E14" s="17" t="n">
        <v>7</v>
      </c>
      <c r="F14" s="17" t="n">
        <v>0</v>
      </c>
      <c r="G14" s="17" t="s">
        <v>161</v>
      </c>
      <c r="H14" s="17" t="s">
        <v>162</v>
      </c>
      <c r="I14" s="17" t="s">
        <v>163</v>
      </c>
      <c r="J14" s="17" t="s">
        <v>164</v>
      </c>
    </row>
    <row r="15" customFormat="false" ht="15" hidden="false" customHeight="false" outlineLevel="0" collapsed="false">
      <c r="A15" s="17" t="s">
        <v>146</v>
      </c>
      <c r="B15" s="17" t="n">
        <v>96</v>
      </c>
      <c r="C15" s="17" t="n">
        <v>79</v>
      </c>
      <c r="D15" s="17" t="n">
        <v>32</v>
      </c>
      <c r="E15" s="17" t="n">
        <v>47</v>
      </c>
      <c r="F15" s="17" t="n">
        <v>1</v>
      </c>
      <c r="G15" s="17" t="s">
        <v>165</v>
      </c>
      <c r="H15" s="17" t="s">
        <v>166</v>
      </c>
      <c r="I15" s="17" t="s">
        <v>167</v>
      </c>
      <c r="J15" s="17" t="s">
        <v>168</v>
      </c>
    </row>
    <row r="16" customFormat="false" ht="15" hidden="false" customHeight="false" outlineLevel="0" collapsed="false">
      <c r="A16" s="17" t="s">
        <v>151</v>
      </c>
      <c r="B16" s="17" t="n">
        <v>13</v>
      </c>
      <c r="C16" s="17" t="n">
        <v>9</v>
      </c>
      <c r="D16" s="17" t="n">
        <v>2</v>
      </c>
      <c r="E16" s="17" t="n">
        <v>7</v>
      </c>
      <c r="F16" s="17" t="n">
        <v>0</v>
      </c>
      <c r="G16" s="17" t="s">
        <v>169</v>
      </c>
      <c r="H16" s="17" t="s">
        <v>170</v>
      </c>
      <c r="I16" s="17" t="s">
        <v>171</v>
      </c>
      <c r="J16" s="17" t="s">
        <v>172</v>
      </c>
    </row>
    <row r="18" customFormat="false" ht="15" hidden="false" customHeight="false" outlineLevel="0" collapsed="false">
      <c r="A18" s="14" t="s">
        <v>173</v>
      </c>
    </row>
    <row r="20" customFormat="false" ht="15" hidden="false" customHeight="false" outlineLevel="0" collapsed="false">
      <c r="A20" s="15" t="s">
        <v>174</v>
      </c>
    </row>
    <row r="21" customFormat="false" ht="23.85" hidden="false" customHeight="false" outlineLevel="0" collapsed="false">
      <c r="A21" s="16" t="s">
        <v>30</v>
      </c>
      <c r="B21" s="16" t="s">
        <v>74</v>
      </c>
      <c r="C21" s="16" t="s">
        <v>35</v>
      </c>
      <c r="D21" s="16" t="s">
        <v>175</v>
      </c>
      <c r="E21" s="16" t="s">
        <v>176</v>
      </c>
      <c r="F21" s="16" t="s">
        <v>177</v>
      </c>
      <c r="G21" s="16" t="s">
        <v>178</v>
      </c>
      <c r="H21" s="16" t="s">
        <v>179</v>
      </c>
      <c r="I21" s="16" t="s">
        <v>180</v>
      </c>
    </row>
    <row r="22" customFormat="false" ht="15" hidden="false" customHeight="false" outlineLevel="0" collapsed="false">
      <c r="A22" s="17" t="n">
        <v>1</v>
      </c>
      <c r="B22" s="17" t="s">
        <v>181</v>
      </c>
      <c r="C22" s="17" t="s">
        <v>182</v>
      </c>
      <c r="D22" s="17" t="s">
        <v>183</v>
      </c>
      <c r="E22" s="17" t="s">
        <v>184</v>
      </c>
      <c r="F22" s="17" t="s">
        <v>185</v>
      </c>
      <c r="G22" s="17" t="s">
        <v>185</v>
      </c>
      <c r="H22" s="17" t="s">
        <v>186</v>
      </c>
      <c r="I22" s="18" t="s">
        <v>187</v>
      </c>
    </row>
    <row r="23" customFormat="false" ht="15" hidden="false" customHeight="false" outlineLevel="0" collapsed="false">
      <c r="A23" s="17" t="n">
        <v>1</v>
      </c>
      <c r="B23" s="17" t="s">
        <v>85</v>
      </c>
      <c r="C23" s="17" t="s">
        <v>188</v>
      </c>
      <c r="D23" s="17" t="s">
        <v>189</v>
      </c>
      <c r="E23" s="17" t="s">
        <v>190</v>
      </c>
      <c r="F23" s="17" t="s">
        <v>191</v>
      </c>
      <c r="G23" s="17" t="s">
        <v>191</v>
      </c>
      <c r="H23" s="17" t="s">
        <v>186</v>
      </c>
      <c r="I23" s="18" t="s">
        <v>192</v>
      </c>
    </row>
    <row r="24" customFormat="false" ht="15" hidden="false" customHeight="false" outlineLevel="0" collapsed="false">
      <c r="A24" s="17" t="n">
        <v>1</v>
      </c>
      <c r="B24" s="17" t="s">
        <v>193</v>
      </c>
      <c r="C24" s="17" t="s">
        <v>194</v>
      </c>
      <c r="D24" s="17" t="s">
        <v>195</v>
      </c>
      <c r="E24" s="17" t="s">
        <v>196</v>
      </c>
      <c r="F24" s="17" t="s">
        <v>185</v>
      </c>
      <c r="G24" s="17" t="s">
        <v>185</v>
      </c>
      <c r="H24" s="17" t="s">
        <v>186</v>
      </c>
      <c r="I24" s="18" t="s">
        <v>187</v>
      </c>
    </row>
    <row r="25" customFormat="false" ht="15" hidden="false" customHeight="false" outlineLevel="0" collapsed="false">
      <c r="A25" s="17" t="n">
        <v>1</v>
      </c>
      <c r="B25" s="17" t="s">
        <v>89</v>
      </c>
      <c r="C25" s="17" t="s">
        <v>194</v>
      </c>
      <c r="D25" s="17" t="s">
        <v>197</v>
      </c>
      <c r="E25" s="17" t="s">
        <v>198</v>
      </c>
      <c r="F25" s="17" t="s">
        <v>191</v>
      </c>
      <c r="G25" s="17" t="s">
        <v>191</v>
      </c>
      <c r="H25" s="17" t="s">
        <v>186</v>
      </c>
      <c r="I25" s="18" t="s">
        <v>192</v>
      </c>
    </row>
    <row r="26" customFormat="false" ht="15" hidden="false" customHeight="false" outlineLevel="0" collapsed="false">
      <c r="A26" s="17" t="n">
        <v>1</v>
      </c>
      <c r="B26" s="17" t="s">
        <v>94</v>
      </c>
      <c r="C26" s="17" t="s">
        <v>199</v>
      </c>
      <c r="D26" s="17" t="s">
        <v>190</v>
      </c>
      <c r="E26" s="17" t="s">
        <v>200</v>
      </c>
      <c r="F26" s="17" t="s">
        <v>191</v>
      </c>
      <c r="G26" s="17" t="s">
        <v>191</v>
      </c>
      <c r="H26" s="17" t="s">
        <v>186</v>
      </c>
      <c r="I26" s="18" t="s">
        <v>192</v>
      </c>
    </row>
    <row r="27" customFormat="false" ht="15" hidden="false" customHeight="false" outlineLevel="0" collapsed="false">
      <c r="A27" s="17" t="n">
        <v>1</v>
      </c>
      <c r="B27" s="17" t="s">
        <v>201</v>
      </c>
      <c r="C27" s="17" t="s">
        <v>202</v>
      </c>
      <c r="D27" s="17" t="s">
        <v>183</v>
      </c>
      <c r="E27" s="17" t="s">
        <v>203</v>
      </c>
      <c r="F27" s="17" t="s">
        <v>185</v>
      </c>
      <c r="G27" s="17" t="s">
        <v>185</v>
      </c>
      <c r="H27" s="17" t="s">
        <v>186</v>
      </c>
      <c r="I27" s="18" t="s">
        <v>187</v>
      </c>
    </row>
    <row r="28" customFormat="false" ht="15" hidden="false" customHeight="false" outlineLevel="0" collapsed="false">
      <c r="A28" s="17" t="n">
        <v>1</v>
      </c>
      <c r="B28" s="17" t="s">
        <v>204</v>
      </c>
      <c r="C28" s="17" t="s">
        <v>205</v>
      </c>
      <c r="D28" s="17" t="s">
        <v>206</v>
      </c>
      <c r="E28" s="17" t="s">
        <v>207</v>
      </c>
      <c r="F28" s="17" t="s">
        <v>185</v>
      </c>
      <c r="G28" s="17" t="s">
        <v>185</v>
      </c>
      <c r="H28" s="17" t="s">
        <v>186</v>
      </c>
      <c r="I28" s="18" t="s">
        <v>192</v>
      </c>
    </row>
    <row r="29" customFormat="false" ht="15" hidden="false" customHeight="false" outlineLevel="0" collapsed="false">
      <c r="A29" s="17" t="n">
        <v>1</v>
      </c>
      <c r="B29" s="17" t="s">
        <v>208</v>
      </c>
      <c r="C29" s="17" t="s">
        <v>209</v>
      </c>
      <c r="D29" s="17" t="s">
        <v>210</v>
      </c>
      <c r="E29" s="17" t="s">
        <v>211</v>
      </c>
      <c r="F29" s="17" t="s">
        <v>185</v>
      </c>
      <c r="G29" s="17" t="s">
        <v>185</v>
      </c>
      <c r="H29" s="17" t="s">
        <v>186</v>
      </c>
      <c r="I29" s="18" t="s">
        <v>187</v>
      </c>
    </row>
    <row r="30" customFormat="false" ht="15" hidden="false" customHeight="false" outlineLevel="0" collapsed="false">
      <c r="A30" s="17" t="n">
        <v>1</v>
      </c>
      <c r="B30" s="17" t="s">
        <v>212</v>
      </c>
      <c r="C30" s="17" t="s">
        <v>213</v>
      </c>
      <c r="D30" s="17" t="s">
        <v>214</v>
      </c>
      <c r="E30" s="17" t="s">
        <v>215</v>
      </c>
      <c r="F30" s="17" t="s">
        <v>185</v>
      </c>
      <c r="G30" s="17" t="s">
        <v>185</v>
      </c>
      <c r="H30" s="17" t="s">
        <v>186</v>
      </c>
      <c r="I30" s="18" t="s">
        <v>187</v>
      </c>
    </row>
    <row r="31" customFormat="false" ht="15" hidden="false" customHeight="false" outlineLevel="0" collapsed="false">
      <c r="A31" s="17" t="n">
        <v>1</v>
      </c>
      <c r="B31" s="17" t="s">
        <v>216</v>
      </c>
      <c r="C31" s="17" t="s">
        <v>217</v>
      </c>
      <c r="D31" s="17" t="s">
        <v>218</v>
      </c>
      <c r="E31" s="17" t="s">
        <v>219</v>
      </c>
      <c r="F31" s="17" t="s">
        <v>191</v>
      </c>
      <c r="G31" s="17" t="s">
        <v>191</v>
      </c>
      <c r="H31" s="17" t="s">
        <v>186</v>
      </c>
      <c r="I31" s="18" t="s">
        <v>192</v>
      </c>
    </row>
    <row r="32" customFormat="false" ht="15" hidden="false" customHeight="false" outlineLevel="0" collapsed="false">
      <c r="A32" s="17" t="n">
        <v>1</v>
      </c>
      <c r="B32" s="17" t="s">
        <v>220</v>
      </c>
      <c r="C32" s="17" t="s">
        <v>221</v>
      </c>
      <c r="D32" s="17" t="s">
        <v>222</v>
      </c>
      <c r="E32" s="17" t="s">
        <v>223</v>
      </c>
      <c r="F32" s="17" t="s">
        <v>185</v>
      </c>
      <c r="G32" s="17" t="s">
        <v>191</v>
      </c>
      <c r="H32" s="17" t="s">
        <v>224</v>
      </c>
      <c r="I32" s="18" t="s">
        <v>187</v>
      </c>
    </row>
    <row r="33" customFormat="false" ht="15" hidden="false" customHeight="false" outlineLevel="0" collapsed="false">
      <c r="A33" s="17" t="n">
        <v>1</v>
      </c>
      <c r="B33" s="17" t="s">
        <v>98</v>
      </c>
      <c r="C33" s="17" t="s">
        <v>225</v>
      </c>
      <c r="D33" s="17" t="s">
        <v>226</v>
      </c>
      <c r="E33" s="17" t="s">
        <v>227</v>
      </c>
      <c r="F33" s="17" t="s">
        <v>191</v>
      </c>
      <c r="G33" s="17" t="s">
        <v>191</v>
      </c>
      <c r="H33" s="17" t="s">
        <v>186</v>
      </c>
      <c r="I33" s="18" t="s">
        <v>192</v>
      </c>
    </row>
    <row r="34" customFormat="false" ht="15" hidden="false" customHeight="false" outlineLevel="0" collapsed="false">
      <c r="A34" s="17" t="n">
        <v>1</v>
      </c>
      <c r="B34" s="17" t="s">
        <v>228</v>
      </c>
      <c r="C34" s="17" t="s">
        <v>229</v>
      </c>
      <c r="D34" s="17" t="s">
        <v>230</v>
      </c>
      <c r="E34" s="17" t="s">
        <v>231</v>
      </c>
      <c r="F34" s="17" t="s">
        <v>185</v>
      </c>
      <c r="G34" s="17" t="s">
        <v>185</v>
      </c>
      <c r="H34" s="17" t="s">
        <v>186</v>
      </c>
      <c r="I34" s="18" t="s">
        <v>187</v>
      </c>
    </row>
    <row r="35" customFormat="false" ht="15" hidden="false" customHeight="false" outlineLevel="0" collapsed="false">
      <c r="A35" s="14" t="s">
        <v>232</v>
      </c>
    </row>
    <row r="38" customFormat="false" ht="15" hidden="false" customHeight="false" outlineLevel="0" collapsed="false">
      <c r="A38" s="15" t="s">
        <v>233</v>
      </c>
    </row>
    <row r="39" customFormat="false" ht="23.85" hidden="false" customHeight="false" outlineLevel="0" collapsed="false">
      <c r="A39" s="16" t="s">
        <v>30</v>
      </c>
      <c r="B39" s="16" t="s">
        <v>74</v>
      </c>
      <c r="C39" s="16" t="s">
        <v>234</v>
      </c>
      <c r="D39" s="16" t="s">
        <v>235</v>
      </c>
      <c r="E39" s="16" t="s">
        <v>236</v>
      </c>
      <c r="F39" s="16" t="s">
        <v>175</v>
      </c>
      <c r="G39" s="16" t="s">
        <v>237</v>
      </c>
      <c r="H39" s="16" t="s">
        <v>177</v>
      </c>
      <c r="I39" s="16" t="s">
        <v>238</v>
      </c>
      <c r="J39" s="16" t="s">
        <v>176</v>
      </c>
      <c r="K39" s="16" t="s">
        <v>239</v>
      </c>
      <c r="L39" s="16" t="s">
        <v>178</v>
      </c>
      <c r="M39" s="16" t="s">
        <v>240</v>
      </c>
      <c r="N39" s="16" t="s">
        <v>179</v>
      </c>
      <c r="O39" s="16" t="s">
        <v>241</v>
      </c>
      <c r="P39" s="16" t="s">
        <v>242</v>
      </c>
      <c r="Q39" s="16" t="s">
        <v>243</v>
      </c>
    </row>
    <row r="40" customFormat="false" ht="15" hidden="false" customHeight="false" outlineLevel="0" collapsed="false">
      <c r="A40" s="17" t="n">
        <v>1</v>
      </c>
      <c r="B40" s="17" t="s">
        <v>204</v>
      </c>
      <c r="C40" s="17" t="s">
        <v>244</v>
      </c>
      <c r="D40" s="17" t="s">
        <v>205</v>
      </c>
      <c r="E40" s="17" t="s">
        <v>245</v>
      </c>
      <c r="F40" s="17" t="s">
        <v>246</v>
      </c>
      <c r="G40" s="17" t="s">
        <v>247</v>
      </c>
      <c r="H40" s="17" t="s">
        <v>185</v>
      </c>
      <c r="I40" s="19" t="s">
        <v>248</v>
      </c>
      <c r="J40" s="17" t="s">
        <v>249</v>
      </c>
      <c r="K40" s="17" t="s">
        <v>250</v>
      </c>
      <c r="L40" s="17" t="s">
        <v>185</v>
      </c>
      <c r="M40" s="17" t="s">
        <v>251</v>
      </c>
      <c r="N40" s="17" t="s">
        <v>186</v>
      </c>
      <c r="O40" s="18" t="s">
        <v>192</v>
      </c>
      <c r="P40" s="17" t="s">
        <v>247</v>
      </c>
      <c r="Q40" s="17" t="s">
        <v>250</v>
      </c>
    </row>
    <row r="41" customFormat="false" ht="15" hidden="false" customHeight="false" outlineLevel="0" collapsed="false">
      <c r="A41" s="17" t="n">
        <v>1</v>
      </c>
      <c r="B41" s="17" t="s">
        <v>216</v>
      </c>
      <c r="C41" s="17" t="s">
        <v>252</v>
      </c>
      <c r="D41" s="17" t="s">
        <v>217</v>
      </c>
      <c r="E41" s="17" t="s">
        <v>253</v>
      </c>
      <c r="F41" s="17" t="s">
        <v>254</v>
      </c>
      <c r="G41" s="17" t="s">
        <v>255</v>
      </c>
      <c r="H41" s="17" t="s">
        <v>191</v>
      </c>
      <c r="I41" s="18" t="s">
        <v>256</v>
      </c>
      <c r="J41" s="17" t="s">
        <v>257</v>
      </c>
      <c r="K41" s="17" t="s">
        <v>258</v>
      </c>
      <c r="L41" s="17" t="s">
        <v>185</v>
      </c>
      <c r="M41" s="17" t="s">
        <v>251</v>
      </c>
      <c r="N41" s="17" t="s">
        <v>224</v>
      </c>
      <c r="O41" s="18" t="s">
        <v>192</v>
      </c>
      <c r="P41" s="17" t="s">
        <v>259</v>
      </c>
      <c r="Q41" s="17" t="s">
        <v>260</v>
      </c>
    </row>
    <row r="42" customFormat="false" ht="15" hidden="false" customHeight="false" outlineLevel="0" collapsed="false">
      <c r="A42" s="17" t="n">
        <v>1</v>
      </c>
      <c r="B42" s="17" t="s">
        <v>94</v>
      </c>
      <c r="C42" s="17" t="s">
        <v>261</v>
      </c>
      <c r="D42" s="17" t="s">
        <v>199</v>
      </c>
      <c r="E42" s="17" t="s">
        <v>262</v>
      </c>
      <c r="F42" s="17" t="s">
        <v>263</v>
      </c>
      <c r="G42" s="17" t="s">
        <v>264</v>
      </c>
      <c r="H42" s="17" t="s">
        <v>191</v>
      </c>
      <c r="I42" s="19" t="s">
        <v>248</v>
      </c>
      <c r="J42" s="17" t="s">
        <v>265</v>
      </c>
      <c r="K42" s="17" t="s">
        <v>266</v>
      </c>
      <c r="L42" s="17" t="s">
        <v>191</v>
      </c>
      <c r="M42" s="19" t="s">
        <v>248</v>
      </c>
      <c r="N42" s="17" t="s">
        <v>186</v>
      </c>
      <c r="O42" s="18" t="s">
        <v>192</v>
      </c>
      <c r="P42" s="17" t="s">
        <v>267</v>
      </c>
      <c r="Q42" s="17" t="s">
        <v>268</v>
      </c>
    </row>
    <row r="43" customFormat="false" ht="15" hidden="false" customHeight="false" outlineLevel="0" collapsed="false">
      <c r="A43" s="17" t="n">
        <v>1</v>
      </c>
      <c r="B43" s="17" t="s">
        <v>220</v>
      </c>
      <c r="C43" s="17" t="s">
        <v>269</v>
      </c>
      <c r="D43" s="17" t="s">
        <v>221</v>
      </c>
      <c r="E43" s="17" t="s">
        <v>270</v>
      </c>
      <c r="F43" s="17" t="s">
        <v>271</v>
      </c>
      <c r="G43" s="17" t="s">
        <v>272</v>
      </c>
      <c r="H43" s="17" t="s">
        <v>185</v>
      </c>
      <c r="I43" s="17" t="s">
        <v>251</v>
      </c>
      <c r="J43" s="17" t="s">
        <v>195</v>
      </c>
      <c r="K43" s="17" t="s">
        <v>273</v>
      </c>
      <c r="L43" s="17" t="s">
        <v>191</v>
      </c>
      <c r="M43" s="19" t="s">
        <v>248</v>
      </c>
      <c r="N43" s="17" t="s">
        <v>224</v>
      </c>
      <c r="O43" s="18" t="s">
        <v>187</v>
      </c>
      <c r="P43" s="17" t="s">
        <v>274</v>
      </c>
      <c r="Q43" s="17" t="s">
        <v>275</v>
      </c>
    </row>
    <row r="44" customFormat="false" ht="15" hidden="false" customHeight="false" outlineLevel="0" collapsed="false">
      <c r="A44" s="17" t="n">
        <v>1</v>
      </c>
      <c r="B44" s="17" t="s">
        <v>212</v>
      </c>
      <c r="C44" s="17" t="s">
        <v>276</v>
      </c>
      <c r="D44" s="17" t="s">
        <v>213</v>
      </c>
      <c r="E44" s="17" t="s">
        <v>277</v>
      </c>
      <c r="F44" s="17" t="s">
        <v>249</v>
      </c>
      <c r="G44" s="17" t="s">
        <v>278</v>
      </c>
      <c r="H44" s="17" t="s">
        <v>185</v>
      </c>
      <c r="I44" s="19" t="s">
        <v>248</v>
      </c>
      <c r="J44" s="17" t="s">
        <v>279</v>
      </c>
      <c r="K44" s="17" t="s">
        <v>280</v>
      </c>
      <c r="L44" s="17" t="s">
        <v>185</v>
      </c>
      <c r="M44" s="19" t="s">
        <v>248</v>
      </c>
      <c r="N44" s="17" t="s">
        <v>186</v>
      </c>
      <c r="O44" s="18" t="s">
        <v>187</v>
      </c>
      <c r="P44" s="17" t="s">
        <v>221</v>
      </c>
      <c r="Q44" s="17" t="s">
        <v>281</v>
      </c>
    </row>
    <row r="45" customFormat="false" ht="15" hidden="false" customHeight="false" outlineLevel="0" collapsed="false">
      <c r="A45" s="17" t="n">
        <v>1</v>
      </c>
      <c r="B45" s="17" t="s">
        <v>228</v>
      </c>
      <c r="C45" s="17" t="s">
        <v>282</v>
      </c>
      <c r="D45" s="17" t="s">
        <v>229</v>
      </c>
      <c r="E45" s="17" t="s">
        <v>283</v>
      </c>
      <c r="F45" s="17" t="s">
        <v>284</v>
      </c>
      <c r="G45" s="17" t="s">
        <v>285</v>
      </c>
      <c r="H45" s="17" t="s">
        <v>185</v>
      </c>
      <c r="I45" s="19" t="s">
        <v>248</v>
      </c>
      <c r="J45" s="17" t="s">
        <v>286</v>
      </c>
      <c r="K45" s="17" t="s">
        <v>287</v>
      </c>
      <c r="L45" s="17" t="s">
        <v>185</v>
      </c>
      <c r="M45" s="19" t="s">
        <v>248</v>
      </c>
      <c r="N45" s="17" t="s">
        <v>186</v>
      </c>
      <c r="O45" s="18" t="s">
        <v>187</v>
      </c>
      <c r="P45" s="17" t="s">
        <v>288</v>
      </c>
      <c r="Q45" s="17" t="s">
        <v>250</v>
      </c>
    </row>
    <row r="46" customFormat="false" ht="15" hidden="false" customHeight="false" outlineLevel="0" collapsed="false">
      <c r="A46" s="17" t="n">
        <v>1</v>
      </c>
      <c r="B46" s="17" t="s">
        <v>98</v>
      </c>
      <c r="C46" s="17" t="s">
        <v>289</v>
      </c>
      <c r="D46" s="17" t="s">
        <v>225</v>
      </c>
      <c r="E46" s="17" t="s">
        <v>290</v>
      </c>
      <c r="F46" s="17" t="s">
        <v>291</v>
      </c>
      <c r="G46" s="17" t="s">
        <v>274</v>
      </c>
      <c r="H46" s="17" t="s">
        <v>191</v>
      </c>
      <c r="I46" s="18" t="s">
        <v>256</v>
      </c>
      <c r="J46" s="17" t="s">
        <v>292</v>
      </c>
      <c r="K46" s="17" t="s">
        <v>293</v>
      </c>
      <c r="L46" s="17" t="s">
        <v>191</v>
      </c>
      <c r="M46" s="17" t="s">
        <v>251</v>
      </c>
      <c r="N46" s="17" t="s">
        <v>186</v>
      </c>
      <c r="O46" s="18" t="s">
        <v>192</v>
      </c>
      <c r="P46" s="17" t="s">
        <v>294</v>
      </c>
      <c r="Q46" s="17" t="s">
        <v>295</v>
      </c>
    </row>
    <row r="47" customFormat="false" ht="15" hidden="false" customHeight="false" outlineLevel="0" collapsed="false">
      <c r="A47" s="17" t="n">
        <v>1</v>
      </c>
      <c r="B47" s="17" t="s">
        <v>85</v>
      </c>
      <c r="C47" s="17" t="s">
        <v>296</v>
      </c>
      <c r="D47" s="17" t="s">
        <v>188</v>
      </c>
      <c r="E47" s="17" t="s">
        <v>297</v>
      </c>
      <c r="F47" s="17" t="s">
        <v>298</v>
      </c>
      <c r="G47" s="17" t="s">
        <v>299</v>
      </c>
      <c r="H47" s="17" t="s">
        <v>191</v>
      </c>
      <c r="I47" s="18" t="s">
        <v>256</v>
      </c>
      <c r="J47" s="17" t="s">
        <v>300</v>
      </c>
      <c r="K47" s="17" t="s">
        <v>301</v>
      </c>
      <c r="L47" s="17" t="s">
        <v>191</v>
      </c>
      <c r="M47" s="18" t="s">
        <v>256</v>
      </c>
      <c r="N47" s="17" t="s">
        <v>186</v>
      </c>
      <c r="O47" s="18" t="s">
        <v>192</v>
      </c>
      <c r="P47" s="17" t="s">
        <v>302</v>
      </c>
      <c r="Q47" s="17" t="s">
        <v>303</v>
      </c>
    </row>
    <row r="48" customFormat="false" ht="15" hidden="false" customHeight="false" outlineLevel="0" collapsed="false">
      <c r="A48" s="17" t="n">
        <v>1</v>
      </c>
      <c r="B48" s="17" t="s">
        <v>208</v>
      </c>
      <c r="C48" s="17" t="s">
        <v>304</v>
      </c>
      <c r="D48" s="17" t="s">
        <v>209</v>
      </c>
      <c r="E48" s="17" t="s">
        <v>305</v>
      </c>
      <c r="F48" s="17" t="s">
        <v>306</v>
      </c>
      <c r="G48" s="17" t="s">
        <v>307</v>
      </c>
      <c r="H48" s="17" t="s">
        <v>185</v>
      </c>
      <c r="I48" s="17" t="s">
        <v>251</v>
      </c>
      <c r="J48" s="17" t="s">
        <v>308</v>
      </c>
      <c r="K48" s="17" t="s">
        <v>309</v>
      </c>
      <c r="L48" s="17" t="s">
        <v>185</v>
      </c>
      <c r="M48" s="18" t="s">
        <v>256</v>
      </c>
      <c r="N48" s="17" t="s">
        <v>186</v>
      </c>
      <c r="O48" s="18" t="s">
        <v>187</v>
      </c>
      <c r="P48" s="17" t="s">
        <v>310</v>
      </c>
      <c r="Q48" s="17" t="s">
        <v>258</v>
      </c>
    </row>
    <row r="49" customFormat="false" ht="15" hidden="false" customHeight="false" outlineLevel="0" collapsed="false">
      <c r="A49" s="17" t="n">
        <v>1</v>
      </c>
      <c r="B49" s="17" t="s">
        <v>201</v>
      </c>
      <c r="C49" s="17" t="s">
        <v>311</v>
      </c>
      <c r="D49" s="17" t="s">
        <v>202</v>
      </c>
      <c r="E49" s="17" t="s">
        <v>312</v>
      </c>
      <c r="F49" s="17" t="s">
        <v>313</v>
      </c>
      <c r="G49" s="17" t="s">
        <v>314</v>
      </c>
      <c r="H49" s="17" t="s">
        <v>185</v>
      </c>
      <c r="I49" s="19" t="s">
        <v>248</v>
      </c>
      <c r="J49" s="17" t="s">
        <v>315</v>
      </c>
      <c r="K49" s="17" t="s">
        <v>316</v>
      </c>
      <c r="L49" s="17" t="s">
        <v>185</v>
      </c>
      <c r="M49" s="19" t="s">
        <v>248</v>
      </c>
      <c r="N49" s="17" t="s">
        <v>186</v>
      </c>
      <c r="O49" s="18" t="s">
        <v>187</v>
      </c>
      <c r="P49" s="17" t="s">
        <v>317</v>
      </c>
      <c r="Q49" s="17" t="s">
        <v>318</v>
      </c>
    </row>
    <row r="50" customFormat="false" ht="15" hidden="false" customHeight="false" outlineLevel="0" collapsed="false">
      <c r="A50" s="17" t="n">
        <v>1</v>
      </c>
      <c r="B50" s="17" t="s">
        <v>193</v>
      </c>
      <c r="C50" s="17" t="s">
        <v>319</v>
      </c>
      <c r="D50" s="17" t="s">
        <v>194</v>
      </c>
      <c r="E50" s="17" t="s">
        <v>320</v>
      </c>
      <c r="F50" s="17" t="s">
        <v>199</v>
      </c>
      <c r="G50" s="17" t="s">
        <v>321</v>
      </c>
      <c r="H50" s="17" t="s">
        <v>185</v>
      </c>
      <c r="I50" s="19" t="s">
        <v>248</v>
      </c>
      <c r="J50" s="17" t="s">
        <v>322</v>
      </c>
      <c r="K50" s="17" t="s">
        <v>323</v>
      </c>
      <c r="L50" s="17" t="s">
        <v>185</v>
      </c>
      <c r="M50" s="19" t="s">
        <v>248</v>
      </c>
      <c r="N50" s="17" t="s">
        <v>186</v>
      </c>
      <c r="O50" s="18" t="s">
        <v>187</v>
      </c>
      <c r="P50" s="17" t="s">
        <v>301</v>
      </c>
      <c r="Q50" s="17" t="s">
        <v>324</v>
      </c>
    </row>
    <row r="51" customFormat="false" ht="15" hidden="false" customHeight="false" outlineLevel="0" collapsed="false">
      <c r="A51" s="17" t="n">
        <v>1</v>
      </c>
      <c r="B51" s="17" t="s">
        <v>89</v>
      </c>
      <c r="C51" s="17" t="s">
        <v>261</v>
      </c>
      <c r="D51" s="17" t="s">
        <v>194</v>
      </c>
      <c r="E51" s="17" t="s">
        <v>262</v>
      </c>
      <c r="F51" s="17" t="s">
        <v>325</v>
      </c>
      <c r="G51" s="17" t="s">
        <v>274</v>
      </c>
      <c r="H51" s="17" t="s">
        <v>191</v>
      </c>
      <c r="I51" s="19" t="s">
        <v>248</v>
      </c>
      <c r="J51" s="17" t="s">
        <v>326</v>
      </c>
      <c r="K51" s="17" t="s">
        <v>230</v>
      </c>
      <c r="L51" s="17" t="s">
        <v>191</v>
      </c>
      <c r="M51" s="19" t="s">
        <v>248</v>
      </c>
      <c r="N51" s="17" t="s">
        <v>186</v>
      </c>
      <c r="O51" s="18" t="s">
        <v>192</v>
      </c>
      <c r="P51" s="17" t="s">
        <v>327</v>
      </c>
      <c r="Q51" s="17" t="s">
        <v>328</v>
      </c>
    </row>
    <row r="52" customFormat="false" ht="15" hidden="false" customHeight="false" outlineLevel="0" collapsed="false">
      <c r="A52" s="17" t="n">
        <v>1</v>
      </c>
      <c r="B52" s="17" t="s">
        <v>181</v>
      </c>
      <c r="C52" s="17" t="s">
        <v>329</v>
      </c>
      <c r="D52" s="17" t="s">
        <v>182</v>
      </c>
      <c r="E52" s="17" t="s">
        <v>330</v>
      </c>
      <c r="F52" s="17" t="s">
        <v>331</v>
      </c>
      <c r="G52" s="17" t="s">
        <v>332</v>
      </c>
      <c r="H52" s="17" t="s">
        <v>185</v>
      </c>
      <c r="I52" s="18" t="s">
        <v>256</v>
      </c>
      <c r="J52" s="17" t="s">
        <v>333</v>
      </c>
      <c r="K52" s="17" t="s">
        <v>334</v>
      </c>
      <c r="L52" s="17" t="s">
        <v>185</v>
      </c>
      <c r="M52" s="17" t="s">
        <v>251</v>
      </c>
      <c r="N52" s="17" t="s">
        <v>186</v>
      </c>
      <c r="O52" s="18" t="s">
        <v>192</v>
      </c>
      <c r="P52" s="17" t="s">
        <v>164</v>
      </c>
      <c r="Q52" s="17" t="s">
        <v>172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2026-08-25T18:48:36Z</dcterms:created>
  <dc:creator>openpyxl</dc:creator>
  <dc:description/>
  <dc:language>en-US</dc:language>
  <cp:lastModifiedBy>Edward Andrewlevich</cp:lastModifiedBy>
  <dcterms:modified xsi:type="dcterms:W3CDTF">2026-09-07T03:36:56Z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