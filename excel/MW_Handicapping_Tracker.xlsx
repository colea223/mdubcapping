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2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3864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5" borderId="0" pivotButton="0" quotePrefix="0" xfId="0"/>
    <xf numFmtId="0" fontId="13" fillId="6" borderId="0" pivotButton="0" quotePrefix="0" xfId="0"/>
    <xf numFmtId="0" fontId="14" fillId="0" borderId="0" pivotButton="0" quotePrefix="0" xfId="0"/>
    <xf numFmtId="2" fontId="13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7" borderId="4" applyAlignment="1" pivotButton="0" quotePrefix="0" xfId="0">
      <alignment horizontal="center" vertical="center" wrapText="1"/>
    </xf>
    <xf numFmtId="0" fontId="19" fillId="0" borderId="0" pivotButton="0" quotePrefix="0" xfId="0"/>
    <xf numFmtId="0" fontId="19" fillId="8" borderId="0" pivotButton="0" quotePrefix="0" xfId="0"/>
    <xf numFmtId="0" fontId="19" fillId="9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0" zoomScaleNormal="100" workbookViewId="0">
      <pane ySplit="1" topLeftCell="A2" activePane="bottomLeft" state="frozen"/>
      <selection activeCell="K1" sqref="K1"/>
      <selection pane="bottomLeft" activeCell="B8" sqref="B8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4</v>
      </c>
      <c r="B2" t="inlineStr">
        <is>
          <t>2026-09-26</t>
        </is>
      </c>
      <c r="C2" t="inlineStr">
        <is>
          <t>UNLV</t>
        </is>
      </c>
      <c r="D2" t="inlineStr">
        <is>
          <t>Akron</t>
        </is>
      </c>
      <c r="E2" t="n">
        <v>4</v>
      </c>
      <c r="F2" t="n">
        <v>13.5</v>
      </c>
      <c r="G2" s="6">
        <f>F2-E2</f>
        <v/>
      </c>
      <c r="H2" s="6">
        <f>IF(G2=0,"Pick'em",IF(G2&gt;0,"Home","Away"))</f>
        <v/>
      </c>
      <c r="I2" t="n">
        <v>47.8</v>
      </c>
      <c r="J2" t="n">
        <v>50.8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4</v>
      </c>
      <c r="B3" t="inlineStr">
        <is>
          <t>2026-09-26</t>
        </is>
      </c>
      <c r="C3" t="inlineStr">
        <is>
          <t>Northern Illinois</t>
        </is>
      </c>
      <c r="D3" t="inlineStr">
        <is>
          <t>Georgia State</t>
        </is>
      </c>
      <c r="E3" t="n">
        <v>-7.8</v>
      </c>
      <c r="F3" t="n">
        <v>-10</v>
      </c>
      <c r="G3" s="6">
        <f>F3-E3</f>
        <v/>
      </c>
      <c r="H3" s="6">
        <f>IF(G3=0,"Pick'em",IF(G3&gt;0,"Home","Away"))</f>
        <v/>
      </c>
      <c r="I3" t="n">
        <v>46.1</v>
      </c>
      <c r="J3" t="n">
        <v>56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4</v>
      </c>
      <c r="B4" t="inlineStr">
        <is>
          <t>2026-09-26</t>
        </is>
      </c>
      <c r="C4" t="inlineStr">
        <is>
          <t>Hawai'i</t>
        </is>
      </c>
      <c r="D4" t="inlineStr">
        <is>
          <t>Wyoming</t>
        </is>
      </c>
      <c r="E4" t="n">
        <v>1.9</v>
      </c>
      <c r="F4" t="n">
        <v>3</v>
      </c>
      <c r="G4" s="6">
        <f>F4-E4</f>
        <v/>
      </c>
      <c r="H4" s="6">
        <f>IF(G4=0,"Pick'em",IF(G4&gt;0,"Home","Away"))</f>
        <v/>
      </c>
      <c r="I4" t="n">
        <v>44.9</v>
      </c>
      <c r="J4" t="n">
        <v>45.8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4</v>
      </c>
      <c r="B5" t="inlineStr">
        <is>
          <t>2026-09-26</t>
        </is>
      </c>
      <c r="C5" t="inlineStr">
        <is>
          <t>New Mexico</t>
        </is>
      </c>
      <c r="D5" t="inlineStr">
        <is>
          <t>New Mexico State</t>
        </is>
      </c>
      <c r="E5" t="n">
        <v>18.8</v>
      </c>
      <c r="F5" t="n">
        <v>12.8</v>
      </c>
      <c r="G5" s="6">
        <f>F5-E5</f>
        <v/>
      </c>
      <c r="H5" s="6">
        <f>IF(G5=0,"Pick'em",IF(G5&gt;0,"Home","Away"))</f>
        <v/>
      </c>
      <c r="I5" t="n">
        <v>45.7</v>
      </c>
      <c r="J5" t="n">
        <v>48.5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4</v>
      </c>
      <c r="B6" t="inlineStr">
        <is>
          <t>2026-09-27</t>
        </is>
      </c>
      <c r="C6" t="inlineStr">
        <is>
          <t>Oregon State</t>
        </is>
      </c>
      <c r="D6" t="inlineStr">
        <is>
          <t>UTEP</t>
        </is>
      </c>
      <c r="E6" t="n">
        <v>10.5</v>
      </c>
      <c r="F6" t="n">
        <v>10.5</v>
      </c>
      <c r="G6" s="6">
        <f>F6-E6</f>
        <v/>
      </c>
      <c r="H6" s="6">
        <f>IF(G6=0,"Pick'em",IF(G6&gt;0,"Home","Away"))</f>
        <v/>
      </c>
      <c r="I6" t="n">
        <v>50.9</v>
      </c>
      <c r="J6" t="n">
        <v>53.5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4</v>
      </c>
      <c r="B7" s="10" t="inlineStr">
        <is>
          <t>2026-09-27</t>
        </is>
      </c>
      <c r="C7" s="10" t="inlineStr">
        <is>
          <t>Air Force</t>
        </is>
      </c>
      <c r="D7" s="10" t="inlineStr">
        <is>
          <t>Nevada</t>
        </is>
      </c>
      <c r="E7" s="10" t="n">
        <v>2.3</v>
      </c>
      <c r="F7" s="10" t="n">
        <v>5.5</v>
      </c>
      <c r="G7" s="10">
        <f>F7-E7</f>
        <v/>
      </c>
      <c r="H7" s="10">
        <f>IF(G7=0,"Pick'em",IF(G7&gt;0,"Home","Away"))</f>
        <v/>
      </c>
      <c r="I7" s="10" t="n">
        <v>46.6</v>
      </c>
      <c r="J7" s="10" t="n">
        <v>48.8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G8" s="6">
        <f>F8-E8</f>
        <v/>
      </c>
      <c r="H8" s="6">
        <f>IF(G8=0,"Pick'em",IF(G8&gt;0,"Home","Away"))</f>
        <v/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topLeftCell="C1" zoomScaleNormal="100" workbookViewId="0">
      <pane ySplit="1" topLeftCell="A38" activePane="bottomLeft" state="frozen"/>
      <selection pane="bottomLeft" activeCell="I44" sqref="I44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inlineStr">
        <is>
          <t>2\3</t>
        </is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6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J46" s="16">
        <f>IF(I46="","",I46-F46)</f>
        <v/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6">
        <f>IF(I47="","",I47-F47)</f>
        <v/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J48" s="16">
        <f>IF(I48="","",I48-F48)</f>
        <v/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J49" s="16">
        <f>IF(I49="","",I49-F49)</f>
        <v/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J50" s="16">
        <f>IF(I50="","",I50-F50)</f>
        <v/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J51" s="16">
        <f>IF(I51="","",I51-F51)</f>
        <v/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J52" s="16">
        <f>IF(I52="","",I52-F52)</f>
        <v/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J53" s="16">
        <f>IF(I53="","",I53-F53)</f>
        <v/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J54" s="16">
        <f>IF(I54="","",I54-F54)</f>
        <v/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J55" s="16">
        <f>IF(I55="","",I55-F55)</f>
        <v/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J56" s="16">
        <f>IF(I56="","",I56-F56)</f>
        <v/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J57" s="16">
        <f>IF(I57="","",I57-F57)</f>
        <v/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J58" s="16">
        <f>IF(I58="","",I58-F58)</f>
        <v/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J59" s="16">
        <f>IF(I59="","",I59-F59)</f>
        <v/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J60" s="16">
        <f>IF(I60="","",I60-F60)</f>
        <v/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J61" s="16">
        <f>IF(I61="","",I61-F61)</f>
        <v/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9" t="n"/>
      <c r="J62" s="16">
        <f>IF(I62="","",I62-F62)</f>
        <v/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J63" s="16">
        <f>IF(I63="","",I63-F63)</f>
        <v/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J64" s="16">
        <f>IF(I64="","",I64-F64)</f>
        <v/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J65" s="16">
        <f>IF(I65="","",I65-F65)</f>
        <v/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J66" s="16">
        <f>IF(I66="","",I66-F66)</f>
        <v/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J67" s="16">
        <f>IF(I67="","",I67-F67)</f>
        <v/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J68" s="16">
        <f>IF(I68="","",I68-F68)</f>
        <v/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J69" s="16">
        <f>IF(I69="","",I69-F69)</f>
        <v/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J70" s="16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J71" s="16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J72" s="16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J73" s="16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J74" s="16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J75" s="16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J76" s="16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6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6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6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6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6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6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6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6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6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6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6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6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6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6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6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6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6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6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6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6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6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6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6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6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6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6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6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6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6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6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6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6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6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6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6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6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6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6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6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6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6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6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6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6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6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6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6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6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6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6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6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6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6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6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6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6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6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6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6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6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6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6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6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6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6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6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6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6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6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6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6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6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6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6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6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6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6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6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6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6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6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6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6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6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6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6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6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6">
        <f>IF(I164="","",I164-F164)</f>
        <v/>
      </c>
      <c r="L164" s="20">
        <f>IF(K164="W",IF(G164&lt;0,H164*100/ABS(G164),H164*G164/100),IF(K164="L",-H164,0))</f>
        <v/>
      </c>
      <c r="M164" s="20">
        <f>Settings!$B$4+SUM(L$2:L164)</f>
        <v/>
      </c>
    </row>
    <row r="165">
      <c r="J165" s="16">
        <f>IF(I165="","",I165-F165)</f>
        <v/>
      </c>
      <c r="L165" s="20">
        <f>IF(K165="W",IF(G165&lt;0,H165*100/ABS(G165),H165*G165/100),IF(K165="L",-H165,0))</f>
        <v/>
      </c>
      <c r="M165" s="20">
        <f>Settings!$B$4+SUM(L$2:L165)</f>
        <v/>
      </c>
    </row>
    <row r="166">
      <c r="J166" s="16">
        <f>IF(I166="","",I166-F166)</f>
        <v/>
      </c>
      <c r="L166" s="20">
        <f>IF(K166="W",IF(G166&lt;0,H166*100/ABS(G166),H166*G166/100),IF(K166="L",-H166,0))</f>
        <v/>
      </c>
      <c r="M166" s="20">
        <f>Settings!$B$4+SUM(L$2:L166)</f>
        <v/>
      </c>
    </row>
    <row r="167">
      <c r="J167" s="16">
        <f>IF(I167="","",I167-F167)</f>
        <v/>
      </c>
      <c r="L167" s="20">
        <f>IF(K167="W",IF(G167&lt;0,H167*100/ABS(G167),H167*G167/100),IF(K167="L",-H167,0))</f>
        <v/>
      </c>
      <c r="M167" s="20">
        <f>Settings!$B$4+SUM(L$2:L167)</f>
        <v/>
      </c>
    </row>
    <row r="168">
      <c r="J168" s="16">
        <f>IF(I168="","",I168-F168)</f>
        <v/>
      </c>
      <c r="L168" s="20">
        <f>IF(K168="W",IF(G168&lt;0,H168*100/ABS(G168),H168*G168/100),IF(K168="L",-H168,0))</f>
        <v/>
      </c>
      <c r="M168" s="20">
        <f>Settings!$B$4+SUM(L$2:L168)</f>
        <v/>
      </c>
    </row>
    <row r="169">
      <c r="J169" s="16">
        <f>IF(I169="","",I169-F169)</f>
        <v/>
      </c>
      <c r="L169" s="20">
        <f>IF(K169="W",IF(G169&lt;0,H169*100/ABS(G169),H169*G169/100),IF(K169="L",-H169,0))</f>
        <v/>
      </c>
      <c r="M169" s="20">
        <f>Settings!$B$4+SUM(L$2:L169)</f>
        <v/>
      </c>
    </row>
    <row r="170">
      <c r="J170" s="16">
        <f>IF(I170="","",I170-F170)</f>
        <v/>
      </c>
      <c r="L170" s="20">
        <f>IF(K170="W",IF(G170&lt;0,H170*100/ABS(G170),H170*G170/100),IF(K170="L",-H170,0))</f>
        <v/>
      </c>
      <c r="M170" s="20">
        <f>Settings!$B$4+SUM(L$2:L170)</f>
        <v/>
      </c>
    </row>
    <row r="171">
      <c r="J171" s="16">
        <f>IF(I171="","",I171-F171)</f>
        <v/>
      </c>
      <c r="L171" s="20">
        <f>IF(K171="W",IF(G171&lt;0,H171*100/ABS(G171),H171*G171/100),IF(K171="L",-H171,0))</f>
        <v/>
      </c>
      <c r="M171" s="20">
        <f>Settings!$B$4+SUM(L$2:L171)</f>
        <v/>
      </c>
    </row>
    <row r="172">
      <c r="J172" s="16">
        <f>IF(I172="","",I172-F172)</f>
        <v/>
      </c>
      <c r="L172" s="20">
        <f>IF(K172="W",IF(G172&lt;0,H172*100/ABS(G172),H172*G172/100),IF(K172="L",-H172,0))</f>
        <v/>
      </c>
      <c r="M172" s="20">
        <f>Settings!$B$4+SUM(L$2:L172)</f>
        <v/>
      </c>
    </row>
    <row r="173">
      <c r="J173" s="16">
        <f>IF(I173="","",I173-F173)</f>
        <v/>
      </c>
      <c r="L173" s="20">
        <f>IF(K173="W",IF(G173&lt;0,H173*100/ABS(G173),H173*G173/100),IF(K173="L",-H173,0))</f>
        <v/>
      </c>
      <c r="M173" s="20">
        <f>Settings!$B$4+SUM(L$2:L173)</f>
        <v/>
      </c>
    </row>
    <row r="174">
      <c r="J174" s="16">
        <f>IF(I174="","",I174-F174)</f>
        <v/>
      </c>
      <c r="L174" s="20">
        <f>IF(K174="W",IF(G174&lt;0,H174*100/ABS(G174),H174*G174/100),IF(K174="L",-H174,0))</f>
        <v/>
      </c>
      <c r="M174" s="20">
        <f>Settings!$B$4+SUM(L$2:L174)</f>
        <v/>
      </c>
    </row>
    <row r="175">
      <c r="J175" s="16">
        <f>IF(I175="","",I175-F175)</f>
        <v/>
      </c>
      <c r="L175" s="20">
        <f>IF(K175="W",IF(G175&lt;0,H175*100/ABS(G175),H175*G175/100),IF(K175="L",-H175,0))</f>
        <v/>
      </c>
      <c r="M175" s="20">
        <f>Settings!$B$4+SUM(L$2:L175)</f>
        <v/>
      </c>
    </row>
    <row r="176">
      <c r="J176" s="16">
        <f>IF(I176="","",I176-F176)</f>
        <v/>
      </c>
      <c r="L176" s="20">
        <f>IF(K176="W",IF(G176&lt;0,H176*100/ABS(G176),H176*G176/100),IF(K176="L",-H176,0))</f>
        <v/>
      </c>
      <c r="M176" s="20">
        <f>Settings!$B$4+SUM(L$2:L176)</f>
        <v/>
      </c>
    </row>
    <row r="177">
      <c r="J177" s="16">
        <f>IF(I177="","",I177-F177)</f>
        <v/>
      </c>
      <c r="L177" s="20">
        <f>IF(K177="W",IF(G177&lt;0,H177*100/ABS(G177),H177*G177/100),IF(K177="L",-H177,0))</f>
        <v/>
      </c>
      <c r="M177" s="20">
        <f>Settings!$B$4+SUM(L$2:L177)</f>
        <v/>
      </c>
    </row>
    <row r="178">
      <c r="J178" s="16">
        <f>IF(I178="","",I178-F178)</f>
        <v/>
      </c>
      <c r="L178" s="20">
        <f>IF(K178="W",IF(G178&lt;0,H178*100/ABS(G178),H178*G178/100),IF(K178="L",-H178,0))</f>
        <v/>
      </c>
      <c r="M178" s="20">
        <f>Settings!$B$4+SUM(L$2:L178)</f>
        <v/>
      </c>
    </row>
    <row r="179">
      <c r="J179" s="16">
        <f>IF(I179="","",I179-F179)</f>
        <v/>
      </c>
      <c r="L179" s="20">
        <f>IF(K179="W",IF(G179&lt;0,H179*100/ABS(G179),H179*G179/100),IF(K179="L",-H179,0))</f>
        <v/>
      </c>
      <c r="M179" s="20">
        <f>Settings!$B$4+SUM(L$2:L179)</f>
        <v/>
      </c>
    </row>
    <row r="180">
      <c r="J180" s="16">
        <f>IF(I180="","",I180-F180)</f>
        <v/>
      </c>
      <c r="L180" s="20">
        <f>IF(K180="W",IF(G180&lt;0,H180*100/ABS(G180),H180*G180/100),IF(K180="L",-H180,0))</f>
        <v/>
      </c>
      <c r="M180" s="20">
        <f>Settings!$B$4+SUM(L$2:L180)</f>
        <v/>
      </c>
    </row>
    <row r="181">
      <c r="J181" s="16">
        <f>IF(I181="","",I181-F181)</f>
        <v/>
      </c>
      <c r="L181" s="20">
        <f>IF(K181="W",IF(G181&lt;0,H181*100/ABS(G181),H181*G181/100),IF(K181="L",-H181,0))</f>
        <v/>
      </c>
      <c r="M181" s="20">
        <f>Settings!$B$4+SUM(L$2:L181)</f>
        <v/>
      </c>
    </row>
    <row r="182">
      <c r="J182" s="16">
        <f>IF(I182="","",I182-F182)</f>
        <v/>
      </c>
      <c r="L182" s="20">
        <f>IF(K182="W",IF(G182&lt;0,H182*100/ABS(G182),H182*G182/100),IF(K182="L",-H182,0))</f>
        <v/>
      </c>
      <c r="M182" s="20">
        <f>Settings!$B$4+SUM(L$2:L182)</f>
        <v/>
      </c>
    </row>
    <row r="183">
      <c r="J183" s="16">
        <f>IF(I183="","",I183-F183)</f>
        <v/>
      </c>
      <c r="L183" s="20">
        <f>IF(K183="W",IF(G183&lt;0,H183*100/ABS(G183),H183*G183/100),IF(K183="L",-H183,0))</f>
        <v/>
      </c>
      <c r="M183" s="20">
        <f>Settings!$B$4+SUM(L$2:L183)</f>
        <v/>
      </c>
    </row>
    <row r="184">
      <c r="J184" s="16">
        <f>IF(I184="","",I184-F184)</f>
        <v/>
      </c>
      <c r="L184" s="20">
        <f>IF(K184="W",IF(G184&lt;0,H184*100/ABS(G184),H184*G184/100),IF(K184="L",-H184,0))</f>
        <v/>
      </c>
      <c r="M184" s="20">
        <f>Settings!$B$4+SUM(L$2:L184)</f>
        <v/>
      </c>
    </row>
    <row r="185">
      <c r="J185" s="16">
        <f>IF(I185="","",I185-F185)</f>
        <v/>
      </c>
      <c r="L185" s="20">
        <f>IF(K185="W",IF(G185&lt;0,H185*100/ABS(G185),H185*G185/100),IF(K185="L",-H185,0))</f>
        <v/>
      </c>
      <c r="M185" s="20">
        <f>Settings!$B$4+SUM(L$2:L185)</f>
        <v/>
      </c>
    </row>
    <row r="186">
      <c r="J186" s="16">
        <f>IF(I186="","",I186-F186)</f>
        <v/>
      </c>
      <c r="L186" s="20">
        <f>IF(K186="W",IF(G186&lt;0,H186*100/ABS(G186),H186*G186/100),IF(K186="L",-H186,0))</f>
        <v/>
      </c>
      <c r="M186" s="20">
        <f>Settings!$B$4+SUM(L$2:L186)</f>
        <v/>
      </c>
    </row>
    <row r="187">
      <c r="J187" s="16">
        <f>IF(I187="","",I187-F187)</f>
        <v/>
      </c>
      <c r="L187" s="20">
        <f>IF(K187="W",IF(G187&lt;0,H187*100/ABS(G187),H187*G187/100),IF(K187="L",-H187,0))</f>
        <v/>
      </c>
      <c r="M187" s="20">
        <f>Settings!$B$4+SUM(L$2:L187)</f>
        <v/>
      </c>
    </row>
    <row r="188">
      <c r="J188" s="16">
        <f>IF(I188="","",I188-F188)</f>
        <v/>
      </c>
      <c r="L188" s="20">
        <f>IF(K188="W",IF(G188&lt;0,H188*100/ABS(G188),H188*G188/100),IF(K188="L",-H188,0))</f>
        <v/>
      </c>
      <c r="M188" s="20">
        <f>Settings!$B$4+SUM(L$2:L188)</f>
        <v/>
      </c>
    </row>
    <row r="189">
      <c r="J189" s="16">
        <f>IF(I189="","",I189-F189)</f>
        <v/>
      </c>
      <c r="L189" s="20">
        <f>IF(K189="W",IF(G189&lt;0,H189*100/ABS(G189),H189*G189/100),IF(K189="L",-H189,0))</f>
        <v/>
      </c>
      <c r="M189" s="20">
        <f>Settings!$B$4+SUM(L$2:L189)</f>
        <v/>
      </c>
    </row>
    <row r="190">
      <c r="J190" s="16">
        <f>IF(I190="","",I190-F190)</f>
        <v/>
      </c>
      <c r="L190" s="20">
        <f>IF(K190="W",IF(G190&lt;0,H190*100/ABS(G190),H190*G190/100),IF(K190="L",-H190,0))</f>
        <v/>
      </c>
      <c r="M190" s="20">
        <f>Settings!$B$4+SUM(L$2:L190)</f>
        <v/>
      </c>
    </row>
    <row r="191">
      <c r="J191" s="16">
        <f>IF(I191="","",I191-F191)</f>
        <v/>
      </c>
      <c r="L191" s="20">
        <f>IF(K191="W",IF(G191&lt;0,H191*100/ABS(G191),H191*G191/100),IF(K191="L",-H191,0))</f>
        <v/>
      </c>
      <c r="M191" s="20">
        <f>Settings!$B$4+SUM(L$2:L191)</f>
        <v/>
      </c>
    </row>
    <row r="192">
      <c r="J192" s="16">
        <f>IF(I192="","",I192-F192)</f>
        <v/>
      </c>
      <c r="L192" s="20">
        <f>IF(K192="W",IF(G192&lt;0,H192*100/ABS(G192),H192*G192/100),IF(K192="L",-H192,0))</f>
        <v/>
      </c>
      <c r="M192" s="20">
        <f>Settings!$B$4+SUM(L$2:L192)</f>
        <v/>
      </c>
    </row>
    <row r="193">
      <c r="J193" s="16">
        <f>IF(I193="","",I193-F193)</f>
        <v/>
      </c>
      <c r="L193" s="20">
        <f>IF(K193="W",IF(G193&lt;0,H193*100/ABS(G193),H193*G193/100),IF(K193="L",-H193,0))</f>
        <v/>
      </c>
      <c r="M193" s="20">
        <f>Settings!$B$4+SUM(L$2:L193)</f>
        <v/>
      </c>
    </row>
    <row r="194">
      <c r="J194" s="16">
        <f>IF(I194="","",I194-F194)</f>
        <v/>
      </c>
      <c r="L194" s="20">
        <f>IF(K194="W",IF(G194&lt;0,H194*100/ABS(G194),H194*G194/100),IF(K194="L",-H194,0))</f>
        <v/>
      </c>
      <c r="M194" s="20">
        <f>Settings!$B$4+SUM(L$2:L194)</f>
        <v/>
      </c>
    </row>
    <row r="195">
      <c r="J195" s="16">
        <f>IF(I195="","",I195-F195)</f>
        <v/>
      </c>
      <c r="L195" s="20">
        <f>IF(K195="W",IF(G195&lt;0,H195*100/ABS(G195),H195*G195/100),IF(K195="L",-H195,0))</f>
        <v/>
      </c>
      <c r="M195" s="20">
        <f>Settings!$B$4+SUM(L$2:L195)</f>
        <v/>
      </c>
    </row>
    <row r="196">
      <c r="J196" s="16">
        <f>IF(I196="","",I196-F196)</f>
        <v/>
      </c>
      <c r="L196" s="20">
        <f>IF(K196="W",IF(G196&lt;0,H196*100/ABS(G196),H196*G196/100),IF(K196="L",-H196,0))</f>
        <v/>
      </c>
      <c r="M196" s="20">
        <f>Settings!$B$4+SUM(L$2:L196)</f>
        <v/>
      </c>
    </row>
    <row r="197">
      <c r="J197" s="16">
        <f>IF(I197="","",I197-F197)</f>
        <v/>
      </c>
      <c r="L197" s="20">
        <f>IF(K197="W",IF(G197&lt;0,H197*100/ABS(G197),H197*G197/100),IF(K197="L",-H197,0))</f>
        <v/>
      </c>
      <c r="M197" s="20">
        <f>Settings!$B$4+SUM(L$2:L197)</f>
        <v/>
      </c>
    </row>
    <row r="198">
      <c r="J198" s="16">
        <f>IF(I198="","",I198-F198)</f>
        <v/>
      </c>
      <c r="L198" s="20">
        <f>IF(K198="W",IF(G198&lt;0,H198*100/ABS(G198),H198*G198/100),IF(K198="L",-H198,0))</f>
        <v/>
      </c>
      <c r="M198" s="20">
        <f>Settings!$B$4+SUM(L$2:L198)</f>
        <v/>
      </c>
    </row>
    <row r="199">
      <c r="J199" s="16">
        <f>IF(I199="","",I199-F199)</f>
        <v/>
      </c>
      <c r="L199" s="20">
        <f>IF(K199="W",IF(G199&lt;0,H199*100/ABS(G199),H199*G199/100),IF(K199="L",-H199,0))</f>
        <v/>
      </c>
      <c r="M199" s="20">
        <f>Settings!$B$4+SUM(L$2:L199)</f>
        <v/>
      </c>
    </row>
    <row r="200">
      <c r="J200" s="16">
        <f>IF(I200="","",I200-F200)</f>
        <v/>
      </c>
      <c r="L200" s="20">
        <f>IF(K200="W",IF(G200&lt;0,H200*100/ABS(G200),H200*G200/100),IF(K200="L",-H200,0))</f>
        <v/>
      </c>
      <c r="M200" s="20">
        <f>Settings!$B$4+SUM(L$2:L200)</f>
        <v/>
      </c>
    </row>
    <row r="201">
      <c r="J201" s="16">
        <f>IF(I201="","",I201-F201)</f>
        <v/>
      </c>
      <c r="L201" s="20">
        <f>IF(K201="W",IF(G201&lt;0,H201*100/ABS(G201),H201*G201/100),IF(K201="L",-H201,0))</f>
        <v/>
      </c>
      <c r="M201" s="20">
        <f>Settings!$B$4+SUM(L$2:L201)</f>
        <v/>
      </c>
    </row>
    <row r="202">
      <c r="J202" s="16">
        <f>IF(I202="","",I202-F202)</f>
        <v/>
      </c>
      <c r="L202" s="20">
        <f>IF(K202="W",IF(G202&lt;0,H202*100/ABS(G202),H202*G202/100),IF(K202="L",-H202,0))</f>
        <v/>
      </c>
      <c r="M202" s="20">
        <f>Settings!$B$4+SUM(L$2:L202)</f>
        <v/>
      </c>
    </row>
    <row r="203">
      <c r="J203" s="16">
        <f>IF(I203="","",I203-F203)</f>
        <v/>
      </c>
      <c r="L203" s="20">
        <f>IF(K203="W",IF(G203&lt;0,H203*100/ABS(G203),H203*G203/100),IF(K203="L",-H203,0))</f>
        <v/>
      </c>
      <c r="M203" s="20">
        <f>Settings!$B$4+SUM(L$2:L203)</f>
        <v/>
      </c>
    </row>
    <row r="204">
      <c r="J204" s="16">
        <f>IF(I204="","",I204-F204)</f>
        <v/>
      </c>
      <c r="L204" s="20">
        <f>IF(K204="W",IF(G204&lt;0,H204*100/ABS(G204),H204*G204/100),IF(K204="L",-H204,0))</f>
        <v/>
      </c>
      <c r="M204" s="20">
        <f>Settings!$B$4+SUM(L$2:L204)</f>
        <v/>
      </c>
    </row>
    <row r="205">
      <c r="J205" s="16">
        <f>IF(I205="","",I205-F205)</f>
        <v/>
      </c>
      <c r="L205" s="20">
        <f>IF(K205="W",IF(G205&lt;0,H205*100/ABS(G205),H205*G205/100),IF(K205="L",-H205,0))</f>
        <v/>
      </c>
      <c r="M205" s="20">
        <f>Settings!$B$4+SUM(L$2:L205)</f>
        <v/>
      </c>
    </row>
    <row r="206">
      <c r="J206" s="16">
        <f>IF(I206="","",I206-F206)</f>
        <v/>
      </c>
      <c r="L206" s="20">
        <f>IF(K206="W",IF(G206&lt;0,H206*100/ABS(G206),H206*G206/100),IF(K206="L",-H206,0))</f>
        <v/>
      </c>
      <c r="M206" s="20">
        <f>Settings!$B$4+SUM(L$2:L206)</f>
        <v/>
      </c>
    </row>
    <row r="207">
      <c r="J207" s="16">
        <f>IF(I207="","",I207-F207)</f>
        <v/>
      </c>
      <c r="L207" s="20">
        <f>IF(K207="W",IF(G207&lt;0,H207*100/ABS(G207),H207*G207/100),IF(K207="L",-H207,0))</f>
        <v/>
      </c>
      <c r="M207" s="20">
        <f>Settings!$B$4+SUM(L$2:L207)</f>
        <v/>
      </c>
    </row>
    <row r="208">
      <c r="J208" s="16">
        <f>IF(I208="","",I208-F208)</f>
        <v/>
      </c>
      <c r="L208" s="20">
        <f>IF(K208="W",IF(G208&lt;0,H208*100/ABS(G208),H208*G208/100),IF(K208="L",-H208,0))</f>
        <v/>
      </c>
      <c r="M208" s="20">
        <f>Settings!$B$4+SUM(L$2:L208)</f>
        <v/>
      </c>
    </row>
    <row r="209">
      <c r="J209" s="16">
        <f>IF(I209="","",I209-F209)</f>
        <v/>
      </c>
      <c r="L209" s="20">
        <f>IF(K209="W",IF(G209&lt;0,H209*100/ABS(G209),H209*G209/100),IF(K209="L",-H209,0))</f>
        <v/>
      </c>
      <c r="M209" s="20">
        <f>Settings!$B$4+SUM(L$2:L209)</f>
        <v/>
      </c>
    </row>
    <row r="210">
      <c r="J210" s="16">
        <f>IF(I210="","",I210-F210)</f>
        <v/>
      </c>
      <c r="L210" s="20">
        <f>IF(K210="W",IF(G210&lt;0,H210*100/ABS(G210),H210*G210/100),IF(K210="L",-H210,0))</f>
        <v/>
      </c>
      <c r="M210" s="20">
        <f>Settings!$B$4+SUM(L$2:L210)</f>
        <v/>
      </c>
    </row>
    <row r="211">
      <c r="J211" s="16">
        <f>IF(I211="","",I211-F211)</f>
        <v/>
      </c>
      <c r="L211" s="20">
        <f>IF(K211="W",IF(G211&lt;0,H211*100/ABS(G211),H211*G211/100),IF(K211="L",-H211,0))</f>
        <v/>
      </c>
      <c r="M211" s="20">
        <f>Settings!$B$4+SUM(L$2:L211)</f>
        <v/>
      </c>
    </row>
    <row r="212">
      <c r="J212" s="16">
        <f>IF(I212="","",I212-F212)</f>
        <v/>
      </c>
      <c r="L212" s="20">
        <f>IF(K212="W",IF(G212&lt;0,H212*100/ABS(G212),H212*G212/100),IF(K212="L",-H212,0))</f>
        <v/>
      </c>
      <c r="M212" s="20">
        <f>Settings!$B$4+SUM(L$2:L212)</f>
        <v/>
      </c>
    </row>
    <row r="213">
      <c r="J213" s="16">
        <f>IF(I213="","",I213-F213)</f>
        <v/>
      </c>
      <c r="L213" s="20">
        <f>IF(K213="W",IF(G213&lt;0,H213*100/ABS(G213),H213*G213/100),IF(K213="L",-H213,0))</f>
        <v/>
      </c>
      <c r="M213" s="20">
        <f>Settings!$B$4+SUM(L$2:L213)</f>
        <v/>
      </c>
    </row>
    <row r="214">
      <c r="J214" s="16">
        <f>IF(I214="","",I214-F214)</f>
        <v/>
      </c>
      <c r="L214" s="20">
        <f>IF(K214="W",IF(G214&lt;0,H214*100/ABS(G214),H214*G214/100),IF(K214="L",-H214,0))</f>
        <v/>
      </c>
      <c r="M214" s="20">
        <f>Settings!$B$4+SUM(L$2:L214)</f>
        <v/>
      </c>
    </row>
    <row r="215">
      <c r="J215" s="16">
        <f>IF(I215="","",I215-F215)</f>
        <v/>
      </c>
      <c r="L215" s="20">
        <f>IF(K215="W",IF(G215&lt;0,H215*100/ABS(G215),H215*G215/100),IF(K215="L",-H215,0))</f>
        <v/>
      </c>
      <c r="M215" s="20">
        <f>Settings!$B$4+SUM(L$2:L215)</f>
        <v/>
      </c>
    </row>
    <row r="216">
      <c r="J216" s="16">
        <f>IF(I216="","",I216-F216)</f>
        <v/>
      </c>
      <c r="L216" s="20">
        <f>IF(K216="W",IF(G216&lt;0,H216*100/ABS(G216),H216*G216/100),IF(K216="L",-H216,0))</f>
        <v/>
      </c>
      <c r="M216" s="20">
        <f>Settings!$B$4+SUM(L$2:L216)</f>
        <v/>
      </c>
    </row>
    <row r="217">
      <c r="J217" s="16">
        <f>IF(I217="","",I217-F217)</f>
        <v/>
      </c>
      <c r="L217" s="20">
        <f>IF(K217="W",IF(G217&lt;0,H217*100/ABS(G217),H217*G217/100),IF(K217="L",-H217,0))</f>
        <v/>
      </c>
      <c r="M217" s="20">
        <f>Settings!$B$4+SUM(L$2:L217)</f>
        <v/>
      </c>
    </row>
    <row r="218">
      <c r="J218" s="16">
        <f>IF(I218="","",I218-F218)</f>
        <v/>
      </c>
      <c r="L218" s="20">
        <f>IF(K218="W",IF(G218&lt;0,H218*100/ABS(G218),H218*G218/100),IF(K218="L",-H218,0))</f>
        <v/>
      </c>
      <c r="M218" s="20">
        <f>Settings!$B$4+SUM(L$2:L218)</f>
        <v/>
      </c>
    </row>
    <row r="219">
      <c r="J219" s="16">
        <f>IF(I219="","",I219-F219)</f>
        <v/>
      </c>
      <c r="L219" s="20">
        <f>IF(K219="W",IF(G219&lt;0,H219*100/ABS(G219),H219*G219/100),IF(K219="L",-H219,0))</f>
        <v/>
      </c>
      <c r="M219" s="20">
        <f>Settings!$B$4+SUM(L$2:L219)</f>
        <v/>
      </c>
    </row>
    <row r="220">
      <c r="J220" s="16">
        <f>IF(I220="","",I220-F220)</f>
        <v/>
      </c>
      <c r="L220" s="20">
        <f>IF(K220="W",IF(G220&lt;0,H220*100/ABS(G220),H220*G220/100),IF(K220="L",-H220,0))</f>
        <v/>
      </c>
      <c r="M220" s="20">
        <f>Settings!$B$4+SUM(L$2:L220)</f>
        <v/>
      </c>
    </row>
    <row r="221">
      <c r="J221" s="16">
        <f>IF(I221="","",I221-F221)</f>
        <v/>
      </c>
      <c r="L221" s="20">
        <f>IF(K221="W",IF(G221&lt;0,H221*100/ABS(G221),H221*G221/100),IF(K221="L",-H221,0))</f>
        <v/>
      </c>
      <c r="M221" s="20">
        <f>Settings!$B$4+SUM(L$2:L221)</f>
        <v/>
      </c>
    </row>
    <row r="222">
      <c r="J222" s="16">
        <f>IF(I222="","",I222-F222)</f>
        <v/>
      </c>
      <c r="L222" s="20">
        <f>IF(K222="W",IF(G222&lt;0,H222*100/ABS(G222),H222*G222/100),IF(K222="L",-H222,0))</f>
        <v/>
      </c>
      <c r="M222" s="20">
        <f>Settings!$B$4+SUM(L$2:L222)</f>
        <v/>
      </c>
    </row>
    <row r="223">
      <c r="J223" s="16">
        <f>IF(I223="","",I223-F223)</f>
        <v/>
      </c>
      <c r="L223" s="20">
        <f>IF(K223="W",IF(G223&lt;0,H223*100/ABS(G223),H223*G223/100),IF(K223="L",-H223,0))</f>
        <v/>
      </c>
      <c r="M223" s="20">
        <f>Settings!$B$4+SUM(L$2:L223)</f>
        <v/>
      </c>
    </row>
    <row r="224">
      <c r="J224" s="16">
        <f>IF(I224="","",I224-F224)</f>
        <v/>
      </c>
      <c r="L224" s="20">
        <f>IF(K224="W",IF(G224&lt;0,H224*100/ABS(G224),H224*G224/100),IF(K224="L",-H224,0))</f>
        <v/>
      </c>
      <c r="M224" s="20">
        <f>Settings!$B$4+SUM(L$2:L224)</f>
        <v/>
      </c>
    </row>
    <row r="225">
      <c r="J225" s="16">
        <f>IF(I225="","",I225-F225)</f>
        <v/>
      </c>
      <c r="L225" s="20">
        <f>IF(K225="W",IF(G225&lt;0,H225*100/ABS(G225),H225*G225/100),IF(K225="L",-H225,0))</f>
        <v/>
      </c>
      <c r="M225" s="20">
        <f>Settings!$B$4+SUM(L$2:L225)</f>
        <v/>
      </c>
    </row>
    <row r="226">
      <c r="J226" s="16">
        <f>IF(I226="","",I226-F226)</f>
        <v/>
      </c>
      <c r="L226" s="20">
        <f>IF(K226="W",IF(G226&lt;0,H226*100/ABS(G226),H226*G226/100),IF(K226="L",-H226,0))</f>
        <v/>
      </c>
      <c r="M226" s="20">
        <f>Settings!$B$4+SUM(L$2:L226)</f>
        <v/>
      </c>
    </row>
    <row r="227">
      <c r="J227" s="16">
        <f>IF(I227="","",I227-F227)</f>
        <v/>
      </c>
      <c r="L227" s="20">
        <f>IF(K227="W",IF(G227&lt;0,H227*100/ABS(G227),H227*G227/100),IF(K227="L",-H227,0))</f>
        <v/>
      </c>
      <c r="M227" s="20">
        <f>Settings!$B$4+SUM(L$2:L227)</f>
        <v/>
      </c>
    </row>
    <row r="228">
      <c r="J228" s="16">
        <f>IF(I228="","",I228-F228)</f>
        <v/>
      </c>
      <c r="L228" s="20">
        <f>IF(K228="W",IF(G228&lt;0,H228*100/ABS(G228),H228*G228/100),IF(K228="L",-H228,0))</f>
        <v/>
      </c>
      <c r="M228" s="20">
        <f>Settings!$B$4+SUM(L$2:L228)</f>
        <v/>
      </c>
    </row>
    <row r="229">
      <c r="J229" s="16">
        <f>IF(I229="","",I229-F229)</f>
        <v/>
      </c>
      <c r="L229" s="20">
        <f>IF(K229="W",IF(G229&lt;0,H229*100/ABS(G229),H229*G229/100),IF(K229="L",-H229,0))</f>
        <v/>
      </c>
      <c r="M229" s="20">
        <f>Settings!$B$4+SUM(L$2:L229)</f>
        <v/>
      </c>
    </row>
    <row r="230">
      <c r="J230" s="16">
        <f>IF(I230="","",I230-F230)</f>
        <v/>
      </c>
      <c r="L230" s="20">
        <f>IF(K230="W",IF(G230&lt;0,H230*100/ABS(G230),H230*G230/100),IF(K230="L",-H230,0))</f>
        <v/>
      </c>
      <c r="M230" s="20">
        <f>Settings!$B$4+SUM(L$2:L230)</f>
        <v/>
      </c>
    </row>
    <row r="231">
      <c r="J231" s="16">
        <f>IF(I231="","",I231-F231)</f>
        <v/>
      </c>
      <c r="L231" s="20">
        <f>IF(K231="W",IF(G231&lt;0,H231*100/ABS(G231),H231*G231/100),IF(K231="L",-H231,0))</f>
        <v/>
      </c>
      <c r="M231" s="20">
        <f>Settings!$B$4+SUM(L$2:L231)</f>
        <v/>
      </c>
    </row>
    <row r="232">
      <c r="J232" s="16">
        <f>IF(I232="","",I232-F232)</f>
        <v/>
      </c>
      <c r="L232" s="20">
        <f>IF(K232="W",IF(G232&lt;0,H232*100/ABS(G232),H232*G232/100),IF(K232="L",-H232,0))</f>
        <v/>
      </c>
      <c r="M232" s="20">
        <f>Settings!$B$4+SUM(L$2:L232)</f>
        <v/>
      </c>
    </row>
    <row r="233">
      <c r="J233" s="16">
        <f>IF(I233="","",I233-F233)</f>
        <v/>
      </c>
      <c r="L233" s="20">
        <f>IF(K233="W",IF(G233&lt;0,H233*100/ABS(G233),H233*G233/100),IF(K233="L",-H233,0))</f>
        <v/>
      </c>
      <c r="M233" s="20">
        <f>Settings!$B$4+SUM(L$2:L233)</f>
        <v/>
      </c>
    </row>
    <row r="234">
      <c r="J234" s="16">
        <f>IF(I234="","",I234-F234)</f>
        <v/>
      </c>
      <c r="L234" s="20">
        <f>IF(K234="W",IF(G234&lt;0,H234*100/ABS(G234),H234*G234/100),IF(K234="L",-H234,0))</f>
        <v/>
      </c>
      <c r="M234" s="20">
        <f>Settings!$B$4+SUM(L$2:L234)</f>
        <v/>
      </c>
    </row>
    <row r="235">
      <c r="J235" s="16">
        <f>IF(I235="","",I235-F235)</f>
        <v/>
      </c>
      <c r="L235" s="20">
        <f>IF(K235="W",IF(G235&lt;0,H235*100/ABS(G235),H235*G235/100),IF(K235="L",-H235,0))</f>
        <v/>
      </c>
      <c r="M235" s="20">
        <f>Settings!$B$4+SUM(L$2:L235)</f>
        <v/>
      </c>
    </row>
    <row r="236">
      <c r="J236" s="16">
        <f>IF(I236="","",I236-F236)</f>
        <v/>
      </c>
      <c r="L236" s="20">
        <f>IF(K236="W",IF(G236&lt;0,H236*100/ABS(G236),H236*G236/100),IF(K236="L",-H236,0))</f>
        <v/>
      </c>
      <c r="M236" s="20">
        <f>Settings!$B$4+SUM(L$2:L236)</f>
        <v/>
      </c>
    </row>
    <row r="237">
      <c r="J237" s="16">
        <f>IF(I237="","",I237-F237)</f>
        <v/>
      </c>
      <c r="L237" s="20">
        <f>IF(K237="W",IF(G237&lt;0,H237*100/ABS(G237),H237*G237/100),IF(K237="L",-H237,0))</f>
        <v/>
      </c>
      <c r="M237" s="20">
        <f>Settings!$B$4+SUM(L$2:L237)</f>
        <v/>
      </c>
    </row>
    <row r="238">
      <c r="J238" s="16">
        <f>IF(I238="","",I238-F238)</f>
        <v/>
      </c>
      <c r="L238" s="20">
        <f>IF(K238="W",IF(G238&lt;0,H238*100/ABS(G238),H238*G238/100),IF(K238="L",-H238,0))</f>
        <v/>
      </c>
      <c r="M238" s="20">
        <f>Settings!$B$4+SUM(L$2:L238)</f>
        <v/>
      </c>
    </row>
    <row r="239">
      <c r="J239" s="16">
        <f>IF(I239="","",I239-F239)</f>
        <v/>
      </c>
      <c r="L239" s="20">
        <f>IF(K239="W",IF(G239&lt;0,H239*100/ABS(G239),H239*G239/100),IF(K239="L",-H239,0))</f>
        <v/>
      </c>
      <c r="M239" s="20">
        <f>Settings!$B$4+SUM(L$2:L239)</f>
        <v/>
      </c>
    </row>
    <row r="240">
      <c r="J240" s="16">
        <f>IF(I240="","",I240-F240)</f>
        <v/>
      </c>
      <c r="L240" s="20">
        <f>IF(K240="W",IF(G240&lt;0,H240*100/ABS(G240),H240*G240/100),IF(K240="L",-H240,0))</f>
        <v/>
      </c>
      <c r="M240" s="20">
        <f>Settings!$B$4+SUM(L$2:L240)</f>
        <v/>
      </c>
    </row>
    <row r="241">
      <c r="J241" s="16">
        <f>IF(I241="","",I241-F241)</f>
        <v/>
      </c>
      <c r="L241" s="20">
        <f>IF(K241="W",IF(G241&lt;0,H241*100/ABS(G241),H241*G241/100),IF(K241="L",-H241,0))</f>
        <v/>
      </c>
      <c r="M241" s="20">
        <f>Settings!$B$4+SUM(L$2:L241)</f>
        <v/>
      </c>
    </row>
    <row r="242">
      <c r="J242" s="16">
        <f>IF(I242="","",I242-F242)</f>
        <v/>
      </c>
      <c r="L242" s="20">
        <f>IF(K242="W",IF(G242&lt;0,H242*100/ABS(G242),H242*G242/100),IF(K242="L",-H242,0))</f>
        <v/>
      </c>
      <c r="M242" s="20">
        <f>Settings!$B$4+SUM(L$2:L242)</f>
        <v/>
      </c>
    </row>
    <row r="243">
      <c r="J243" s="16">
        <f>IF(I243="","",I243-F243)</f>
        <v/>
      </c>
      <c r="L243" s="20">
        <f>IF(K243="W",IF(G243&lt;0,H243*100/ABS(G243),H243*G243/100),IF(K243="L",-H243,0))</f>
        <v/>
      </c>
      <c r="M243" s="20">
        <f>Settings!$B$4+SUM(L$2:L243)</f>
        <v/>
      </c>
    </row>
    <row r="244">
      <c r="J244" s="16">
        <f>IF(I244="","",I244-F244)</f>
        <v/>
      </c>
      <c r="L244" s="20">
        <f>IF(K244="W",IF(G244&lt;0,H244*100/ABS(G244),H244*G244/100),IF(K244="L",-H244,0))</f>
        <v/>
      </c>
      <c r="M244" s="20">
        <f>Settings!$B$4+SUM(L$2:L244)</f>
        <v/>
      </c>
    </row>
    <row r="245">
      <c r="J245" s="16">
        <f>IF(I245="","",I245-F245)</f>
        <v/>
      </c>
      <c r="L245" s="20">
        <f>IF(K245="W",IF(G245&lt;0,H245*100/ABS(G245),H245*G245/100),IF(K245="L",-H245,0))</f>
        <v/>
      </c>
      <c r="M245" s="20">
        <f>Settings!$B$4+SUM(L$2:L245)</f>
        <v/>
      </c>
    </row>
    <row r="246">
      <c r="J246" s="16">
        <f>IF(I246="","",I246-F246)</f>
        <v/>
      </c>
      <c r="L246" s="20">
        <f>IF(K246="W",IF(G246&lt;0,H246*100/ABS(G246),H246*G246/100),IF(K246="L",-H246,0))</f>
        <v/>
      </c>
      <c r="M246" s="20">
        <f>Settings!$B$4+SUM(L$2:L246)</f>
        <v/>
      </c>
    </row>
    <row r="247">
      <c r="J247" s="16">
        <f>IF(I247="","",I247-F247)</f>
        <v/>
      </c>
      <c r="L247" s="20">
        <f>IF(K247="W",IF(G247&lt;0,H247*100/ABS(G247),H247*G247/100),IF(K247="L",-H247,0))</f>
        <v/>
      </c>
      <c r="M247" s="20">
        <f>Settings!$B$4+SUM(L$2:L247)</f>
        <v/>
      </c>
    </row>
    <row r="248">
      <c r="J248" s="16">
        <f>IF(I248="","",I248-F248)</f>
        <v/>
      </c>
      <c r="L248" s="20">
        <f>IF(K248="W",IF(G248&lt;0,H248*100/ABS(G248),H248*G248/100),IF(K248="L",-H248,0))</f>
        <v/>
      </c>
      <c r="M248" s="20">
        <f>Settings!$B$4+SUM(L$2:L248)</f>
        <v/>
      </c>
    </row>
    <row r="249">
      <c r="J249" s="16">
        <f>IF(I249="","",I249-F249)</f>
        <v/>
      </c>
      <c r="L249" s="20">
        <f>IF(K249="W",IF(G249&lt;0,H249*100/ABS(G249),H249*G249/100),IF(K249="L",-H249,0))</f>
        <v/>
      </c>
      <c r="M249" s="20">
        <f>Settings!$B$4+SUM(L$2:L249)</f>
        <v/>
      </c>
    </row>
    <row r="250">
      <c r="J250" s="16">
        <f>IF(I250="","",I250-F250)</f>
        <v/>
      </c>
      <c r="L250" s="20">
        <f>IF(K250="W",IF(G250&lt;0,H250*100/ABS(G250),H250*G250/100),IF(K250="L",-H250,0))</f>
        <v/>
      </c>
      <c r="M250" s="20">
        <f>Settings!$B$4+SUM(L$2:L250)</f>
        <v/>
      </c>
    </row>
    <row r="251">
      <c r="J251" s="16">
        <f>IF(I251="","",I251-F251)</f>
        <v/>
      </c>
      <c r="L251" s="20">
        <f>IF(K251="W",IF(G251&lt;0,H251*100/ABS(G251),H251*G251/100),IF(K251="L",-H251,0))</f>
        <v/>
      </c>
      <c r="M251" s="20">
        <f>Settings!$B$4+SUM(L$2:L251)</f>
        <v/>
      </c>
    </row>
    <row r="252">
      <c r="J252" s="16">
        <f>IF(I252="","",I252-F252)</f>
        <v/>
      </c>
      <c r="L252" s="20">
        <f>IF(K252="W",IF(G252&lt;0,H252*100/ABS(G252),H252*G252/100),IF(K252="L",-H252,0))</f>
        <v/>
      </c>
      <c r="M252" s="20">
        <f>Settings!$B$4+SUM(L$2:L252)</f>
        <v/>
      </c>
    </row>
    <row r="253">
      <c r="J253" s="16">
        <f>IF(I253="","",I253-F253)</f>
        <v/>
      </c>
      <c r="L253" s="20">
        <f>IF(K253="W",IF(G253&lt;0,H253*100/ABS(G253),H253*G253/100),IF(K253="L",-H253,0))</f>
        <v/>
      </c>
      <c r="M253" s="20">
        <f>Settings!$B$4+SUM(L$2:L253)</f>
        <v/>
      </c>
    </row>
    <row r="254">
      <c r="J254" s="16">
        <f>IF(I254="","",I254-F254)</f>
        <v/>
      </c>
      <c r="L254" s="20">
        <f>IF(K254="W",IF(G254&lt;0,H254*100/ABS(G254),H254*G254/100),IF(K254="L",-H254,0))</f>
        <v/>
      </c>
      <c r="M254" s="20">
        <f>Settings!$B$4+SUM(L$2:L254)</f>
        <v/>
      </c>
    </row>
    <row r="255">
      <c r="J255" s="16">
        <f>IF(I255="","",I255-F255)</f>
        <v/>
      </c>
      <c r="L255" s="20">
        <f>IF(K255="W",IF(G255&lt;0,H255*100/ABS(G255),H255*G255/100),IF(K255="L",-H255,0))</f>
        <v/>
      </c>
      <c r="M255" s="20">
        <f>Settings!$B$4+SUM(L$2:L255)</f>
        <v/>
      </c>
    </row>
    <row r="256">
      <c r="J256" s="16">
        <f>IF(I256="","",I256-F256)</f>
        <v/>
      </c>
      <c r="L256" s="20">
        <f>IF(K256="W",IF(G256&lt;0,H256*100/ABS(G256),H256*G256/100),IF(K256="L",-H256,0))</f>
        <v/>
      </c>
      <c r="M256" s="20">
        <f>Settings!$B$4+SUM(L$2:L256)</f>
        <v/>
      </c>
    </row>
    <row r="257">
      <c r="J257" s="16">
        <f>IF(I257="","",I257-F257)</f>
        <v/>
      </c>
      <c r="L257" s="20">
        <f>IF(K257="W",IF(G257&lt;0,H257*100/ABS(G257),H257*G257/100),IF(K257="L",-H257,0))</f>
        <v/>
      </c>
      <c r="M257" s="20">
        <f>Settings!$B$4+SUM(L$2:L257)</f>
        <v/>
      </c>
    </row>
    <row r="258">
      <c r="J258" s="16">
        <f>IF(I258="","",I258-F258)</f>
        <v/>
      </c>
      <c r="L258" s="20">
        <f>IF(K258="W",IF(G258&lt;0,H258*100/ABS(G258),H258*G258/100),IF(K258="L",-H258,0))</f>
        <v/>
      </c>
      <c r="M258" s="20">
        <f>Settings!$B$4+SUM(L$2:L258)</f>
        <v/>
      </c>
    </row>
    <row r="259">
      <c r="J259" s="16">
        <f>IF(I259="","",I259-F259)</f>
        <v/>
      </c>
      <c r="L259" s="20">
        <f>IF(K259="W",IF(G259&lt;0,H259*100/ABS(G259),H259*G259/100),IF(K259="L",-H259,0))</f>
        <v/>
      </c>
      <c r="M259" s="20">
        <f>Settings!$B$4+SUM(L$2:L259)</f>
        <v/>
      </c>
    </row>
    <row r="260">
      <c r="J260" s="16">
        <f>IF(I260="","",I260-F260)</f>
        <v/>
      </c>
      <c r="L260" s="20">
        <f>IF(K260="W",IF(G260&lt;0,H260*100/ABS(G260),H260*G260/100),IF(K260="L",-H260,0))</f>
        <v/>
      </c>
      <c r="M260" s="20">
        <f>Settings!$B$4+SUM(L$2:L260)</f>
        <v/>
      </c>
    </row>
    <row r="261">
      <c r="J261" s="16">
        <f>IF(I261="","",I261-F261)</f>
        <v/>
      </c>
      <c r="L261" s="20">
        <f>IF(K261="W",IF(G261&lt;0,H261*100/ABS(G261),H261*G261/100),IF(K261="L",-H261,0))</f>
        <v/>
      </c>
      <c r="M261" s="20">
        <f>Settings!$B$4+SUM(L$2:L261)</f>
        <v/>
      </c>
    </row>
    <row r="262">
      <c r="J262" s="16">
        <f>IF(I262="","",I262-F262)</f>
        <v/>
      </c>
      <c r="L262" s="20">
        <f>IF(K262="W",IF(G262&lt;0,H262*100/ABS(G262),H262*G262/100),IF(K262="L",-H262,0))</f>
        <v/>
      </c>
      <c r="M262" s="20">
        <f>Settings!$B$4+SUM(L$2:L262)</f>
        <v/>
      </c>
    </row>
    <row r="263">
      <c r="J263" s="16">
        <f>IF(I263="","",I263-F263)</f>
        <v/>
      </c>
      <c r="L263" s="20">
        <f>IF(K263="W",IF(G263&lt;0,H263*100/ABS(G263),H263*G263/100),IF(K263="L",-H263,0))</f>
        <v/>
      </c>
      <c r="M263" s="20">
        <f>Settings!$B$4+SUM(L$2:L263)</f>
        <v/>
      </c>
    </row>
    <row r="264">
      <c r="J264" s="16">
        <f>IF(I264="","",I264-F264)</f>
        <v/>
      </c>
      <c r="L264" s="20">
        <f>IF(K264="W",IF(G264&lt;0,H264*100/ABS(G264),H264*G264/100),IF(K264="L",-H264,0))</f>
        <v/>
      </c>
      <c r="M264" s="20">
        <f>Settings!$B$4+SUM(L$2:L264)</f>
        <v/>
      </c>
    </row>
    <row r="265">
      <c r="J265" s="16">
        <f>IF(I265="","",I265-F265)</f>
        <v/>
      </c>
      <c r="L265" s="20">
        <f>IF(K265="W",IF(G265&lt;0,H265*100/ABS(G265),H265*G265/100),IF(K265="L",-H265,0))</f>
        <v/>
      </c>
      <c r="M265" s="20">
        <f>Settings!$B$4+SUM(L$2:L265)</f>
        <v/>
      </c>
    </row>
    <row r="266">
      <c r="J266" s="16">
        <f>IF(I266="","",I266-F266)</f>
        <v/>
      </c>
      <c r="L266" s="20">
        <f>IF(K266="W",IF(G266&lt;0,H266*100/ABS(G266),H266*G266/100),IF(K266="L",-H266,0))</f>
        <v/>
      </c>
      <c r="M266" s="20">
        <f>Settings!$B$4+SUM(L$2:L266)</f>
        <v/>
      </c>
    </row>
    <row r="267">
      <c r="J267" s="16">
        <f>IF(I267="","",I267-F267)</f>
        <v/>
      </c>
      <c r="L267" s="20">
        <f>IF(K267="W",IF(G267&lt;0,H267*100/ABS(G267),H267*G267/100),IF(K267="L",-H267,0))</f>
        <v/>
      </c>
      <c r="M267" s="20">
        <f>Settings!$B$4+SUM(L$2:L267)</f>
        <v/>
      </c>
    </row>
    <row r="268">
      <c r="J268" s="16">
        <f>IF(I268="","",I268-F268)</f>
        <v/>
      </c>
      <c r="L268" s="20">
        <f>IF(K268="W",IF(G268&lt;0,H268*100/ABS(G268),H268*G268/100),IF(K268="L",-H268,0))</f>
        <v/>
      </c>
      <c r="M268" s="20">
        <f>Settings!$B$4+SUM(L$2:L268)</f>
        <v/>
      </c>
    </row>
    <row r="269">
      <c r="J269" s="16">
        <f>IF(I269="","",I269-F269)</f>
        <v/>
      </c>
      <c r="L269" s="20">
        <f>IF(K269="W",IF(G269&lt;0,H269*100/ABS(G269),H269*G269/100),IF(K269="L",-H269,0))</f>
        <v/>
      </c>
      <c r="M269" s="20">
        <f>Settings!$B$4+SUM(L$2:L269)</f>
        <v/>
      </c>
    </row>
    <row r="270">
      <c r="J270" s="16">
        <f>IF(I270="","",I270-F270)</f>
        <v/>
      </c>
      <c r="L270" s="20">
        <f>IF(K270="W",IF(G270&lt;0,H270*100/ABS(G270),H270*G270/100),IF(K270="L",-H270,0))</f>
        <v/>
      </c>
      <c r="M270" s="20">
        <f>Settings!$B$4+SUM(L$2:L270)</f>
        <v/>
      </c>
    </row>
    <row r="271">
      <c r="J271" s="16">
        <f>IF(I271="","",I271-F271)</f>
        <v/>
      </c>
      <c r="L271" s="20">
        <f>IF(K271="W",IF(G271&lt;0,H271*100/ABS(G271),H271*G271/100),IF(K271="L",-H271,0))</f>
        <v/>
      </c>
      <c r="M271" s="20">
        <f>Settings!$B$4+SUM(L$2:L271)</f>
        <v/>
      </c>
    </row>
    <row r="272">
      <c r="J272" s="16">
        <f>IF(I272="","",I272-F272)</f>
        <v/>
      </c>
      <c r="L272" s="20">
        <f>IF(K272="W",IF(G272&lt;0,H272*100/ABS(G272),H272*G272/100),IF(K272="L",-H272,0))</f>
        <v/>
      </c>
      <c r="M272" s="20">
        <f>Settings!$B$4+SUM(L$2:L272)</f>
        <v/>
      </c>
    </row>
    <row r="273">
      <c r="J273" s="16">
        <f>IF(I273="","",I273-F273)</f>
        <v/>
      </c>
      <c r="L273" s="20">
        <f>IF(K273="W",IF(G273&lt;0,H273*100/ABS(G273),H273*G273/100),IF(K273="L",-H273,0))</f>
        <v/>
      </c>
      <c r="M273" s="20">
        <f>Settings!$B$4+SUM(L$2:L273)</f>
        <v/>
      </c>
    </row>
    <row r="274">
      <c r="J274" s="16">
        <f>IF(I274="","",I274-F274)</f>
        <v/>
      </c>
      <c r="L274" s="20">
        <f>IF(K274="W",IF(G274&lt;0,H274*100/ABS(G274),H274*G274/100),IF(K274="L",-H274,0))</f>
        <v/>
      </c>
      <c r="M274" s="20">
        <f>Settings!$B$4+SUM(L$2:L274)</f>
        <v/>
      </c>
    </row>
    <row r="275">
      <c r="J275" s="16">
        <f>IF(I275="","",I275-F275)</f>
        <v/>
      </c>
      <c r="L275" s="20">
        <f>IF(K275="W",IF(G275&lt;0,H275*100/ABS(G275),H275*G275/100),IF(K275="L",-H275,0))</f>
        <v/>
      </c>
      <c r="M275" s="20">
        <f>Settings!$B$4+SUM(L$2:L275)</f>
        <v/>
      </c>
    </row>
    <row r="276">
      <c r="J276" s="16">
        <f>IF(I276="","",I276-F276)</f>
        <v/>
      </c>
      <c r="L276" s="20">
        <f>IF(K276="W",IF(G276&lt;0,H276*100/ABS(G276),H276*G276/100),IF(K276="L",-H276,0))</f>
        <v/>
      </c>
      <c r="M276" s="20">
        <f>Settings!$B$4+SUM(L$2:L276)</f>
        <v/>
      </c>
    </row>
    <row r="277">
      <c r="J277" s="16">
        <f>IF(I277="","",I277-F277)</f>
        <v/>
      </c>
      <c r="L277" s="20">
        <f>IF(K277="W",IF(G277&lt;0,H277*100/ABS(G277),H277*G277/100),IF(K277="L",-H277,0))</f>
        <v/>
      </c>
      <c r="M277" s="20">
        <f>Settings!$B$4+SUM(L$2:L277)</f>
        <v/>
      </c>
    </row>
    <row r="278">
      <c r="J278" s="16">
        <f>IF(I278="","",I278-F278)</f>
        <v/>
      </c>
      <c r="L278" s="20">
        <f>IF(K278="W",IF(G278&lt;0,H278*100/ABS(G278),H278*G278/100),IF(K278="L",-H278,0))</f>
        <v/>
      </c>
      <c r="M278" s="20">
        <f>Settings!$B$4+SUM(L$2:L278)</f>
        <v/>
      </c>
    </row>
    <row r="279">
      <c r="J279" s="16">
        <f>IF(I279="","",I279-F279)</f>
        <v/>
      </c>
      <c r="L279" s="20">
        <f>IF(K279="W",IF(G279&lt;0,H279*100/ABS(G279),H279*G279/100),IF(K279="L",-H279,0))</f>
        <v/>
      </c>
      <c r="M279" s="20">
        <f>Settings!$B$4+SUM(L$2:L279)</f>
        <v/>
      </c>
    </row>
    <row r="280">
      <c r="J280" s="16">
        <f>IF(I280="","",I280-F280)</f>
        <v/>
      </c>
      <c r="L280" s="20">
        <f>IF(K280="W",IF(G280&lt;0,H280*100/ABS(G280),H280*G280/100),IF(K280="L",-H280,0))</f>
        <v/>
      </c>
      <c r="M280" s="20">
        <f>Settings!$B$4+SUM(L$2:L280)</f>
        <v/>
      </c>
    </row>
    <row r="281">
      <c r="J281" s="16">
        <f>IF(I281="","",I281-F281)</f>
        <v/>
      </c>
      <c r="L281" s="20">
        <f>IF(K281="W",IF(G281&lt;0,H281*100/ABS(G281),H281*G281/100),IF(K281="L",-H281,0))</f>
        <v/>
      </c>
      <c r="M281" s="20">
        <f>Settings!$B$4+SUM(L$2:L281)</f>
        <v/>
      </c>
    </row>
    <row r="282">
      <c r="J282" s="16">
        <f>IF(I282="","",I282-F282)</f>
        <v/>
      </c>
      <c r="L282" s="20">
        <f>IF(K282="W",IF(G282&lt;0,H282*100/ABS(G282),H282*G282/100),IF(K282="L",-H282,0))</f>
        <v/>
      </c>
      <c r="M282" s="20">
        <f>Settings!$B$4+SUM(L$2:L282)</f>
        <v/>
      </c>
    </row>
    <row r="283">
      <c r="J283" s="16">
        <f>IF(I283="","",I283-F283)</f>
        <v/>
      </c>
      <c r="L283" s="20">
        <f>IF(K283="W",IF(G283&lt;0,H283*100/ABS(G283),H283*G283/100),IF(K283="L",-H283,0))</f>
        <v/>
      </c>
      <c r="M283" s="20">
        <f>Settings!$B$4+SUM(L$2:L283)</f>
        <v/>
      </c>
    </row>
    <row r="284">
      <c r="J284" s="16">
        <f>IF(I284="","",I284-F284)</f>
        <v/>
      </c>
      <c r="L284" s="20">
        <f>IF(K284="W",IF(G284&lt;0,H284*100/ABS(G284),H284*G284/100),IF(K284="L",-H284,0))</f>
        <v/>
      </c>
      <c r="M284" s="20">
        <f>Settings!$B$4+SUM(L$2:L284)</f>
        <v/>
      </c>
    </row>
    <row r="285">
      <c r="J285" s="16">
        <f>IF(I285="","",I285-F285)</f>
        <v/>
      </c>
      <c r="L285" s="20">
        <f>IF(K285="W",IF(G285&lt;0,H285*100/ABS(G285),H285*G285/100),IF(K285="L",-H285,0))</f>
        <v/>
      </c>
      <c r="M285" s="20">
        <f>Settings!$B$4+SUM(L$2:L285)</f>
        <v/>
      </c>
    </row>
    <row r="286">
      <c r="J286" s="16">
        <f>IF(I286="","",I286-F286)</f>
        <v/>
      </c>
      <c r="L286" s="20">
        <f>IF(K286="W",IF(G286&lt;0,H286*100/ABS(G286),H286*G286/100),IF(K286="L",-H286,0))</f>
        <v/>
      </c>
      <c r="M286" s="20">
        <f>Settings!$B$4+SUM(L$2:L286)</f>
        <v/>
      </c>
    </row>
    <row r="287">
      <c r="J287" s="16">
        <f>IF(I287="","",I287-F287)</f>
        <v/>
      </c>
      <c r="L287" s="20">
        <f>IF(K287="W",IF(G287&lt;0,H287*100/ABS(G287),H287*G287/100),IF(K287="L",-H287,0))</f>
        <v/>
      </c>
      <c r="M287" s="20">
        <f>Settings!$B$4+SUM(L$2:L287)</f>
        <v/>
      </c>
    </row>
    <row r="288">
      <c r="J288" s="16">
        <f>IF(I288="","",I288-F288)</f>
        <v/>
      </c>
      <c r="L288" s="20">
        <f>IF(K288="W",IF(G288&lt;0,H288*100/ABS(G288),H288*G288/100),IF(K288="L",-H288,0))</f>
        <v/>
      </c>
      <c r="M288" s="20">
        <f>Settings!$B$4+SUM(L$2:L288)</f>
        <v/>
      </c>
    </row>
    <row r="289">
      <c r="J289" s="16">
        <f>IF(I289="","",I289-F289)</f>
        <v/>
      </c>
      <c r="L289" s="20">
        <f>IF(K289="W",IF(G289&lt;0,H289*100/ABS(G289),H289*G289/100),IF(K289="L",-H289,0))</f>
        <v/>
      </c>
      <c r="M289" s="20">
        <f>Settings!$B$4+SUM(L$2:L289)</f>
        <v/>
      </c>
    </row>
    <row r="290">
      <c r="J290" s="16">
        <f>IF(I290="","",I290-F290)</f>
        <v/>
      </c>
      <c r="L290" s="20">
        <f>IF(K290="W",IF(G290&lt;0,H290*100/ABS(G290),H290*G290/100),IF(K290="L",-H290,0))</f>
        <v/>
      </c>
      <c r="M290" s="20">
        <f>Settings!$B$4+SUM(L$2:L290)</f>
        <v/>
      </c>
    </row>
    <row r="291">
      <c r="J291" s="16">
        <f>IF(I291="","",I291-F291)</f>
        <v/>
      </c>
      <c r="L291" s="20">
        <f>IF(K291="W",IF(G291&lt;0,H291*100/ABS(G291),H291*G291/100),IF(K291="L",-H291,0))</f>
        <v/>
      </c>
      <c r="M291" s="20">
        <f>Settings!$B$4+SUM(L$2:L291)</f>
        <v/>
      </c>
    </row>
    <row r="292">
      <c r="J292" s="16">
        <f>IF(I292="","",I292-F292)</f>
        <v/>
      </c>
      <c r="L292" s="20">
        <f>IF(K292="W",IF(G292&lt;0,H292*100/ABS(G292),H292*G292/100),IF(K292="L",-H292,0))</f>
        <v/>
      </c>
      <c r="M292" s="20">
        <f>Settings!$B$4+SUM(L$2:L292)</f>
        <v/>
      </c>
    </row>
    <row r="293">
      <c r="J293" s="16">
        <f>IF(I293="","",I293-F293)</f>
        <v/>
      </c>
      <c r="L293" s="20">
        <f>IF(K293="W",IF(G293&lt;0,H293*100/ABS(G293),H293*G293/100),IF(K293="L",-H293,0))</f>
        <v/>
      </c>
      <c r="M293" s="20">
        <f>Settings!$B$4+SUM(L$2:L293)</f>
        <v/>
      </c>
    </row>
    <row r="294">
      <c r="J294" s="16">
        <f>IF(I294="","",I294-F294)</f>
        <v/>
      </c>
      <c r="L294" s="20">
        <f>IF(K294="W",IF(G294&lt;0,H294*100/ABS(G294),H294*G294/100),IF(K294="L",-H294,0))</f>
        <v/>
      </c>
      <c r="M294" s="20">
        <f>Settings!$B$4+SUM(L$2:L294)</f>
        <v/>
      </c>
    </row>
    <row r="295">
      <c r="J295" s="16">
        <f>IF(I295="","",I295-F295)</f>
        <v/>
      </c>
      <c r="L295" s="20">
        <f>IF(K295="W",IF(G295&lt;0,H295*100/ABS(G295),H295*G295/100),IF(K295="L",-H295,0))</f>
        <v/>
      </c>
      <c r="M295" s="20">
        <f>Settings!$B$4+SUM(L$2:L295)</f>
        <v/>
      </c>
    </row>
    <row r="296">
      <c r="J296" s="16">
        <f>IF(I296="","",I296-F296)</f>
        <v/>
      </c>
      <c r="L296" s="20">
        <f>IF(K296="W",IF(G296&lt;0,H296*100/ABS(G296),H296*G296/100),IF(K296="L",-H296,0))</f>
        <v/>
      </c>
      <c r="M296" s="20">
        <f>Settings!$B$4+SUM(L$2:L296)</f>
        <v/>
      </c>
    </row>
    <row r="297">
      <c r="J297" s="16">
        <f>IF(I297="","",I297-F297)</f>
        <v/>
      </c>
      <c r="L297" s="20">
        <f>IF(K297="W",IF(G297&lt;0,H297*100/ABS(G297),H297*G297/100),IF(K297="L",-H297,0))</f>
        <v/>
      </c>
      <c r="M297" s="20">
        <f>Settings!$B$4+SUM(L$2:L297)</f>
        <v/>
      </c>
    </row>
    <row r="298">
      <c r="J298" s="16">
        <f>IF(I298="","",I298-F298)</f>
        <v/>
      </c>
      <c r="L298" s="20">
        <f>IF(K298="W",IF(G298&lt;0,H298*100/ABS(G298),H298*G298/100),IF(K298="L",-H298,0))</f>
        <v/>
      </c>
      <c r="M298" s="20">
        <f>Settings!$B$4+SUM(L$2:L298)</f>
        <v/>
      </c>
    </row>
    <row r="299">
      <c r="J299" s="16">
        <f>IF(I299="","",I299-F299)</f>
        <v/>
      </c>
      <c r="L299" s="20">
        <f>IF(K299="W",IF(G299&lt;0,H299*100/ABS(G299),H299*G299/100),IF(K299="L",-H299,0))</f>
        <v/>
      </c>
      <c r="M299" s="20">
        <f>Settings!$B$4+SUM(L$2:L299)</f>
        <v/>
      </c>
    </row>
    <row r="300">
      <c r="J300" s="16">
        <f>IF(I300="","",I300-F300)</f>
        <v/>
      </c>
      <c r="L300" s="20">
        <f>IF(K300="W",IF(G300&lt;0,H300*100/ABS(G300),H300*G300/100),IF(K300="L",-H300,0))</f>
        <v/>
      </c>
      <c r="M300" s="20">
        <f>Settings!$B$4+SUM(L$2:L300)</f>
        <v/>
      </c>
    </row>
    <row r="301">
      <c r="J301" s="16">
        <f>IF(I301="","",I301-F301)</f>
        <v/>
      </c>
      <c r="L301" s="20">
        <f>IF(K301="W",IF(G301&lt;0,H301*100/ABS(G301),H301*G301/100),IF(K301="L",-H301,0))</f>
        <v/>
      </c>
      <c r="M301" s="20">
        <f>Settings!$B$4+SUM(L$2:L301)</f>
        <v/>
      </c>
    </row>
    <row r="302">
      <c r="J302" s="16">
        <f>IF(I302="","",I302-F302)</f>
        <v/>
      </c>
      <c r="L302" s="20">
        <f>IF(K302="W",IF(G302&lt;0,H302*100/ABS(G302),H302*G302/100),IF(K302="L",-H302,0))</f>
        <v/>
      </c>
      <c r="M302" s="20">
        <f>Settings!$B$4+SUM(L$2:L302)</f>
        <v/>
      </c>
    </row>
    <row r="303">
      <c r="J303" s="16">
        <f>IF(I303="","",I303-F303)</f>
        <v/>
      </c>
      <c r="L303" s="20">
        <f>IF(K303="W",IF(G303&lt;0,H303*100/ABS(G303),H303*G303/100),IF(K303="L",-H303,0))</f>
        <v/>
      </c>
      <c r="M303" s="20">
        <f>Settings!$B$4+SUM(L$2:L303)</f>
        <v/>
      </c>
    </row>
    <row r="304">
      <c r="J304" s="16">
        <f>IF(I304="","",I304-F304)</f>
        <v/>
      </c>
      <c r="L304" s="20">
        <f>IF(K304="W",IF(G304&lt;0,H304*100/ABS(G304),H304*G304/100),IF(K304="L",-H304,0))</f>
        <v/>
      </c>
      <c r="M304" s="20">
        <f>Settings!$B$4+SUM(L$2:L304)</f>
        <v/>
      </c>
    </row>
    <row r="305">
      <c r="J305" s="16">
        <f>IF(I305="","",I305-F305)</f>
        <v/>
      </c>
      <c r="L305" s="20">
        <f>IF(K305="W",IF(G305&lt;0,H305*100/ABS(G305),H305*G305/100),IF(K305="L",-H305,0))</f>
        <v/>
      </c>
      <c r="M305" s="20">
        <f>Settings!$B$4+SUM(L$2:L305)</f>
        <v/>
      </c>
    </row>
    <row r="306">
      <c r="J306" s="16">
        <f>IF(I306="","",I306-F306)</f>
        <v/>
      </c>
      <c r="L306" s="20">
        <f>IF(K306="W",IF(G306&lt;0,H306*100/ABS(G306),H306*G306/100),IF(K306="L",-H306,0))</f>
        <v/>
      </c>
      <c r="M306" s="20">
        <f>Settings!$B$4+SUM(L$2:L306)</f>
        <v/>
      </c>
    </row>
    <row r="307">
      <c r="J307" s="16">
        <f>IF(I307="","",I307-F307)</f>
        <v/>
      </c>
      <c r="L307" s="20">
        <f>IF(K307="W",IF(G307&lt;0,H307*100/ABS(G307),H307*G307/100),IF(K307="L",-H307,0))</f>
        <v/>
      </c>
      <c r="M307" s="20">
        <f>Settings!$B$4+SUM(L$2:L307)</f>
        <v/>
      </c>
    </row>
    <row r="308">
      <c r="J308" s="16">
        <f>IF(I308="","",I308-F308)</f>
        <v/>
      </c>
      <c r="L308" s="20">
        <f>IF(K308="W",IF(G308&lt;0,H308*100/ABS(G308),H308*G308/100),IF(K308="L",-H308,0))</f>
        <v/>
      </c>
      <c r="M308" s="20">
        <f>Settings!$B$4+SUM(L$2:L308)</f>
        <v/>
      </c>
    </row>
    <row r="309">
      <c r="J309" s="16">
        <f>IF(I309="","",I309-F309)</f>
        <v/>
      </c>
      <c r="L309" s="20">
        <f>IF(K309="W",IF(G309&lt;0,H309*100/ABS(G309),H309*G309/100),IF(K309="L",-H309,0))</f>
        <v/>
      </c>
      <c r="M309" s="20">
        <f>Settings!$B$4+SUM(L$2:L309)</f>
        <v/>
      </c>
    </row>
    <row r="310">
      <c r="J310" s="16">
        <f>IF(I310="","",I310-F310)</f>
        <v/>
      </c>
      <c r="L310" s="20">
        <f>IF(K310="W",IF(G310&lt;0,H310*100/ABS(G310),H310*G310/100),IF(K310="L",-H310,0))</f>
        <v/>
      </c>
      <c r="M310" s="20">
        <f>Settings!$B$4+SUM(L$2:L310)</f>
        <v/>
      </c>
    </row>
    <row r="311">
      <c r="J311" s="16">
        <f>IF(I311="","",I311-F311)</f>
        <v/>
      </c>
      <c r="L311" s="20">
        <f>IF(K311="W",IF(G311&lt;0,H311*100/ABS(G311),H311*G311/100),IF(K311="L",-H311,0))</f>
        <v/>
      </c>
      <c r="M311" s="20">
        <f>Settings!$B$4+SUM(L$2:L311)</f>
        <v/>
      </c>
    </row>
    <row r="312">
      <c r="J312" s="16">
        <f>IF(I312="","",I312-F312)</f>
        <v/>
      </c>
      <c r="L312" s="20">
        <f>IF(K312="W",IF(G312&lt;0,H312*100/ABS(G312),H312*G312/100),IF(K312="L",-H312,0))</f>
        <v/>
      </c>
      <c r="M312" s="20">
        <f>Settings!$B$4+SUM(L$2:L312)</f>
        <v/>
      </c>
    </row>
    <row r="313">
      <c r="J313" s="16">
        <f>IF(I313="","",I313-F313)</f>
        <v/>
      </c>
      <c r="L313" s="20">
        <f>IF(K313="W",IF(G313&lt;0,H313*100/ABS(G313),H313*G313/100),IF(K313="L",-H313,0))</f>
        <v/>
      </c>
      <c r="M313" s="20">
        <f>Settings!$B$4+SUM(L$2:L313)</f>
        <v/>
      </c>
    </row>
    <row r="314">
      <c r="J314" s="16">
        <f>IF(I314="","",I314-F314)</f>
        <v/>
      </c>
      <c r="L314" s="20">
        <f>IF(K314="W",IF(G314&lt;0,H314*100/ABS(G314),H314*G314/100),IF(K314="L",-H314,0))</f>
        <v/>
      </c>
      <c r="M314" s="20">
        <f>Settings!$B$4+SUM(L$2:L314)</f>
        <v/>
      </c>
    </row>
    <row r="315">
      <c r="J315" s="16">
        <f>IF(I315="","",I315-F315)</f>
        <v/>
      </c>
      <c r="L315" s="20">
        <f>IF(K315="W",IF(G315&lt;0,H315*100/ABS(G315),H315*G315/100),IF(K315="L",-H315,0))</f>
        <v/>
      </c>
      <c r="M315" s="20">
        <f>Settings!$B$4+SUM(L$2:L315)</f>
        <v/>
      </c>
    </row>
    <row r="316">
      <c r="J316" s="16">
        <f>IF(I316="","",I316-F316)</f>
        <v/>
      </c>
      <c r="L316" s="20">
        <f>IF(K316="W",IF(G316&lt;0,H316*100/ABS(G316),H316*G316/100),IF(K316="L",-H316,0))</f>
        <v/>
      </c>
      <c r="M316" s="20">
        <f>Settings!$B$4+SUM(L$2:L316)</f>
        <v/>
      </c>
    </row>
    <row r="317">
      <c r="J317" s="16">
        <f>IF(I317="","",I317-F317)</f>
        <v/>
      </c>
      <c r="L317" s="20">
        <f>IF(K317="W",IF(G317&lt;0,H317*100/ABS(G317),H317*G317/100),IF(K317="L",-H317,0))</f>
        <v/>
      </c>
      <c r="M317" s="20">
        <f>Settings!$B$4+SUM(L$2:L317)</f>
        <v/>
      </c>
    </row>
    <row r="318">
      <c r="J318" s="16">
        <f>IF(I318="","",I318-F318)</f>
        <v/>
      </c>
      <c r="L318" s="20">
        <f>IF(K318="W",IF(G318&lt;0,H318*100/ABS(G318),H318*G318/100),IF(K318="L",-H318,0))</f>
        <v/>
      </c>
      <c r="M318" s="20">
        <f>Settings!$B$4+SUM(L$2:L318)</f>
        <v/>
      </c>
    </row>
    <row r="319">
      <c r="J319" s="16">
        <f>IF(I319="","",I319-F319)</f>
        <v/>
      </c>
      <c r="L319" s="20">
        <f>IF(K319="W",IF(G319&lt;0,H319*100/ABS(G319),H319*G319/100),IF(K319="L",-H319,0))</f>
        <v/>
      </c>
      <c r="M319" s="20">
        <f>Settings!$B$4+SUM(L$2:L319)</f>
        <v/>
      </c>
    </row>
    <row r="320">
      <c r="J320" s="16">
        <f>IF(I320="","",I320-F320)</f>
        <v/>
      </c>
      <c r="L320" s="20">
        <f>IF(K320="W",IF(G320&lt;0,H320*100/ABS(G320),H320*G320/100),IF(K320="L",-H320,0))</f>
        <v/>
      </c>
      <c r="M320" s="20">
        <f>Settings!$B$4+SUM(L$2:L320)</f>
        <v/>
      </c>
    </row>
    <row r="321">
      <c r="J321" s="16">
        <f>IF(I321="","",I321-F321)</f>
        <v/>
      </c>
      <c r="L321" s="20">
        <f>IF(K321="W",IF(G321&lt;0,H321*100/ABS(G321),H321*G321/100),IF(K321="L",-H321,0))</f>
        <v/>
      </c>
      <c r="M321" s="20">
        <f>Settings!$B$4+SUM(L$2:L321)</f>
        <v/>
      </c>
    </row>
    <row r="322">
      <c r="J322" s="16">
        <f>IF(I322="","",I322-F322)</f>
        <v/>
      </c>
      <c r="L322" s="20">
        <f>IF(K322="W",IF(G322&lt;0,H322*100/ABS(G322),H322*G322/100),IF(K322="L",-H322,0))</f>
        <v/>
      </c>
      <c r="M322" s="20">
        <f>Settings!$B$4+SUM(L$2:L322)</f>
        <v/>
      </c>
    </row>
    <row r="323">
      <c r="J323" s="16">
        <f>IF(I323="","",I323-F323)</f>
        <v/>
      </c>
      <c r="L323" s="20">
        <f>IF(K323="W",IF(G323&lt;0,H323*100/ABS(G323),H323*G323/100),IF(K323="L",-H323,0))</f>
        <v/>
      </c>
      <c r="M323" s="20">
        <f>Settings!$B$4+SUM(L$2:L323)</f>
        <v/>
      </c>
    </row>
    <row r="324">
      <c r="J324" s="16">
        <f>IF(I324="","",I324-F324)</f>
        <v/>
      </c>
      <c r="L324" s="20">
        <f>IF(K324="W",IF(G324&lt;0,H324*100/ABS(G324),H324*G324/100),IF(K324="L",-H324,0))</f>
        <v/>
      </c>
      <c r="M324" s="20">
        <f>Settings!$B$4+SUM(L$2:L324)</f>
        <v/>
      </c>
    </row>
    <row r="325">
      <c r="J325" s="16">
        <f>IF(I325="","",I325-F325)</f>
        <v/>
      </c>
      <c r="L325" s="20">
        <f>IF(K325="W",IF(G325&lt;0,H325*100/ABS(G325),H325*G325/100),IF(K325="L",-H325,0))</f>
        <v/>
      </c>
      <c r="M325" s="20">
        <f>Settings!$B$4+SUM(L$2:L325)</f>
        <v/>
      </c>
    </row>
    <row r="326">
      <c r="J326" s="16">
        <f>IF(I326="","",I326-F326)</f>
        <v/>
      </c>
      <c r="L326" s="20">
        <f>IF(K326="W",IF(G326&lt;0,H326*100/ABS(G326),H326*G326/100),IF(K326="L",-H326,0))</f>
        <v/>
      </c>
      <c r="M326" s="20">
        <f>Settings!$B$4+SUM(L$2:L326)</f>
        <v/>
      </c>
    </row>
    <row r="327">
      <c r="J327" s="16">
        <f>IF(I327="","",I327-F327)</f>
        <v/>
      </c>
      <c r="L327" s="20">
        <f>IF(K327="W",IF(G327&lt;0,H327*100/ABS(G327),H327*G327/100),IF(K327="L",-H327,0))</f>
        <v/>
      </c>
      <c r="M327" s="20">
        <f>Settings!$B$4+SUM(L$2:L327)</f>
        <v/>
      </c>
    </row>
    <row r="328">
      <c r="J328" s="16">
        <f>IF(I328="","",I328-F328)</f>
        <v/>
      </c>
      <c r="L328" s="20">
        <f>IF(K328="W",IF(G328&lt;0,H328*100/ABS(G328),H328*G328/100),IF(K328="L",-H328,0))</f>
        <v/>
      </c>
      <c r="M328" s="20">
        <f>Settings!$B$4+SUM(L$2:L328)</f>
        <v/>
      </c>
    </row>
    <row r="329">
      <c r="J329" s="16">
        <f>IF(I329="","",I329-F329)</f>
        <v/>
      </c>
      <c r="L329" s="20">
        <f>IF(K329="W",IF(G329&lt;0,H329*100/ABS(G329),H329*G329/100),IF(K329="L",-H329,0))</f>
        <v/>
      </c>
      <c r="M329" s="20">
        <f>Settings!$B$4+SUM(L$2:L329)</f>
        <v/>
      </c>
    </row>
    <row r="330">
      <c r="J330" s="16">
        <f>IF(I330="","",I330-F330)</f>
        <v/>
      </c>
      <c r="L330" s="20">
        <f>IF(K330="W",IF(G330&lt;0,H330*100/ABS(G330),H330*G330/100),IF(K330="L",-H330,0))</f>
        <v/>
      </c>
      <c r="M330" s="20">
        <f>Settings!$B$4+SUM(L$2:L330)</f>
        <v/>
      </c>
    </row>
    <row r="331">
      <c r="J331" s="16">
        <f>IF(I331="","",I331-F331)</f>
        <v/>
      </c>
      <c r="L331" s="20">
        <f>IF(K331="W",IF(G331&lt;0,H331*100/ABS(G331),H331*G331/100),IF(K331="L",-H331,0))</f>
        <v/>
      </c>
      <c r="M331" s="20">
        <f>Settings!$B$4+SUM(L$2:L331)</f>
        <v/>
      </c>
    </row>
    <row r="332">
      <c r="J332" s="16">
        <f>IF(I332="","",I332-F332)</f>
        <v/>
      </c>
      <c r="L332" s="20">
        <f>IF(K332="W",IF(G332&lt;0,H332*100/ABS(G332),H332*G332/100),IF(K332="L",-H332,0))</f>
        <v/>
      </c>
      <c r="M332" s="20">
        <f>Settings!$B$4+SUM(L$2:L332)</f>
        <v/>
      </c>
    </row>
    <row r="333">
      <c r="J333" s="16">
        <f>IF(I333="","",I333-F333)</f>
        <v/>
      </c>
      <c r="L333" s="20">
        <f>IF(K333="W",IF(G333&lt;0,H333*100/ABS(G333),H333*G333/100),IF(K333="L",-H333,0))</f>
        <v/>
      </c>
      <c r="M333" s="20">
        <f>Settings!$B$4+SUM(L$2:L333)</f>
        <v/>
      </c>
    </row>
    <row r="334">
      <c r="J334" s="16">
        <f>IF(I334="","",I334-F334)</f>
        <v/>
      </c>
      <c r="L334" s="20">
        <f>IF(K334="W",IF(G334&lt;0,H334*100/ABS(G334),H334*G334/100),IF(K334="L",-H334,0))</f>
        <v/>
      </c>
      <c r="M334" s="20">
        <f>Settings!$B$4+SUM(L$2:L334)</f>
        <v/>
      </c>
    </row>
    <row r="335">
      <c r="J335" s="16">
        <f>IF(I335="","",I335-F335)</f>
        <v/>
      </c>
      <c r="L335" s="20">
        <f>IF(K335="W",IF(G335&lt;0,H335*100/ABS(G335),H335*G335/100),IF(K335="L",-H335,0))</f>
        <v/>
      </c>
      <c r="M335" s="20">
        <f>Settings!$B$4+SUM(L$2:L335)</f>
        <v/>
      </c>
    </row>
    <row r="336">
      <c r="J336" s="16">
        <f>IF(I336="","",I336-F336)</f>
        <v/>
      </c>
      <c r="L336" s="20">
        <f>IF(K336="W",IF(G336&lt;0,H336*100/ABS(G336),H336*G336/100),IF(K336="L",-H336,0))</f>
        <v/>
      </c>
      <c r="M336" s="20">
        <f>Settings!$B$4+SUM(L$2:L336)</f>
        <v/>
      </c>
    </row>
    <row r="337">
      <c r="J337" s="16">
        <f>IF(I337="","",I337-F337)</f>
        <v/>
      </c>
      <c r="L337" s="20">
        <f>IF(K337="W",IF(G337&lt;0,H337*100/ABS(G337),H337*G337/100),IF(K337="L",-H337,0))</f>
        <v/>
      </c>
      <c r="M337" s="20">
        <f>Settings!$B$4+SUM(L$2:L337)</f>
        <v/>
      </c>
    </row>
    <row r="338">
      <c r="J338" s="16">
        <f>IF(I338="","",I338-F338)</f>
        <v/>
      </c>
      <c r="L338" s="20">
        <f>IF(K338="W",IF(G338&lt;0,H338*100/ABS(G338),H338*G338/100),IF(K338="L",-H338,0))</f>
        <v/>
      </c>
      <c r="M338" s="20">
        <f>Settings!$B$4+SUM(L$2:L338)</f>
        <v/>
      </c>
    </row>
    <row r="339">
      <c r="J339" s="16">
        <f>IF(I339="","",I339-F339)</f>
        <v/>
      </c>
      <c r="L339" s="20">
        <f>IF(K339="W",IF(G339&lt;0,H339*100/ABS(G339),H339*G339/100),IF(K339="L",-H339,0))</f>
        <v/>
      </c>
      <c r="M339" s="20">
        <f>Settings!$B$4+SUM(L$2:L339)</f>
        <v/>
      </c>
    </row>
    <row r="340">
      <c r="J340" s="16">
        <f>IF(I340="","",I340-F340)</f>
        <v/>
      </c>
      <c r="L340" s="20">
        <f>IF(K340="W",IF(G340&lt;0,H340*100/ABS(G340),H340*G340/100),IF(K340="L",-H340,0))</f>
        <v/>
      </c>
      <c r="M340" s="20">
        <f>Settings!$B$4+SUM(L$2:L340)</f>
        <v/>
      </c>
    </row>
    <row r="341">
      <c r="J341" s="16">
        <f>IF(I341="","",I341-F341)</f>
        <v/>
      </c>
      <c r="L341" s="20">
        <f>IF(K341="W",IF(G341&lt;0,H341*100/ABS(G341),H341*G341/100),IF(K341="L",-H341,0))</f>
        <v/>
      </c>
      <c r="M341" s="20">
        <f>Settings!$B$4+SUM(L$2:L341)</f>
        <v/>
      </c>
    </row>
    <row r="342">
      <c r="J342" s="16">
        <f>IF(I342="","",I342-F342)</f>
        <v/>
      </c>
      <c r="L342" s="20">
        <f>IF(K342="W",IF(G342&lt;0,H342*100/ABS(G342),H342*G342/100),IF(K342="L",-H342,0))</f>
        <v/>
      </c>
      <c r="M342" s="20">
        <f>Settings!$B$4+SUM(L$2:L342)</f>
        <v/>
      </c>
    </row>
    <row r="343">
      <c r="J343" s="16">
        <f>IF(I343="","",I343-F343)</f>
        <v/>
      </c>
      <c r="L343" s="20">
        <f>IF(K343="W",IF(G343&lt;0,H343*100/ABS(G343),H343*G343/100),IF(K343="L",-H343,0))</f>
        <v/>
      </c>
      <c r="M343" s="20">
        <f>Settings!$B$4+SUM(L$2:L343)</f>
        <v/>
      </c>
    </row>
    <row r="344">
      <c r="J344" s="16">
        <f>IF(I344="","",I344-F344)</f>
        <v/>
      </c>
      <c r="L344" s="20">
        <f>IF(K344="W",IF(G344&lt;0,H344*100/ABS(G344),H344*G344/100),IF(K344="L",-H344,0))</f>
        <v/>
      </c>
      <c r="M344" s="20">
        <f>Settings!$B$4+SUM(L$2:L344)</f>
        <v/>
      </c>
    </row>
    <row r="345">
      <c r="J345" s="16">
        <f>IF(I345="","",I345-F345)</f>
        <v/>
      </c>
      <c r="L345" s="20">
        <f>IF(K345="W",IF(G345&lt;0,H345*100/ABS(G345),H345*G345/100),IF(K345="L",-H345,0))</f>
        <v/>
      </c>
      <c r="M345" s="20">
        <f>Settings!$B$4+SUM(L$2:L345)</f>
        <v/>
      </c>
    </row>
    <row r="346">
      <c r="J346" s="16">
        <f>IF(I346="","",I346-F346)</f>
        <v/>
      </c>
      <c r="L346" s="20">
        <f>IF(K346="W",IF(G346&lt;0,H346*100/ABS(G346),H346*G346/100),IF(K346="L",-H346,0))</f>
        <v/>
      </c>
      <c r="M346" s="20">
        <f>Settings!$B$4+SUM(L$2:L346)</f>
        <v/>
      </c>
    </row>
    <row r="347">
      <c r="J347" s="16">
        <f>IF(I347="","",I347-F347)</f>
        <v/>
      </c>
      <c r="L347" s="20">
        <f>IF(K347="W",IF(G347&lt;0,H347*100/ABS(G347),H347*G347/100),IF(K347="L",-H347,0))</f>
        <v/>
      </c>
      <c r="M347" s="20">
        <f>Settings!$B$4+SUM(L$2:L347)</f>
        <v/>
      </c>
    </row>
    <row r="348">
      <c r="J348" s="16">
        <f>IF(I348="","",I348-F348)</f>
        <v/>
      </c>
      <c r="L348" s="20">
        <f>IF(K348="W",IF(G348&lt;0,H348*100/ABS(G348),H348*G348/100),IF(K348="L",-H348,0))</f>
        <v/>
      </c>
      <c r="M348" s="20">
        <f>Settings!$B$4+SUM(L$2:L348)</f>
        <v/>
      </c>
    </row>
    <row r="349">
      <c r="J349" s="16">
        <f>IF(I349="","",I349-F349)</f>
        <v/>
      </c>
      <c r="L349" s="20">
        <f>IF(K349="W",IF(G349&lt;0,H349*100/ABS(G349),H349*G349/100),IF(K349="L",-H349,0))</f>
        <v/>
      </c>
      <c r="M349" s="20">
        <f>Settings!$B$4+SUM(L$2:L349)</f>
        <v/>
      </c>
    </row>
    <row r="350">
      <c r="J350" s="16">
        <f>IF(I350="","",I350-F350)</f>
        <v/>
      </c>
      <c r="L350" s="20">
        <f>IF(K350="W",IF(G350&lt;0,H350*100/ABS(G350),H350*G350/100),IF(K350="L",-H350,0))</f>
        <v/>
      </c>
      <c r="M350" s="20">
        <f>Settings!$B$4+SUM(L$2:L350)</f>
        <v/>
      </c>
    </row>
    <row r="351">
      <c r="J351" s="16">
        <f>IF(I351="","",I351-F351)</f>
        <v/>
      </c>
      <c r="L351" s="20">
        <f>IF(K351="W",IF(G351&lt;0,H351*100/ABS(G351),H351*G351/100),IF(K351="L",-H351,0))</f>
        <v/>
      </c>
      <c r="M351" s="20">
        <f>Settings!$B$4+SUM(L$2:L351)</f>
        <v/>
      </c>
    </row>
    <row r="352">
      <c r="J352" s="16">
        <f>IF(I352="","",I352-F352)</f>
        <v/>
      </c>
      <c r="L352" s="20">
        <f>IF(K352="W",IF(G352&lt;0,H352*100/ABS(G352),H352*G352/100),IF(K352="L",-H352,0))</f>
        <v/>
      </c>
      <c r="M352" s="20">
        <f>Settings!$B$4+SUM(L$2:L352)</f>
        <v/>
      </c>
    </row>
    <row r="353">
      <c r="J353" s="16">
        <f>IF(I353="","",I353-F353)</f>
        <v/>
      </c>
      <c r="L353" s="20">
        <f>IF(K353="W",IF(G353&lt;0,H353*100/ABS(G353),H353*G353/100),IF(K353="L",-H353,0))</f>
        <v/>
      </c>
      <c r="M353" s="20">
        <f>Settings!$B$4+SUM(L$2:L353)</f>
        <v/>
      </c>
    </row>
    <row r="354">
      <c r="J354" s="16">
        <f>IF(I354="","",I354-F354)</f>
        <v/>
      </c>
      <c r="L354" s="20">
        <f>IF(K354="W",IF(G354&lt;0,H354*100/ABS(G354),H354*G354/100),IF(K354="L",-H354,0))</f>
        <v/>
      </c>
      <c r="M354" s="20">
        <f>Settings!$B$4+SUM(L$2:L354)</f>
        <v/>
      </c>
    </row>
    <row r="355">
      <c r="J355" s="16">
        <f>IF(I355="","",I355-F355)</f>
        <v/>
      </c>
      <c r="L355" s="20">
        <f>IF(K355="W",IF(G355&lt;0,H355*100/ABS(G355),H355*G355/100),IF(K355="L",-H355,0))</f>
        <v/>
      </c>
      <c r="M355" s="20">
        <f>Settings!$B$4+SUM(L$2:L355)</f>
        <v/>
      </c>
    </row>
    <row r="356">
      <c r="J356" s="16">
        <f>IF(I356="","",I356-F356)</f>
        <v/>
      </c>
      <c r="L356" s="20">
        <f>IF(K356="W",IF(G356&lt;0,H356*100/ABS(G356),H356*G356/100),IF(K356="L",-H356,0))</f>
        <v/>
      </c>
      <c r="M356" s="20">
        <f>Settings!$B$4+SUM(L$2:L356)</f>
        <v/>
      </c>
    </row>
    <row r="357">
      <c r="J357" s="16">
        <f>IF(I357="","",I357-F357)</f>
        <v/>
      </c>
      <c r="L357" s="20">
        <f>IF(K357="W",IF(G357&lt;0,H357*100/ABS(G357),H357*G357/100),IF(K357="L",-H357,0))</f>
        <v/>
      </c>
      <c r="M357" s="20">
        <f>Settings!$B$4+SUM(L$2:L357)</f>
        <v/>
      </c>
    </row>
    <row r="358">
      <c r="J358" s="16">
        <f>IF(I358="","",I358-F358)</f>
        <v/>
      </c>
      <c r="L358" s="20">
        <f>IF(K358="W",IF(G358&lt;0,H358*100/ABS(G358),H358*G358/100),IF(K358="L",-H358,0))</f>
        <v/>
      </c>
      <c r="M358" s="20">
        <f>Settings!$B$4+SUM(L$2:L358)</f>
        <v/>
      </c>
    </row>
    <row r="359">
      <c r="J359" s="16">
        <f>IF(I359="","",I359-F359)</f>
        <v/>
      </c>
      <c r="L359" s="20">
        <f>IF(K359="W",IF(G359&lt;0,H359*100/ABS(G359),H359*G359/100),IF(K359="L",-H359,0))</f>
        <v/>
      </c>
      <c r="M359" s="20">
        <f>Settings!$B$4+SUM(L$2:L359)</f>
        <v/>
      </c>
    </row>
    <row r="360">
      <c r="J360" s="16">
        <f>IF(I360="","",I360-F360)</f>
        <v/>
      </c>
      <c r="L360" s="20">
        <f>IF(K360="W",IF(G360&lt;0,H360*100/ABS(G360),H360*G360/100),IF(K360="L",-H360,0))</f>
        <v/>
      </c>
      <c r="M360" s="20">
        <f>Settings!$B$4+SUM(L$2:L360)</f>
        <v/>
      </c>
    </row>
    <row r="361">
      <c r="J361" s="16">
        <f>IF(I361="","",I361-F361)</f>
        <v/>
      </c>
      <c r="L361" s="20">
        <f>IF(K361="W",IF(G361&lt;0,H361*100/ABS(G361),H361*G361/100),IF(K361="L",-H361,0))</f>
        <v/>
      </c>
      <c r="M361" s="20">
        <f>Settings!$B$4+SUM(L$2:L361)</f>
        <v/>
      </c>
    </row>
    <row r="362">
      <c r="J362" s="16">
        <f>IF(I362="","",I362-F362)</f>
        <v/>
      </c>
      <c r="L362" s="20">
        <f>IF(K362="W",IF(G362&lt;0,H362*100/ABS(G362),H362*G362/100),IF(K362="L",-H362,0))</f>
        <v/>
      </c>
      <c r="M362" s="20">
        <f>Settings!$B$4+SUM(L$2:L362)</f>
        <v/>
      </c>
    </row>
    <row r="363">
      <c r="J363" s="16">
        <f>IF(I363="","",I363-F363)</f>
        <v/>
      </c>
      <c r="L363" s="20">
        <f>IF(K363="W",IF(G363&lt;0,H363*100/ABS(G363),H363*G363/100),IF(K363="L",-H363,0))</f>
        <v/>
      </c>
      <c r="M363" s="20">
        <f>Settings!$B$4+SUM(L$2:L363)</f>
        <v/>
      </c>
    </row>
    <row r="364">
      <c r="J364" s="16">
        <f>IF(I364="","",I364-F364)</f>
        <v/>
      </c>
      <c r="L364" s="20">
        <f>IF(K364="W",IF(G364&lt;0,H364*100/ABS(G364),H364*G364/100),IF(K364="L",-H364,0))</f>
        <v/>
      </c>
      <c r="M364" s="20">
        <f>Settings!$B$4+SUM(L$2:L364)</f>
        <v/>
      </c>
    </row>
    <row r="365">
      <c r="J365" s="16">
        <f>IF(I365="","",I365-F365)</f>
        <v/>
      </c>
      <c r="L365" s="20">
        <f>IF(K365="W",IF(G365&lt;0,H365*100/ABS(G365),H365*G365/100),IF(K365="L",-H365,0))</f>
        <v/>
      </c>
      <c r="M365" s="20">
        <f>Settings!$B$4+SUM(L$2:L365)</f>
        <v/>
      </c>
    </row>
    <row r="366">
      <c r="J366" s="16">
        <f>IF(I366="","",I366-F366)</f>
        <v/>
      </c>
      <c r="L366" s="20">
        <f>IF(K366="W",IF(G366&lt;0,H366*100/ABS(G366),H366*G366/100),IF(K366="L",-H366,0))</f>
        <v/>
      </c>
      <c r="M366" s="20">
        <f>Settings!$B$4+SUM(L$2:L366)</f>
        <v/>
      </c>
    </row>
    <row r="367">
      <c r="J367" s="16">
        <f>IF(I367="","",I367-F367)</f>
        <v/>
      </c>
      <c r="L367" s="20">
        <f>IF(K367="W",IF(G367&lt;0,H367*100/ABS(G367),H367*G367/100),IF(K367="L",-H367,0))</f>
        <v/>
      </c>
      <c r="M367" s="20">
        <f>Settings!$B$4+SUM(L$2:L367)</f>
        <v/>
      </c>
    </row>
    <row r="368">
      <c r="J368" s="16">
        <f>IF(I368="","",I368-F368)</f>
        <v/>
      </c>
      <c r="L368" s="20">
        <f>IF(K368="W",IF(G368&lt;0,H368*100/ABS(G368),H368*G368/100),IF(K368="L",-H368,0))</f>
        <v/>
      </c>
      <c r="M368" s="20">
        <f>Settings!$B$4+SUM(L$2:L368)</f>
        <v/>
      </c>
    </row>
    <row r="369">
      <c r="J369" s="16">
        <f>IF(I369="","",I369-F369)</f>
        <v/>
      </c>
      <c r="L369" s="20">
        <f>IF(K369="W",IF(G369&lt;0,H369*100/ABS(G369),H369*G369/100),IF(K369="L",-H369,0))</f>
        <v/>
      </c>
      <c r="M369" s="20">
        <f>Settings!$B$4+SUM(L$2:L369)</f>
        <v/>
      </c>
    </row>
    <row r="370">
      <c r="J370" s="16">
        <f>IF(I370="","",I370-F370)</f>
        <v/>
      </c>
      <c r="L370" s="20">
        <f>IF(K370="W",IF(G370&lt;0,H370*100/ABS(G370),H370*G370/100),IF(K370="L",-H370,0))</f>
        <v/>
      </c>
      <c r="M370" s="20">
        <f>Settings!$B$4+SUM(L$2:L370)</f>
        <v/>
      </c>
    </row>
    <row r="371">
      <c r="J371" s="16">
        <f>IF(I371="","",I371-F371)</f>
        <v/>
      </c>
      <c r="L371" s="20">
        <f>IF(K371="W",IF(G371&lt;0,H371*100/ABS(G371),H371*G371/100),IF(K371="L",-H371,0))</f>
        <v/>
      </c>
      <c r="M371" s="20">
        <f>Settings!$B$4+SUM(L$2:L371)</f>
        <v/>
      </c>
    </row>
    <row r="372">
      <c r="J372" s="16">
        <f>IF(I372="","",I372-F372)</f>
        <v/>
      </c>
      <c r="L372" s="20">
        <f>IF(K372="W",IF(G372&lt;0,H372*100/ABS(G372),H372*G372/100),IF(K372="L",-H372,0))</f>
        <v/>
      </c>
      <c r="M372" s="20">
        <f>Settings!$B$4+SUM(L$2:L372)</f>
        <v/>
      </c>
    </row>
    <row r="373">
      <c r="J373" s="16">
        <f>IF(I373="","",I373-F373)</f>
        <v/>
      </c>
      <c r="L373" s="20">
        <f>IF(K373="W",IF(G373&lt;0,H373*100/ABS(G373),H373*G373/100),IF(K373="L",-H373,0))</f>
        <v/>
      </c>
      <c r="M373" s="20">
        <f>Settings!$B$4+SUM(L$2:L373)</f>
        <v/>
      </c>
    </row>
    <row r="374">
      <c r="J374" s="16">
        <f>IF(I374="","",I374-F374)</f>
        <v/>
      </c>
      <c r="L374" s="20">
        <f>IF(K374="W",IF(G374&lt;0,H374*100/ABS(G374),H374*G374/100),IF(K374="L",-H374,0))</f>
        <v/>
      </c>
      <c r="M374" s="20">
        <f>Settings!$B$4+SUM(L$2:L374)</f>
        <v/>
      </c>
    </row>
    <row r="375">
      <c r="J375" s="16">
        <f>IF(I375="","",I375-F375)</f>
        <v/>
      </c>
      <c r="L375" s="20">
        <f>IF(K375="W",IF(G375&lt;0,H375*100/ABS(G375),H375*G375/100),IF(K375="L",-H375,0))</f>
        <v/>
      </c>
      <c r="M375" s="20">
        <f>Settings!$B$4+SUM(L$2:L375)</f>
        <v/>
      </c>
    </row>
    <row r="376">
      <c r="J376" s="16">
        <f>IF(I376="","",I376-F376)</f>
        <v/>
      </c>
      <c r="L376" s="20">
        <f>IF(K376="W",IF(G376&lt;0,H376*100/ABS(G376),H376*G376/100),IF(K376="L",-H376,0))</f>
        <v/>
      </c>
      <c r="M376" s="20">
        <f>Settings!$B$4+SUM(L$2:L376)</f>
        <v/>
      </c>
    </row>
    <row r="377">
      <c r="J377" s="16">
        <f>IF(I377="","",I377-F377)</f>
        <v/>
      </c>
      <c r="L377" s="20">
        <f>IF(K377="W",IF(G377&lt;0,H377*100/ABS(G377),H377*G377/100),IF(K377="L",-H377,0))</f>
        <v/>
      </c>
      <c r="M377" s="20">
        <f>Settings!$B$4+SUM(L$2:L377)</f>
        <v/>
      </c>
    </row>
    <row r="378">
      <c r="J378" s="16">
        <f>IF(I378="","",I378-F378)</f>
        <v/>
      </c>
      <c r="L378" s="20">
        <f>IF(K378="W",IF(G378&lt;0,H378*100/ABS(G378),H378*G378/100),IF(K378="L",-H378,0))</f>
        <v/>
      </c>
      <c r="M378" s="20">
        <f>Settings!$B$4+SUM(L$2:L378)</f>
        <v/>
      </c>
    </row>
    <row r="379">
      <c r="J379" s="16">
        <f>IF(I379="","",I379-F379)</f>
        <v/>
      </c>
      <c r="L379" s="20">
        <f>IF(K379="W",IF(G379&lt;0,H379*100/ABS(G379),H379*G379/100),IF(K379="L",-H379,0))</f>
        <v/>
      </c>
      <c r="M379" s="20">
        <f>Settings!$B$4+SUM(L$2:L379)</f>
        <v/>
      </c>
    </row>
    <row r="380">
      <c r="J380" s="16">
        <f>IF(I380="","",I380-F380)</f>
        <v/>
      </c>
      <c r="L380" s="20">
        <f>IF(K380="W",IF(G380&lt;0,H380*100/ABS(G380),H380*G380/100),IF(K380="L",-H380,0))</f>
        <v/>
      </c>
      <c r="M380" s="20">
        <f>Settings!$B$4+SUM(L$2:L380)</f>
        <v/>
      </c>
    </row>
    <row r="381">
      <c r="J381" s="16">
        <f>IF(I381="","",I381-F381)</f>
        <v/>
      </c>
      <c r="L381" s="20">
        <f>IF(K381="W",IF(G381&lt;0,H381*100/ABS(G381),H381*G381/100),IF(K381="L",-H381,0))</f>
        <v/>
      </c>
      <c r="M381" s="20">
        <f>Settings!$B$4+SUM(L$2:L381)</f>
        <v/>
      </c>
    </row>
    <row r="382">
      <c r="J382" s="16">
        <f>IF(I382="","",I382-F382)</f>
        <v/>
      </c>
      <c r="L382" s="20">
        <f>IF(K382="W",IF(G382&lt;0,H382*100/ABS(G382),H382*G382/100),IF(K382="L",-H382,0))</f>
        <v/>
      </c>
      <c r="M382" s="20">
        <f>Settings!$B$4+SUM(L$2:L382)</f>
        <v/>
      </c>
    </row>
    <row r="383">
      <c r="J383" s="16">
        <f>IF(I383="","",I383-F383)</f>
        <v/>
      </c>
      <c r="L383" s="20">
        <f>IF(K383="W",IF(G383&lt;0,H383*100/ABS(G383),H383*G383/100),IF(K383="L",-H383,0))</f>
        <v/>
      </c>
      <c r="M383" s="20">
        <f>Settings!$B$4+SUM(L$2:L383)</f>
        <v/>
      </c>
    </row>
    <row r="384">
      <c r="J384" s="16">
        <f>IF(I384="","",I384-F384)</f>
        <v/>
      </c>
      <c r="L384" s="20">
        <f>IF(K384="W",IF(G384&lt;0,H384*100/ABS(G384),H384*G384/100),IF(K384="L",-H384,0))</f>
        <v/>
      </c>
      <c r="M384" s="20">
        <f>Settings!$B$4+SUM(L$2:L384)</f>
        <v/>
      </c>
    </row>
    <row r="385">
      <c r="J385" s="16">
        <f>IF(I385="","",I385-F385)</f>
        <v/>
      </c>
      <c r="L385" s="20">
        <f>IF(K385="W",IF(G385&lt;0,H385*100/ABS(G385),H385*G385/100),IF(K385="L",-H385,0))</f>
        <v/>
      </c>
      <c r="M385" s="20">
        <f>Settings!$B$4+SUM(L$2:L385)</f>
        <v/>
      </c>
    </row>
    <row r="386">
      <c r="J386" s="16">
        <f>IF(I386="","",I386-F386)</f>
        <v/>
      </c>
      <c r="L386" s="20">
        <f>IF(K386="W",IF(G386&lt;0,H386*100/ABS(G386),H386*G386/100),IF(K386="L",-H386,0))</f>
        <v/>
      </c>
      <c r="M386" s="20">
        <f>Settings!$B$4+SUM(L$2:L386)</f>
        <v/>
      </c>
    </row>
    <row r="387">
      <c r="J387" s="16">
        <f>IF(I387="","",I387-F387)</f>
        <v/>
      </c>
      <c r="L387" s="20">
        <f>IF(K387="W",IF(G387&lt;0,H387*100/ABS(G387),H387*G387/100),IF(K387="L",-H387,0))</f>
        <v/>
      </c>
      <c r="M387" s="20">
        <f>Settings!$B$4+SUM(L$2:L387)</f>
        <v/>
      </c>
    </row>
    <row r="388">
      <c r="J388" s="16">
        <f>IF(I388="","",I388-F388)</f>
        <v/>
      </c>
      <c r="L388" s="20">
        <f>IF(K388="W",IF(G388&lt;0,H388*100/ABS(G388),H388*G388/100),IF(K388="L",-H388,0))</f>
        <v/>
      </c>
      <c r="M388" s="20">
        <f>Settings!$B$4+SUM(L$2:L388)</f>
        <v/>
      </c>
    </row>
    <row r="389">
      <c r="J389" s="16">
        <f>IF(I389="","",I389-F389)</f>
        <v/>
      </c>
      <c r="L389" s="20">
        <f>IF(K389="W",IF(G389&lt;0,H389*100/ABS(G389),H389*G389/100),IF(K389="L",-H389,0))</f>
        <v/>
      </c>
      <c r="M389" s="20">
        <f>Settings!$B$4+SUM(L$2:L389)</f>
        <v/>
      </c>
    </row>
    <row r="390">
      <c r="J390" s="16">
        <f>IF(I390="","",I390-F390)</f>
        <v/>
      </c>
      <c r="L390" s="20">
        <f>IF(K390="W",IF(G390&lt;0,H390*100/ABS(G390),H390*G390/100),IF(K390="L",-H390,0))</f>
        <v/>
      </c>
      <c r="M390" s="20">
        <f>Settings!$B$4+SUM(L$2:L390)</f>
        <v/>
      </c>
    </row>
    <row r="391">
      <c r="J391" s="16">
        <f>IF(I391="","",I391-F391)</f>
        <v/>
      </c>
      <c r="L391" s="20">
        <f>IF(K391="W",IF(G391&lt;0,H391*100/ABS(G391),H391*G391/100),IF(K391="L",-H391,0))</f>
        <v/>
      </c>
      <c r="M391" s="20">
        <f>Settings!$B$4+SUM(L$2:L391)</f>
        <v/>
      </c>
    </row>
    <row r="392">
      <c r="J392" s="16">
        <f>IF(I392="","",I392-F392)</f>
        <v/>
      </c>
      <c r="L392" s="20">
        <f>IF(K392="W",IF(G392&lt;0,H392*100/ABS(G392),H392*G392/100),IF(K392="L",-H392,0))</f>
        <v/>
      </c>
      <c r="M392" s="20">
        <f>Settings!$B$4+SUM(L$2:L392)</f>
        <v/>
      </c>
    </row>
    <row r="393">
      <c r="J393" s="16">
        <f>IF(I393="","",I393-F393)</f>
        <v/>
      </c>
      <c r="L393" s="20">
        <f>IF(K393="W",IF(G393&lt;0,H393*100/ABS(G393),H393*G393/100),IF(K393="L",-H393,0))</f>
        <v/>
      </c>
      <c r="M393" s="20">
        <f>Settings!$B$4+SUM(L$2:L393)</f>
        <v/>
      </c>
    </row>
    <row r="394">
      <c r="J394" s="16">
        <f>IF(I394="","",I394-F394)</f>
        <v/>
      </c>
      <c r="L394" s="20">
        <f>IF(K394="W",IF(G394&lt;0,H394*100/ABS(G394),H394*G394/100),IF(K394="L",-H394,0))</f>
        <v/>
      </c>
      <c r="M394" s="20">
        <f>Settings!$B$4+SUM(L$2:L394)</f>
        <v/>
      </c>
    </row>
    <row r="395">
      <c r="J395" s="16">
        <f>IF(I395="","",I395-F395)</f>
        <v/>
      </c>
      <c r="L395" s="20">
        <f>IF(K395="W",IF(G395&lt;0,H395*100/ABS(G395),H395*G395/100),IF(K395="L",-H395,0))</f>
        <v/>
      </c>
      <c r="M395" s="20">
        <f>Settings!$B$4+SUM(L$2:L395)</f>
        <v/>
      </c>
    </row>
    <row r="396">
      <c r="J396" s="16">
        <f>IF(I396="","",I396-F396)</f>
        <v/>
      </c>
      <c r="L396" s="20">
        <f>IF(K396="W",IF(G396&lt;0,H396*100/ABS(G396),H396*G396/100),IF(K396="L",-H396,0))</f>
        <v/>
      </c>
      <c r="M396" s="20">
        <f>Settings!$B$4+SUM(L$2:L396)</f>
        <v/>
      </c>
    </row>
    <row r="397">
      <c r="J397" s="16">
        <f>IF(I397="","",I397-F397)</f>
        <v/>
      </c>
      <c r="L397" s="20">
        <f>IF(K397="W",IF(G397&lt;0,H397*100/ABS(G397),H397*G397/100),IF(K397="L",-H397,0))</f>
        <v/>
      </c>
      <c r="M397" s="20">
        <f>Settings!$B$4+SUM(L$2:L397)</f>
        <v/>
      </c>
    </row>
    <row r="398">
      <c r="J398" s="16">
        <f>IF(I398="","",I398-F398)</f>
        <v/>
      </c>
      <c r="L398" s="20">
        <f>IF(K398="W",IF(G398&lt;0,H398*100/ABS(G398),H398*G398/100),IF(K398="L",-H398,0))</f>
        <v/>
      </c>
      <c r="M398" s="20">
        <f>Settings!$B$4+SUM(L$2:L398)</f>
        <v/>
      </c>
    </row>
    <row r="399">
      <c r="J399" s="16">
        <f>IF(I399="","",I399-F399)</f>
        <v/>
      </c>
      <c r="L399" s="20">
        <f>IF(K399="W",IF(G399&lt;0,H399*100/ABS(G399),H399*G399/100),IF(K399="L",-H399,0))</f>
        <v/>
      </c>
      <c r="M399" s="20">
        <f>Settings!$B$4+SUM(L$2:L399)</f>
        <v/>
      </c>
    </row>
    <row r="400">
      <c r="J400" s="16">
        <f>IF(I400="","",I400-F400)</f>
        <v/>
      </c>
      <c r="L400" s="20">
        <f>IF(K400="W",IF(G400&lt;0,H400*100/ABS(G400),H400*G400/100),IF(K400="L",-H400,0))</f>
        <v/>
      </c>
      <c r="M400" s="20">
        <f>Settings!$B$4+SUM(L$2:L400)</f>
        <v/>
      </c>
    </row>
    <row r="401">
      <c r="J401" s="16">
        <f>IF(I401="","",I401-F401)</f>
        <v/>
      </c>
      <c r="L401" s="20">
        <f>IF(K401="W",IF(G401&lt;0,H401*100/ABS(G401),H401*G401/100),IF(K401="L",-H401,0))</f>
        <v/>
      </c>
      <c r="M401" s="20">
        <f>Settings!$B$4+SUM(L$2:L401)</f>
        <v/>
      </c>
    </row>
    <row r="402">
      <c r="J402" s="16">
        <f>IF(I402="","",I402-F402)</f>
        <v/>
      </c>
      <c r="L402" s="20">
        <f>IF(K402="W",IF(G402&lt;0,H402*100/ABS(G402),H402*G402/100),IF(K402="L",-H402,0))</f>
        <v/>
      </c>
      <c r="M402" s="20">
        <f>Settings!$B$4+SUM(L$2:L402)</f>
        <v/>
      </c>
    </row>
    <row r="403">
      <c r="J403" s="16">
        <f>IF(I403="","",I403-F403)</f>
        <v/>
      </c>
      <c r="L403" s="20">
        <f>IF(K403="W",IF(G403&lt;0,H403*100/ABS(G403),H403*G403/100),IF(K403="L",-H403,0))</f>
        <v/>
      </c>
      <c r="M403" s="20">
        <f>Settings!$B$4+SUM(L$2:L403)</f>
        <v/>
      </c>
    </row>
    <row r="404">
      <c r="J404" s="16">
        <f>IF(I404="","",I404-F404)</f>
        <v/>
      </c>
      <c r="L404" s="20">
        <f>IF(K404="W",IF(G404&lt;0,H404*100/ABS(G404),H404*G404/100),IF(K404="L",-H404,0))</f>
        <v/>
      </c>
      <c r="M404" s="20">
        <f>Settings!$B$4+SUM(L$2:L404)</f>
        <v/>
      </c>
    </row>
    <row r="405">
      <c r="J405" s="16">
        <f>IF(I405="","",I405-F405)</f>
        <v/>
      </c>
      <c r="L405" s="20">
        <f>IF(K405="W",IF(G405&lt;0,H405*100/ABS(G405),H405*G405/100),IF(K405="L",-H405,0))</f>
        <v/>
      </c>
      <c r="M405" s="20">
        <f>Settings!$B$4+SUM(L$2:L405)</f>
        <v/>
      </c>
    </row>
    <row r="406">
      <c r="J406" s="16">
        <f>IF(I406="","",I406-F406)</f>
        <v/>
      </c>
      <c r="L406" s="20">
        <f>IF(K406="W",IF(G406&lt;0,H406*100/ABS(G406),H406*G406/100),IF(K406="L",-H406,0))</f>
        <v/>
      </c>
      <c r="M406" s="20">
        <f>Settings!$B$4+SUM(L$2:L406)</f>
        <v/>
      </c>
    </row>
    <row r="407">
      <c r="J407" s="16">
        <f>IF(I407="","",I407-F407)</f>
        <v/>
      </c>
      <c r="L407" s="20">
        <f>IF(K407="W",IF(G407&lt;0,H407*100/ABS(G407),H407*G407/100),IF(K407="L",-H407,0))</f>
        <v/>
      </c>
      <c r="M407" s="20">
        <f>Settings!$B$4+SUM(L$2:L407)</f>
        <v/>
      </c>
    </row>
    <row r="408">
      <c r="J408" s="16">
        <f>IF(I408="","",I408-F408)</f>
        <v/>
      </c>
      <c r="L408" s="20">
        <f>IF(K408="W",IF(G408&lt;0,H408*100/ABS(G408),H408*G408/100),IF(K408="L",-H408,0))</f>
        <v/>
      </c>
      <c r="M408" s="20">
        <f>Settings!$B$4+SUM(L$2:L408)</f>
        <v/>
      </c>
    </row>
    <row r="409">
      <c r="J409" s="16">
        <f>IF(I409="","",I409-F409)</f>
        <v/>
      </c>
      <c r="L409" s="20">
        <f>IF(K409="W",IF(G409&lt;0,H409*100/ABS(G409),H409*G409/100),IF(K409="L",-H409,0))</f>
        <v/>
      </c>
      <c r="M409" s="20">
        <f>Settings!$B$4+SUM(L$2:L409)</f>
        <v/>
      </c>
    </row>
    <row r="410">
      <c r="J410" s="16">
        <f>IF(I410="","",I410-F410)</f>
        <v/>
      </c>
      <c r="L410" s="20">
        <f>IF(K410="W",IF(G410&lt;0,H410*100/ABS(G410),H410*G410/100),IF(K410="L",-H410,0))</f>
        <v/>
      </c>
      <c r="M410" s="20">
        <f>Settings!$B$4+SUM(L$2:L410)</f>
        <v/>
      </c>
    </row>
    <row r="411">
      <c r="J411" s="16">
        <f>IF(I411="","",I411-F411)</f>
        <v/>
      </c>
      <c r="L411" s="20">
        <f>IF(K411="W",IF(G411&lt;0,H411*100/ABS(G411),H411*G411/100),IF(K411="L",-H411,0))</f>
        <v/>
      </c>
      <c r="M411" s="20">
        <f>Settings!$B$4+SUM(L$2:L411)</f>
        <v/>
      </c>
    </row>
    <row r="412">
      <c r="J412" s="16">
        <f>IF(I412="","",I412-F412)</f>
        <v/>
      </c>
      <c r="L412" s="20">
        <f>IF(K412="W",IF(G412&lt;0,H412*100/ABS(G412),H412*G412/100),IF(K412="L",-H412,0))</f>
        <v/>
      </c>
      <c r="M412" s="20">
        <f>Settings!$B$4+SUM(L$2:L412)</f>
        <v/>
      </c>
    </row>
    <row r="413">
      <c r="J413" s="16">
        <f>IF(I413="","",I413-F413)</f>
        <v/>
      </c>
      <c r="L413" s="20">
        <f>IF(K413="W",IF(G413&lt;0,H413*100/ABS(G413),H413*G413/100),IF(K413="L",-H413,0))</f>
        <v/>
      </c>
      <c r="M413" s="20">
        <f>Settings!$B$4+SUM(L$2:L413)</f>
        <v/>
      </c>
    </row>
    <row r="414">
      <c r="J414" s="16">
        <f>IF(I414="","",I414-F414)</f>
        <v/>
      </c>
      <c r="L414" s="20">
        <f>IF(K414="W",IF(G414&lt;0,H414*100/ABS(G414),H414*G414/100),IF(K414="L",-H414,0))</f>
        <v/>
      </c>
      <c r="M414" s="20">
        <f>Settings!$B$4+SUM(L$2:L414)</f>
        <v/>
      </c>
    </row>
    <row r="415">
      <c r="J415" s="16">
        <f>IF(I415="","",I415-F415)</f>
        <v/>
      </c>
      <c r="L415" s="20">
        <f>IF(K415="W",IF(G415&lt;0,H415*100/ABS(G415),H415*G415/100),IF(K415="L",-H415,0))</f>
        <v/>
      </c>
      <c r="M415" s="20">
        <f>Settings!$B$4+SUM(L$2:L415)</f>
        <v/>
      </c>
    </row>
    <row r="416">
      <c r="J416" s="16">
        <f>IF(I416="","",I416-F416)</f>
        <v/>
      </c>
      <c r="L416" s="20">
        <f>IF(K416="W",IF(G416&lt;0,H416*100/ABS(G416),H416*G416/100),IF(K416="L",-H416,0))</f>
        <v/>
      </c>
      <c r="M416" s="20">
        <f>Settings!$B$4+SUM(L$2:L416)</f>
        <v/>
      </c>
    </row>
    <row r="417">
      <c r="J417" s="16">
        <f>IF(I417="","",I417-F417)</f>
        <v/>
      </c>
      <c r="L417" s="20">
        <f>IF(K417="W",IF(G417&lt;0,H417*100/ABS(G417),H417*G417/100),IF(K417="L",-H417,0))</f>
        <v/>
      </c>
      <c r="M417" s="20">
        <f>Settings!$B$4+SUM(L$2:L417)</f>
        <v/>
      </c>
    </row>
    <row r="418">
      <c r="J418" s="16">
        <f>IF(I418="","",I418-F418)</f>
        <v/>
      </c>
      <c r="L418" s="20">
        <f>IF(K418="W",IF(G418&lt;0,H418*100/ABS(G418),H418*G418/100),IF(K418="L",-H418,0))</f>
        <v/>
      </c>
      <c r="M418" s="20">
        <f>Settings!$B$4+SUM(L$2:L418)</f>
        <v/>
      </c>
    </row>
    <row r="419">
      <c r="J419" s="16">
        <f>IF(I419="","",I419-F419)</f>
        <v/>
      </c>
      <c r="L419" s="20">
        <f>IF(K419="W",IF(G419&lt;0,H419*100/ABS(G419),H419*G419/100),IF(K419="L",-H419,0))</f>
        <v/>
      </c>
      <c r="M419" s="20">
        <f>Settings!$B$4+SUM(L$2:L419)</f>
        <v/>
      </c>
    </row>
    <row r="420">
      <c r="J420" s="16">
        <f>IF(I420="","",I420-F420)</f>
        <v/>
      </c>
      <c r="L420" s="20">
        <f>IF(K420="W",IF(G420&lt;0,H420*100/ABS(G420),H420*G420/100),IF(K420="L",-H420,0))</f>
        <v/>
      </c>
      <c r="M420" s="20">
        <f>Settings!$B$4+SUM(L$2:L420)</f>
        <v/>
      </c>
    </row>
    <row r="421">
      <c r="J421" s="16">
        <f>IF(I421="","",I421-F421)</f>
        <v/>
      </c>
      <c r="L421" s="20">
        <f>IF(K421="W",IF(G421&lt;0,H421*100/ABS(G421),H421*G421/100),IF(K421="L",-H421,0))</f>
        <v/>
      </c>
      <c r="M421" s="20">
        <f>Settings!$B$4+SUM(L$2:L421)</f>
        <v/>
      </c>
    </row>
    <row r="422">
      <c r="J422" s="16">
        <f>IF(I422="","",I422-F422)</f>
        <v/>
      </c>
      <c r="L422" s="20">
        <f>IF(K422="W",IF(G422&lt;0,H422*100/ABS(G422),H422*G422/100),IF(K422="L",-H422,0))</f>
        <v/>
      </c>
      <c r="M422" s="20">
        <f>Settings!$B$4+SUM(L$2:L422)</f>
        <v/>
      </c>
    </row>
    <row r="423">
      <c r="J423" s="16">
        <f>IF(I423="","",I423-F423)</f>
        <v/>
      </c>
      <c r="L423" s="20">
        <f>IF(K423="W",IF(G423&lt;0,H423*100/ABS(G423),H423*G423/100),IF(K423="L",-H423,0))</f>
        <v/>
      </c>
      <c r="M423" s="20">
        <f>Settings!$B$4+SUM(L$2:L423)</f>
        <v/>
      </c>
    </row>
    <row r="424">
      <c r="J424" s="16">
        <f>IF(I424="","",I424-F424)</f>
        <v/>
      </c>
      <c r="L424" s="20">
        <f>IF(K424="W",IF(G424&lt;0,H424*100/ABS(G424),H424*G424/100),IF(K424="L",-H424,0))</f>
        <v/>
      </c>
      <c r="M424" s="20">
        <f>Settings!$B$4+SUM(L$2:L424)</f>
        <v/>
      </c>
    </row>
    <row r="425">
      <c r="J425" s="16">
        <f>IF(I425="","",I425-F425)</f>
        <v/>
      </c>
      <c r="L425" s="20">
        <f>IF(K425="W",IF(G425&lt;0,H425*100/ABS(G425),H425*G425/100),IF(K425="L",-H425,0))</f>
        <v/>
      </c>
      <c r="M425" s="20">
        <f>Settings!$B$4+SUM(L$2:L425)</f>
        <v/>
      </c>
    </row>
    <row r="426">
      <c r="J426" s="16">
        <f>IF(I426="","",I426-F426)</f>
        <v/>
      </c>
      <c r="L426" s="20">
        <f>IF(K426="W",IF(G426&lt;0,H426*100/ABS(G426),H426*G426/100),IF(K426="L",-H426,0))</f>
        <v/>
      </c>
      <c r="M426" s="20">
        <f>Settings!$B$4+SUM(L$2:L426)</f>
        <v/>
      </c>
    </row>
    <row r="427">
      <c r="J427" s="16">
        <f>IF(I427="","",I427-F427)</f>
        <v/>
      </c>
      <c r="L427" s="20">
        <f>IF(K427="W",IF(G427&lt;0,H427*100/ABS(G427),H427*G427/100),IF(K427="L",-H427,0))</f>
        <v/>
      </c>
      <c r="M427" s="20">
        <f>Settings!$B$4+SUM(L$2:L427)</f>
        <v/>
      </c>
    </row>
    <row r="428">
      <c r="J428" s="16">
        <f>IF(I428="","",I428-F428)</f>
        <v/>
      </c>
      <c r="L428" s="20">
        <f>IF(K428="W",IF(G428&lt;0,H428*100/ABS(G428),H428*G428/100),IF(K428="L",-H428,0))</f>
        <v/>
      </c>
      <c r="M428" s="20">
        <f>Settings!$B$4+SUM(L$2:L428)</f>
        <v/>
      </c>
    </row>
    <row r="429">
      <c r="J429" s="16">
        <f>IF(I429="","",I429-F429)</f>
        <v/>
      </c>
      <c r="L429" s="20">
        <f>IF(K429="W",IF(G429&lt;0,H429*100/ABS(G429),H429*G429/100),IF(K429="L",-H429,0))</f>
        <v/>
      </c>
      <c r="M429" s="20">
        <f>Settings!$B$4+SUM(L$2:L429)</f>
        <v/>
      </c>
    </row>
    <row r="430">
      <c r="J430" s="16">
        <f>IF(I430="","",I430-F430)</f>
        <v/>
      </c>
      <c r="L430" s="20">
        <f>IF(K430="W",IF(G430&lt;0,H430*100/ABS(G430),H430*G430/100),IF(K430="L",-H430,0))</f>
        <v/>
      </c>
      <c r="M430" s="20">
        <f>Settings!$B$4+SUM(L$2:L430)</f>
        <v/>
      </c>
    </row>
    <row r="431">
      <c r="J431" s="16">
        <f>IF(I431="","",I431-F431)</f>
        <v/>
      </c>
      <c r="L431" s="20">
        <f>IF(K431="W",IF(G431&lt;0,H431*100/ABS(G431),H431*G431/100),IF(K431="L",-H431,0))</f>
        <v/>
      </c>
      <c r="M431" s="20">
        <f>Settings!$B$4+SUM(L$2:L431)</f>
        <v/>
      </c>
    </row>
    <row r="432">
      <c r="J432" s="16">
        <f>IF(I432="","",I432-F432)</f>
        <v/>
      </c>
      <c r="L432" s="20">
        <f>IF(K432="W",IF(G432&lt;0,H432*100/ABS(G432),H432*G432/100),IF(K432="L",-H432,0))</f>
        <v/>
      </c>
      <c r="M432" s="20">
        <f>Settings!$B$4+SUM(L$2:L432)</f>
        <v/>
      </c>
    </row>
    <row r="433">
      <c r="J433" s="16">
        <f>IF(I433="","",I433-F433)</f>
        <v/>
      </c>
      <c r="L433" s="20">
        <f>IF(K433="W",IF(G433&lt;0,H433*100/ABS(G433),H433*G433/100),IF(K433="L",-H433,0))</f>
        <v/>
      </c>
      <c r="M433" s="20">
        <f>Settings!$B$4+SUM(L$2:L433)</f>
        <v/>
      </c>
    </row>
    <row r="434">
      <c r="J434" s="16">
        <f>IF(I434="","",I434-F434)</f>
        <v/>
      </c>
      <c r="L434" s="20">
        <f>IF(K434="W",IF(G434&lt;0,H434*100/ABS(G434),H434*G434/100),IF(K434="L",-H434,0))</f>
        <v/>
      </c>
      <c r="M434" s="20">
        <f>Settings!$B$4+SUM(L$2:L434)</f>
        <v/>
      </c>
    </row>
    <row r="435">
      <c r="J435" s="16">
        <f>IF(I435="","",I435-F435)</f>
        <v/>
      </c>
      <c r="L435" s="20">
        <f>IF(K435="W",IF(G435&lt;0,H435*100/ABS(G435),H435*G435/100),IF(K435="L",-H435,0))</f>
        <v/>
      </c>
      <c r="M435" s="20">
        <f>Settings!$B$4+SUM(L$2:L435)</f>
        <v/>
      </c>
    </row>
    <row r="436">
      <c r="J436" s="16">
        <f>IF(I436="","",I436-F436)</f>
        <v/>
      </c>
      <c r="L436" s="20">
        <f>IF(K436="W",IF(G436&lt;0,H436*100/ABS(G436),H436*G436/100),IF(K436="L",-H436,0))</f>
        <v/>
      </c>
      <c r="M436" s="20">
        <f>Settings!$B$4+SUM(L$2:L436)</f>
        <v/>
      </c>
    </row>
    <row r="437">
      <c r="J437" s="16">
        <f>IF(I437="","",I437-F437)</f>
        <v/>
      </c>
      <c r="L437" s="20">
        <f>IF(K437="W",IF(G437&lt;0,H437*100/ABS(G437),H437*G437/100),IF(K437="L",-H437,0))</f>
        <v/>
      </c>
      <c r="M437" s="20">
        <f>Settings!$B$4+SUM(L$2:L437)</f>
        <v/>
      </c>
    </row>
    <row r="438">
      <c r="J438" s="16">
        <f>IF(I438="","",I438-F438)</f>
        <v/>
      </c>
      <c r="L438" s="20">
        <f>IF(K438="W",IF(G438&lt;0,H438*100/ABS(G438),H438*G438/100),IF(K438="L",-H438,0))</f>
        <v/>
      </c>
      <c r="M438" s="20">
        <f>Settings!$B$4+SUM(L$2:L438)</f>
        <v/>
      </c>
    </row>
    <row r="439">
      <c r="J439" s="16">
        <f>IF(I439="","",I439-F439)</f>
        <v/>
      </c>
      <c r="L439" s="20">
        <f>IF(K439="W",IF(G439&lt;0,H439*100/ABS(G439),H439*G439/100),IF(K439="L",-H439,0))</f>
        <v/>
      </c>
      <c r="M439" s="20">
        <f>Settings!$B$4+SUM(L$2:L439)</f>
        <v/>
      </c>
    </row>
    <row r="440">
      <c r="J440" s="16">
        <f>IF(I440="","",I440-F440)</f>
        <v/>
      </c>
      <c r="L440" s="20">
        <f>IF(K440="W",IF(G440&lt;0,H440*100/ABS(G440),H440*G440/100),IF(K440="L",-H440,0))</f>
        <v/>
      </c>
      <c r="M440" s="20">
        <f>Settings!$B$4+SUM(L$2:L440)</f>
        <v/>
      </c>
    </row>
    <row r="441">
      <c r="J441" s="16">
        <f>IF(I441="","",I441-F441)</f>
        <v/>
      </c>
      <c r="L441" s="20">
        <f>IF(K441="W",IF(G441&lt;0,H441*100/ABS(G441),H441*G441/100),IF(K441="L",-H441,0))</f>
        <v/>
      </c>
      <c r="M441" s="20">
        <f>Settings!$B$4+SUM(L$2:L441)</f>
        <v/>
      </c>
    </row>
    <row r="442">
      <c r="J442" s="16">
        <f>IF(I442="","",I442-F442)</f>
        <v/>
      </c>
      <c r="L442" s="20">
        <f>IF(K442="W",IF(G442&lt;0,H442*100/ABS(G442),H442*G442/100),IF(K442="L",-H442,0))</f>
        <v/>
      </c>
      <c r="M442" s="20">
        <f>Settings!$B$4+SUM(L$2:L442)</f>
        <v/>
      </c>
    </row>
    <row r="443">
      <c r="J443" s="16">
        <f>IF(I443="","",I443-F443)</f>
        <v/>
      </c>
      <c r="L443" s="20">
        <f>IF(K443="W",IF(G443&lt;0,H443*100/ABS(G443),H443*G443/100),IF(K443="L",-H443,0))</f>
        <v/>
      </c>
      <c r="M443" s="20">
        <f>Settings!$B$4+SUM(L$2:L443)</f>
        <v/>
      </c>
    </row>
    <row r="444">
      <c r="J444" s="16">
        <f>IF(I444="","",I444-F444)</f>
        <v/>
      </c>
      <c r="L444" s="20">
        <f>IF(K444="W",IF(G444&lt;0,H444*100/ABS(G444),H444*G444/100),IF(K444="L",-H444,0))</f>
        <v/>
      </c>
      <c r="M444" s="20">
        <f>Settings!$B$4+SUM(L$2:L444)</f>
        <v/>
      </c>
    </row>
    <row r="445">
      <c r="J445" s="16">
        <f>IF(I445="","",I445-F445)</f>
        <v/>
      </c>
      <c r="L445" s="20">
        <f>IF(K445="W",IF(G445&lt;0,H445*100/ABS(G445),H445*G445/100),IF(K445="L",-H445,0))</f>
        <v/>
      </c>
      <c r="M445" s="20">
        <f>Settings!$B$4+SUM(L$2:L445)</f>
        <v/>
      </c>
    </row>
    <row r="446">
      <c r="J446" s="16">
        <f>IF(I446="","",I446-F446)</f>
        <v/>
      </c>
      <c r="L446" s="20">
        <f>IF(K446="W",IF(G446&lt;0,H446*100/ABS(G446),H446*G446/100),IF(K446="L",-H446,0))</f>
        <v/>
      </c>
      <c r="M446" s="20">
        <f>Settings!$B$4+SUM(L$2:L446)</f>
        <v/>
      </c>
    </row>
    <row r="447">
      <c r="J447" s="16">
        <f>IF(I447="","",I447-F447)</f>
        <v/>
      </c>
      <c r="L447" s="20">
        <f>IF(K447="W",IF(G447&lt;0,H447*100/ABS(G447),H447*G447/100),IF(K447="L",-H447,0))</f>
        <v/>
      </c>
      <c r="M447" s="20">
        <f>Settings!$B$4+SUM(L$2:L447)</f>
        <v/>
      </c>
    </row>
    <row r="448">
      <c r="J448" s="16">
        <f>IF(I448="","",I448-F448)</f>
        <v/>
      </c>
      <c r="L448" s="20">
        <f>IF(K448="W",IF(G448&lt;0,H448*100/ABS(G448),H448*G448/100),IF(K448="L",-H448,0))</f>
        <v/>
      </c>
      <c r="M448" s="20">
        <f>Settings!$B$4+SUM(L$2:L448)</f>
        <v/>
      </c>
    </row>
    <row r="449">
      <c r="J449" s="16">
        <f>IF(I449="","",I449-F449)</f>
        <v/>
      </c>
      <c r="L449" s="20">
        <f>IF(K449="W",IF(G449&lt;0,H449*100/ABS(G449),H449*G449/100),IF(K449="L",-H449,0))</f>
        <v/>
      </c>
      <c r="M449" s="20">
        <f>Settings!$B$4+SUM(L$2:L449)</f>
        <v/>
      </c>
    </row>
    <row r="450">
      <c r="J450" s="16">
        <f>IF(I450="","",I450-F450)</f>
        <v/>
      </c>
      <c r="L450" s="20">
        <f>IF(K450="W",IF(G450&lt;0,H450*100/ABS(G450),H450*G450/100),IF(K450="L",-H450,0))</f>
        <v/>
      </c>
      <c r="M450" s="20">
        <f>Settings!$B$4+SUM(L$2:L450)</f>
        <v/>
      </c>
    </row>
    <row r="451">
      <c r="J451" s="16">
        <f>IF(I451="","",I451-F451)</f>
        <v/>
      </c>
      <c r="L451" s="20">
        <f>IF(K451="W",IF(G451&lt;0,H451*100/ABS(G451),H451*G451/100),IF(K451="L",-H451,0))</f>
        <v/>
      </c>
      <c r="M451" s="20">
        <f>Settings!$B$4+SUM(L$2:L451)</f>
        <v/>
      </c>
    </row>
    <row r="452">
      <c r="J452" s="16">
        <f>IF(I452="","",I452-F452)</f>
        <v/>
      </c>
      <c r="L452" s="20">
        <f>IF(K452="W",IF(G452&lt;0,H452*100/ABS(G452),H452*G452/100),IF(K452="L",-H452,0))</f>
        <v/>
      </c>
      <c r="M452" s="20">
        <f>Settings!$B$4+SUM(L$2:L452)</f>
        <v/>
      </c>
    </row>
    <row r="453">
      <c r="J453" s="16">
        <f>IF(I453="","",I453-F453)</f>
        <v/>
      </c>
      <c r="L453" s="20">
        <f>IF(K453="W",IF(G453&lt;0,H453*100/ABS(G453),H453*G453/100),IF(K453="L",-H453,0))</f>
        <v/>
      </c>
      <c r="M453" s="20">
        <f>Settings!$B$4+SUM(L$2:L453)</f>
        <v/>
      </c>
    </row>
    <row r="454">
      <c r="J454" s="16">
        <f>IF(I454="","",I454-F454)</f>
        <v/>
      </c>
      <c r="L454" s="20">
        <f>IF(K454="W",IF(G454&lt;0,H454*100/ABS(G454),H454*G454/100),IF(K454="L",-H454,0))</f>
        <v/>
      </c>
      <c r="M454" s="20">
        <f>Settings!$B$4+SUM(L$2:L454)</f>
        <v/>
      </c>
    </row>
    <row r="455">
      <c r="J455" s="16">
        <f>IF(I455="","",I455-F455)</f>
        <v/>
      </c>
      <c r="L455" s="20">
        <f>IF(K455="W",IF(G455&lt;0,H455*100/ABS(G455),H455*G455/100),IF(K455="L",-H455,0))</f>
        <v/>
      </c>
      <c r="M455" s="20">
        <f>Settings!$B$4+SUM(L$2:L455)</f>
        <v/>
      </c>
    </row>
    <row r="456">
      <c r="J456" s="16">
        <f>IF(I456="","",I456-F456)</f>
        <v/>
      </c>
      <c r="L456" s="20">
        <f>IF(K456="W",IF(G456&lt;0,H456*100/ABS(G456),H456*G456/100),IF(K456="L",-H456,0))</f>
        <v/>
      </c>
      <c r="M456" s="20">
        <f>Settings!$B$4+SUM(L$2:L456)</f>
        <v/>
      </c>
    </row>
    <row r="457">
      <c r="J457" s="16">
        <f>IF(I457="","",I457-F457)</f>
        <v/>
      </c>
      <c r="L457" s="20">
        <f>IF(K457="W",IF(G457&lt;0,H457*100/ABS(G457),H457*G457/100),IF(K457="L",-H457,0))</f>
        <v/>
      </c>
      <c r="M457" s="20">
        <f>Settings!$B$4+SUM(L$2:L457)</f>
        <v/>
      </c>
    </row>
    <row r="458">
      <c r="J458" s="16">
        <f>IF(I458="","",I458-F458)</f>
        <v/>
      </c>
      <c r="L458" s="20">
        <f>IF(K458="W",IF(G458&lt;0,H458*100/ABS(G458),H458*G458/100),IF(K458="L",-H458,0))</f>
        <v/>
      </c>
      <c r="M458" s="20">
        <f>Settings!$B$4+SUM(L$2:L458)</f>
        <v/>
      </c>
    </row>
    <row r="459">
      <c r="J459" s="16">
        <f>IF(I459="","",I459-F459)</f>
        <v/>
      </c>
      <c r="L459" s="20">
        <f>IF(K459="W",IF(G459&lt;0,H459*100/ABS(G459),H459*G459/100),IF(K459="L",-H459,0))</f>
        <v/>
      </c>
      <c r="M459" s="20">
        <f>Settings!$B$4+SUM(L$2:L459)</f>
        <v/>
      </c>
    </row>
    <row r="460">
      <c r="J460" s="16">
        <f>IF(I460="","",I460-F460)</f>
        <v/>
      </c>
      <c r="L460" s="20">
        <f>IF(K460="W",IF(G460&lt;0,H460*100/ABS(G460),H460*G460/100),IF(K460="L",-H460,0))</f>
        <v/>
      </c>
      <c r="M460" s="20">
        <f>Settings!$B$4+SUM(L$2:L460)</f>
        <v/>
      </c>
    </row>
    <row r="461">
      <c r="J461" s="16">
        <f>IF(I461="","",I461-F461)</f>
        <v/>
      </c>
      <c r="L461" s="20">
        <f>IF(K461="W",IF(G461&lt;0,H461*100/ABS(G461),H461*G461/100),IF(K461="L",-H461,0))</f>
        <v/>
      </c>
      <c r="M461" s="20">
        <f>Settings!$B$4+SUM(L$2:L461)</f>
        <v/>
      </c>
    </row>
    <row r="462">
      <c r="J462" s="16">
        <f>IF(I462="","",I462-F462)</f>
        <v/>
      </c>
      <c r="L462" s="20">
        <f>IF(K462="W",IF(G462&lt;0,H462*100/ABS(G462),H462*G462/100),IF(K462="L",-H462,0))</f>
        <v/>
      </c>
      <c r="M462" s="20">
        <f>Settings!$B$4+SUM(L$2:L462)</f>
        <v/>
      </c>
    </row>
    <row r="463">
      <c r="J463" s="16">
        <f>IF(I463="","",I463-F463)</f>
        <v/>
      </c>
      <c r="L463" s="20">
        <f>IF(K463="W",IF(G463&lt;0,H463*100/ABS(G463),H463*G463/100),IF(K463="L",-H463,0))</f>
        <v/>
      </c>
      <c r="M463" s="20">
        <f>Settings!$B$4+SUM(L$2:L463)</f>
        <v/>
      </c>
    </row>
    <row r="464">
      <c r="J464" s="16">
        <f>IF(I464="","",I464-F464)</f>
        <v/>
      </c>
      <c r="L464" s="20">
        <f>IF(K464="W",IF(G464&lt;0,H464*100/ABS(G464),H464*G464/100),IF(K464="L",-H464,0))</f>
        <v/>
      </c>
      <c r="M464" s="20">
        <f>Settings!$B$4+SUM(L$2:L464)</f>
        <v/>
      </c>
    </row>
    <row r="465">
      <c r="J465" s="16">
        <f>IF(I465="","",I465-F465)</f>
        <v/>
      </c>
      <c r="L465" s="20">
        <f>IF(K465="W",IF(G465&lt;0,H465*100/ABS(G465),H465*G465/100),IF(K465="L",-H465,0))</f>
        <v/>
      </c>
      <c r="M465" s="20">
        <f>Settings!$B$4+SUM(L$2:L465)</f>
        <v/>
      </c>
    </row>
    <row r="466">
      <c r="J466" s="16">
        <f>IF(I466="","",I466-F466)</f>
        <v/>
      </c>
      <c r="L466" s="20">
        <f>IF(K466="W",IF(G466&lt;0,H466*100/ABS(G466),H466*G466/100),IF(K466="L",-H466,0))</f>
        <v/>
      </c>
      <c r="M466" s="20">
        <f>Settings!$B$4+SUM(L$2:L466)</f>
        <v/>
      </c>
    </row>
    <row r="467">
      <c r="J467" s="16">
        <f>IF(I467="","",I467-F467)</f>
        <v/>
      </c>
      <c r="L467" s="20">
        <f>IF(K467="W",IF(G467&lt;0,H467*100/ABS(G467),H467*G467/100),IF(K467="L",-H467,0))</f>
        <v/>
      </c>
      <c r="M467" s="20">
        <f>Settings!$B$4+SUM(L$2:L467)</f>
        <v/>
      </c>
    </row>
    <row r="468">
      <c r="J468" s="16">
        <f>IF(I468="","",I468-F468)</f>
        <v/>
      </c>
      <c r="L468" s="20">
        <f>IF(K468="W",IF(G468&lt;0,H468*100/ABS(G468),H468*G468/100),IF(K468="L",-H468,0))</f>
        <v/>
      </c>
      <c r="M468" s="20">
        <f>Settings!$B$4+SUM(L$2:L468)</f>
        <v/>
      </c>
    </row>
    <row r="469">
      <c r="J469" s="16">
        <f>IF(I469="","",I469-F469)</f>
        <v/>
      </c>
      <c r="L469" s="20">
        <f>IF(K469="W",IF(G469&lt;0,H469*100/ABS(G469),H469*G469/100),IF(K469="L",-H469,0))</f>
        <v/>
      </c>
      <c r="M469" s="20">
        <f>Settings!$B$4+SUM(L$2:L469)</f>
        <v/>
      </c>
    </row>
    <row r="470">
      <c r="J470" s="16">
        <f>IF(I470="","",I470-F470)</f>
        <v/>
      </c>
      <c r="L470" s="20">
        <f>IF(K470="W",IF(G470&lt;0,H470*100/ABS(G470),H470*G470/100),IF(K470="L",-H470,0))</f>
        <v/>
      </c>
      <c r="M470" s="20">
        <f>Settings!$B$4+SUM(L$2:L470)</f>
        <v/>
      </c>
    </row>
    <row r="471">
      <c r="J471" s="16">
        <f>IF(I471="","",I471-F471)</f>
        <v/>
      </c>
      <c r="L471" s="20">
        <f>IF(K471="W",IF(G471&lt;0,H471*100/ABS(G471),H471*G471/100),IF(K471="L",-H471,0))</f>
        <v/>
      </c>
      <c r="M471" s="20">
        <f>Settings!$B$4+SUM(L$2:L471)</f>
        <v/>
      </c>
    </row>
    <row r="472">
      <c r="J472" s="16">
        <f>IF(I472="","",I472-F472)</f>
        <v/>
      </c>
      <c r="L472" s="20">
        <f>IF(K472="W",IF(G472&lt;0,H472*100/ABS(G472),H472*G472/100),IF(K472="L",-H472,0))</f>
        <v/>
      </c>
      <c r="M472" s="20">
        <f>Settings!$B$4+SUM(L$2:L472)</f>
        <v/>
      </c>
    </row>
    <row r="473">
      <c r="J473" s="16">
        <f>IF(I473="","",I473-F473)</f>
        <v/>
      </c>
      <c r="L473" s="20">
        <f>IF(K473="W",IF(G473&lt;0,H473*100/ABS(G473),H473*G473/100),IF(K473="L",-H473,0))</f>
        <v/>
      </c>
      <c r="M473" s="20">
        <f>Settings!$B$4+SUM(L$2:L473)</f>
        <v/>
      </c>
    </row>
    <row r="474">
      <c r="J474" s="16">
        <f>IF(I474="","",I474-F474)</f>
        <v/>
      </c>
      <c r="L474" s="20">
        <f>IF(K474="W",IF(G474&lt;0,H474*100/ABS(G474),H474*G474/100),IF(K474="L",-H474,0))</f>
        <v/>
      </c>
      <c r="M474" s="20">
        <f>Settings!$B$4+SUM(L$2:L474)</f>
        <v/>
      </c>
    </row>
    <row r="475">
      <c r="J475" s="16">
        <f>IF(I475="","",I475-F475)</f>
        <v/>
      </c>
      <c r="L475" s="20">
        <f>IF(K475="W",IF(G475&lt;0,H475*100/ABS(G475),H475*G475/100),IF(K475="L",-H475,0))</f>
        <v/>
      </c>
      <c r="M475" s="20">
        <f>Settings!$B$4+SUM(L$2:L475)</f>
        <v/>
      </c>
    </row>
    <row r="476">
      <c r="J476" s="16">
        <f>IF(I476="","",I476-F476)</f>
        <v/>
      </c>
      <c r="L476" s="20">
        <f>IF(K476="W",IF(G476&lt;0,H476*100/ABS(G476),H476*G476/100),IF(K476="L",-H476,0))</f>
        <v/>
      </c>
      <c r="M476" s="20">
        <f>Settings!$B$4+SUM(L$2:L476)</f>
        <v/>
      </c>
    </row>
    <row r="477">
      <c r="J477" s="16">
        <f>IF(I477="","",I477-F477)</f>
        <v/>
      </c>
      <c r="L477" s="20">
        <f>IF(K477="W",IF(G477&lt;0,H477*100/ABS(G477),H477*G477/100),IF(K477="L",-H477,0))</f>
        <v/>
      </c>
      <c r="M477" s="20">
        <f>Settings!$B$4+SUM(L$2:L477)</f>
        <v/>
      </c>
    </row>
    <row r="478">
      <c r="J478" s="16">
        <f>IF(I478="","",I478-F478)</f>
        <v/>
      </c>
      <c r="L478" s="20">
        <f>IF(K478="W",IF(G478&lt;0,H478*100/ABS(G478),H478*G478/100),IF(K478="L",-H478,0))</f>
        <v/>
      </c>
      <c r="M478" s="20">
        <f>Settings!$B$4+SUM(L$2:L478)</f>
        <v/>
      </c>
    </row>
    <row r="479">
      <c r="J479" s="16">
        <f>IF(I479="","",I479-F479)</f>
        <v/>
      </c>
      <c r="L479" s="20">
        <f>IF(K479="W",IF(G479&lt;0,H479*100/ABS(G479),H479*G479/100),IF(K479="L",-H479,0))</f>
        <v/>
      </c>
      <c r="M479" s="20">
        <f>Settings!$B$4+SUM(L$2:L479)</f>
        <v/>
      </c>
    </row>
    <row r="480">
      <c r="J480" s="16">
        <f>IF(I480="","",I480-F480)</f>
        <v/>
      </c>
      <c r="L480" s="20">
        <f>IF(K480="W",IF(G480&lt;0,H480*100/ABS(G480),H480*G480/100),IF(K480="L",-H480,0))</f>
        <v/>
      </c>
      <c r="M480" s="20">
        <f>Settings!$B$4+SUM(L$2:L480)</f>
        <v/>
      </c>
    </row>
    <row r="481">
      <c r="J481" s="16">
        <f>IF(I481="","",I481-F481)</f>
        <v/>
      </c>
      <c r="L481" s="20">
        <f>IF(K481="W",IF(G481&lt;0,H481*100/ABS(G481),H481*G481/100),IF(K481="L",-H481,0))</f>
        <v/>
      </c>
      <c r="M481" s="20">
        <f>Settings!$B$4+SUM(L$2:L481)</f>
        <v/>
      </c>
    </row>
    <row r="482">
      <c r="J482" s="16">
        <f>IF(I482="","",I482-F482)</f>
        <v/>
      </c>
      <c r="L482" s="20">
        <f>IF(K482="W",IF(G482&lt;0,H482*100/ABS(G482),H482*G482/100),IF(K482="L",-H482,0))</f>
        <v/>
      </c>
      <c r="M482" s="20">
        <f>Settings!$B$4+SUM(L$2:L482)</f>
        <v/>
      </c>
    </row>
    <row r="483">
      <c r="J483" s="16">
        <f>IF(I483="","",I483-F483)</f>
        <v/>
      </c>
      <c r="L483" s="20">
        <f>IF(K483="W",IF(G483&lt;0,H483*100/ABS(G483),H483*G483/100),IF(K483="L",-H483,0))</f>
        <v/>
      </c>
      <c r="M483" s="20">
        <f>Settings!$B$4+SUM(L$2:L483)</f>
        <v/>
      </c>
    </row>
    <row r="484">
      <c r="J484" s="16">
        <f>IF(I484="","",I484-F484)</f>
        <v/>
      </c>
      <c r="L484" s="20">
        <f>IF(K484="W",IF(G484&lt;0,H484*100/ABS(G484),H484*G484/100),IF(K484="L",-H484,0))</f>
        <v/>
      </c>
      <c r="M484" s="20">
        <f>Settings!$B$4+SUM(L$2:L484)</f>
        <v/>
      </c>
    </row>
    <row r="485">
      <c r="J485" s="16">
        <f>IF(I485="","",I485-F485)</f>
        <v/>
      </c>
      <c r="L485" s="20">
        <f>IF(K485="W",IF(G485&lt;0,H485*100/ABS(G485),H485*G485/100),IF(K485="L",-H485,0))</f>
        <v/>
      </c>
      <c r="M485" s="20">
        <f>Settings!$B$4+SUM(L$2:L485)</f>
        <v/>
      </c>
    </row>
    <row r="486">
      <c r="J486" s="16">
        <f>IF(I486="","",I486-F486)</f>
        <v/>
      </c>
      <c r="L486" s="20">
        <f>IF(K486="W",IF(G486&lt;0,H486*100/ABS(G486),H486*G486/100),IF(K486="L",-H486,0))</f>
        <v/>
      </c>
      <c r="M486" s="20">
        <f>Settings!$B$4+SUM(L$2:L486)</f>
        <v/>
      </c>
    </row>
    <row r="487">
      <c r="J487" s="16">
        <f>IF(I487="","",I487-F487)</f>
        <v/>
      </c>
      <c r="L487" s="20">
        <f>IF(K487="W",IF(G487&lt;0,H487*100/ABS(G487),H487*G487/100),IF(K487="L",-H487,0))</f>
        <v/>
      </c>
      <c r="M487" s="20">
        <f>Settings!$B$4+SUM(L$2:L487)</f>
        <v/>
      </c>
    </row>
    <row r="488">
      <c r="J488" s="16">
        <f>IF(I488="","",I488-F488)</f>
        <v/>
      </c>
      <c r="L488" s="20">
        <f>IF(K488="W",IF(G488&lt;0,H488*100/ABS(G488),H488*G488/100),IF(K488="L",-H488,0))</f>
        <v/>
      </c>
      <c r="M488" s="20">
        <f>Settings!$B$4+SUM(L$2:L488)</f>
        <v/>
      </c>
    </row>
    <row r="489">
      <c r="J489" s="16">
        <f>IF(I489="","",I489-F489)</f>
        <v/>
      </c>
      <c r="L489" s="20">
        <f>IF(K489="W",IF(G489&lt;0,H489*100/ABS(G489),H489*G489/100),IF(K489="L",-H489,0))</f>
        <v/>
      </c>
      <c r="M489" s="20">
        <f>Settings!$B$4+SUM(L$2:L489)</f>
        <v/>
      </c>
    </row>
    <row r="490">
      <c r="J490" s="16">
        <f>IF(I490="","",I490-F490)</f>
        <v/>
      </c>
      <c r="L490" s="20">
        <f>IF(K490="W",IF(G490&lt;0,H490*100/ABS(G490),H490*G490/100),IF(K490="L",-H490,0))</f>
        <v/>
      </c>
      <c r="M490" s="20">
        <f>Settings!$B$4+SUM(L$2:L490)</f>
        <v/>
      </c>
    </row>
    <row r="491">
      <c r="J491" s="16">
        <f>IF(I491="","",I491-F491)</f>
        <v/>
      </c>
      <c r="L491" s="20">
        <f>IF(K491="W",IF(G491&lt;0,H491*100/ABS(G491),H491*G491/100),IF(K491="L",-H491,0))</f>
        <v/>
      </c>
      <c r="M491" s="20">
        <f>Settings!$B$4+SUM(L$2:L491)</f>
        <v/>
      </c>
    </row>
    <row r="492">
      <c r="J492" s="16">
        <f>IF(I492="","",I492-F492)</f>
        <v/>
      </c>
      <c r="L492" s="20">
        <f>IF(K492="W",IF(G492&lt;0,H492*100/ABS(G492),H492*G492/100),IF(K492="L",-H492,0))</f>
        <v/>
      </c>
      <c r="M492" s="20">
        <f>Settings!$B$4+SUM(L$2:L492)</f>
        <v/>
      </c>
    </row>
    <row r="493">
      <c r="J493" s="16">
        <f>IF(I493="","",I493-F493)</f>
        <v/>
      </c>
      <c r="L493" s="20">
        <f>IF(K493="W",IF(G493&lt;0,H493*100/ABS(G493),H493*G493/100),IF(K493="L",-H493,0))</f>
        <v/>
      </c>
      <c r="M493" s="20">
        <f>Settings!$B$4+SUM(L$2:L493)</f>
        <v/>
      </c>
    </row>
    <row r="494">
      <c r="J494" s="16">
        <f>IF(I494="","",I494-F494)</f>
        <v/>
      </c>
      <c r="L494" s="20">
        <f>IF(K494="W",IF(G494&lt;0,H494*100/ABS(G494),H494*G494/100),IF(K494="L",-H494,0))</f>
        <v/>
      </c>
      <c r="M494" s="20">
        <f>Settings!$B$4+SUM(L$2:L494)</f>
        <v/>
      </c>
    </row>
    <row r="495">
      <c r="J495" s="16">
        <f>IF(I495="","",I495-F495)</f>
        <v/>
      </c>
      <c r="L495" s="20">
        <f>IF(K495="W",IF(G495&lt;0,H495*100/ABS(G495),H495*G495/100),IF(K495="L",-H495,0))</f>
        <v/>
      </c>
      <c r="M495" s="20">
        <f>Settings!$B$4+SUM(L$2:L495)</f>
        <v/>
      </c>
    </row>
    <row r="496">
      <c r="J496" s="16">
        <f>IF(I496="","",I496-F496)</f>
        <v/>
      </c>
      <c r="L496" s="20">
        <f>IF(K496="W",IF(G496&lt;0,H496*100/ABS(G496),H496*G496/100),IF(K496="L",-H496,0))</f>
        <v/>
      </c>
      <c r="M496" s="20">
        <f>Settings!$B$4+SUM(L$2:L496)</f>
        <v/>
      </c>
    </row>
    <row r="497">
      <c r="J497" s="16">
        <f>IF(I497="","",I497-F497)</f>
        <v/>
      </c>
      <c r="L497" s="20">
        <f>IF(K497="W",IF(G497&lt;0,H497*100/ABS(G497),H497*G497/100),IF(K497="L",-H497,0))</f>
        <v/>
      </c>
      <c r="M497" s="20">
        <f>Settings!$B$4+SUM(L$2:L497)</f>
        <v/>
      </c>
    </row>
    <row r="498">
      <c r="J498" s="16">
        <f>IF(I498="","",I498-F498)</f>
        <v/>
      </c>
      <c r="L498" s="20">
        <f>IF(K498="W",IF(G498&lt;0,H498*100/ABS(G498),H498*G498/100),IF(K498="L",-H498,0))</f>
        <v/>
      </c>
      <c r="M498" s="20">
        <f>Settings!$B$4+SUM(L$2:L498)</f>
        <v/>
      </c>
    </row>
    <row r="499">
      <c r="J499" s="16">
        <f>IF(I499="","",I499-F499)</f>
        <v/>
      </c>
      <c r="L499" s="20">
        <f>IF(K499="W",IF(G499&lt;0,H499*100/ABS(G499),H499*G499/100),IF(K499="L",-H499,0))</f>
        <v/>
      </c>
      <c r="M499" s="20">
        <f>Settings!$B$4+SUM(L$2:L499)</f>
        <v/>
      </c>
    </row>
    <row r="500">
      <c r="J500" s="16">
        <f>IF(I500="","",I500-F500)</f>
        <v/>
      </c>
      <c r="L500" s="20">
        <f>IF(K500="W",IF(G500&lt;0,H500*100/ABS(G500),H500*G500/100),IF(K500="L",-H500,0))</f>
        <v/>
      </c>
      <c r="M500" s="20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1760.7</v>
      </c>
      <c r="E2" s="9" t="n">
        <v>4.2</v>
      </c>
      <c r="F2" s="9" t="n">
        <v>0.156824607490598</v>
      </c>
      <c r="G2" s="9" t="n">
        <v>-0.1560976801881319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1583.6</v>
      </c>
      <c r="E3" s="9" t="n">
        <v>-2.7</v>
      </c>
      <c r="F3" s="9" t="n">
        <v>-0.05248930944528065</v>
      </c>
      <c r="G3" s="9" t="n">
        <v>0.1471056400027093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1575.5</v>
      </c>
      <c r="E4" s="9" t="n">
        <v>5</v>
      </c>
      <c r="F4" s="9" t="n">
        <v>0.1020851442163246</v>
      </c>
      <c r="G4" s="9" t="n">
        <v>-0.2195335782064906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1506.1</v>
      </c>
      <c r="E5" s="9" t="n">
        <v>-5.8</v>
      </c>
      <c r="F5" s="9" t="n">
        <v>0.03294096360944201</v>
      </c>
      <c r="G5" s="9" t="n">
        <v>0.1296644642024742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1489.8</v>
      </c>
      <c r="E6" s="9" t="n">
        <v>-0.1</v>
      </c>
      <c r="F6" s="9" t="n">
        <v>0.3168724868895267</v>
      </c>
      <c r="G6" s="9" t="n">
        <v>-0.07900441286649691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1399.2</v>
      </c>
      <c r="E7" s="9" t="n">
        <v>-13.7</v>
      </c>
      <c r="F7" s="9" t="n">
        <v>0.04058174869502743</v>
      </c>
      <c r="G7" s="9" t="n">
        <v>0.1412199979036408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1385.2</v>
      </c>
      <c r="E8" s="9" t="n">
        <v>-16.9</v>
      </c>
      <c r="F8" s="9" t="n">
        <v>-0.1421253070922879</v>
      </c>
      <c r="G8" s="9" t="n">
        <v>0.1376337108568448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1428.8</v>
      </c>
      <c r="E9" s="9" t="n">
        <v>-12.5</v>
      </c>
      <c r="F9" s="9" t="n">
        <v>0.08220884405806574</v>
      </c>
      <c r="G9" s="9" t="n">
        <v>0.06609743084098561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1393.9</v>
      </c>
      <c r="E10" s="9" t="n">
        <v>-7.6</v>
      </c>
      <c r="F10" s="9" t="n">
        <v>0.07825850329211136</v>
      </c>
      <c r="G10" s="9" t="n">
        <v>0.1036882953044283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1375.4</v>
      </c>
      <c r="E11" s="9" t="n">
        <v>-16.2</v>
      </c>
      <c r="F11" s="9" t="n">
        <v>-0.1670547546022537</v>
      </c>
      <c r="G11" s="9" t="n">
        <v>0.2343692976201658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7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1" customWidth="1" min="18" max="18"/>
    <col width="11" customWidth="1" min="19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21" t="inlineStr">
        <is>
          <t>Dub Gamma vs. Ridge vs. XGBoost vs. Massey -- Model Comparison</t>
        </is>
      </c>
    </row>
    <row r="2">
      <c r="A2" s="22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can still read "n/a" for a game in the live Upcoming Games table below in one specific case -- not enough completed games yet this season to solve its rating system from (typically just week 1).</t>
        </is>
      </c>
    </row>
    <row r="4">
      <c r="A4" s="23" t="inlineStr">
        <is>
          <t>All-Time (every season in the backtest)</t>
        </is>
      </c>
    </row>
    <row r="5">
      <c r="A5" s="24" t="inlineStr">
        <is>
          <t>Model</t>
        </is>
      </c>
      <c r="B5" s="24" t="inlineStr">
        <is>
          <t>Games Graded</t>
        </is>
      </c>
      <c r="C5" s="24" t="inlineStr">
        <is>
          <t>Picks Graded</t>
        </is>
      </c>
      <c r="D5" s="24" t="inlineStr">
        <is>
          <t>Wins</t>
        </is>
      </c>
      <c r="E5" s="24" t="inlineStr">
        <is>
          <t>Losses</t>
        </is>
      </c>
      <c r="F5" s="24" t="inlineStr">
        <is>
          <t>Pushes</t>
        </is>
      </c>
      <c r="G5" s="24" t="inlineStr">
        <is>
          <t>ATS Win %</t>
        </is>
      </c>
      <c r="H5" s="24" t="inlineStr">
        <is>
          <t>ROI (flat stake)</t>
        </is>
      </c>
      <c r="I5" s="24" t="inlineStr">
        <is>
          <t>Real Edge Bets</t>
        </is>
      </c>
      <c r="J5" s="24" t="inlineStr">
        <is>
          <t>Real Edge Win %</t>
        </is>
      </c>
      <c r="K5" s="24" t="inlineStr">
        <is>
          <t>Tightest Of The Four (CLV)</t>
        </is>
      </c>
      <c r="L5" s="24" t="inlineStr">
        <is>
          <t>CLV Pts (cum.)</t>
        </is>
      </c>
    </row>
    <row r="6">
      <c r="A6" s="25" t="inlineStr">
        <is>
          <t>Dub Gamma Model (live model) -- all FBS</t>
        </is>
      </c>
      <c r="B6" s="25" t="n">
        <v>8693</v>
      </c>
      <c r="C6" s="25" t="n">
        <v>257</v>
      </c>
      <c r="D6" s="25" t="n">
        <v>145</v>
      </c>
      <c r="E6" s="25" t="n">
        <v>112</v>
      </c>
      <c r="F6" s="25" t="n">
        <v>3</v>
      </c>
      <c r="G6" s="25" t="inlineStr">
        <is>
          <t>56.4%</t>
        </is>
      </c>
      <c r="H6" s="25" t="inlineStr">
        <is>
          <t>+7.7%</t>
        </is>
      </c>
      <c r="I6" s="25" t="n">
        <v>213</v>
      </c>
      <c r="J6" s="25" t="inlineStr">
        <is>
          <t>55.7%</t>
        </is>
      </c>
      <c r="K6" s="25" t="inlineStr">
        <is>
          <t>98/260 (38%)</t>
        </is>
      </c>
      <c r="L6" s="25" t="inlineStr">
        <is>
          <t>+807.5</t>
        </is>
      </c>
    </row>
    <row r="7">
      <c r="A7" s="25" t="inlineStr">
        <is>
          <t>Dub Gamma Model (live model) -- MW-involved</t>
        </is>
      </c>
      <c r="B7" s="25" t="n">
        <v>985</v>
      </c>
      <c r="C7" s="25" t="n">
        <v>29</v>
      </c>
      <c r="D7" s="25" t="n">
        <v>20</v>
      </c>
      <c r="E7" s="25" t="n">
        <v>9</v>
      </c>
      <c r="F7" s="25" t="n">
        <v>0</v>
      </c>
      <c r="G7" s="25" t="inlineStr">
        <is>
          <t>69.0%</t>
        </is>
      </c>
      <c r="H7" s="25" t="inlineStr">
        <is>
          <t>+31.7%</t>
        </is>
      </c>
      <c r="I7" s="25" t="n">
        <v>26</v>
      </c>
      <c r="J7" s="25" t="inlineStr">
        <is>
          <t>65.4%</t>
        </is>
      </c>
      <c r="K7" s="25" t="inlineStr">
        <is>
          <t>7/29 (24%)</t>
        </is>
      </c>
      <c r="L7" s="25" t="inlineStr">
        <is>
          <t>+106.1</t>
        </is>
      </c>
    </row>
    <row r="8">
      <c r="A8" s="25" t="inlineStr">
        <is>
          <t>Ridge (candidate) -- all FBS</t>
        </is>
      </c>
      <c r="B8" s="25" t="n">
        <v>8693</v>
      </c>
      <c r="C8" s="25" t="n">
        <v>8622</v>
      </c>
      <c r="D8" s="25" t="n">
        <v>4316</v>
      </c>
      <c r="E8" s="25" t="n">
        <v>4306</v>
      </c>
      <c r="F8" s="25" t="n">
        <v>71</v>
      </c>
      <c r="G8" s="25" t="inlineStr">
        <is>
          <t>50.1%</t>
        </is>
      </c>
      <c r="H8" s="25" t="inlineStr">
        <is>
          <t>-4.4%</t>
        </is>
      </c>
      <c r="I8" s="25" t="n">
        <v>6826</v>
      </c>
      <c r="J8" s="25" t="inlineStr">
        <is>
          <t>49.8%</t>
        </is>
      </c>
      <c r="K8" s="25" t="inlineStr">
        <is>
          <t>2653/8693 (31%)</t>
        </is>
      </c>
      <c r="L8" s="25" t="inlineStr">
        <is>
          <t>+5473.7</t>
        </is>
      </c>
    </row>
    <row r="9">
      <c r="A9" s="25" t="inlineStr">
        <is>
          <t>Ridge (candidate) -- MW-involved</t>
        </is>
      </c>
      <c r="B9" s="25" t="n">
        <v>985</v>
      </c>
      <c r="C9" s="25" t="n">
        <v>973</v>
      </c>
      <c r="D9" s="25" t="n">
        <v>498</v>
      </c>
      <c r="E9" s="25" t="n">
        <v>475</v>
      </c>
      <c r="F9" s="25" t="n">
        <v>12</v>
      </c>
      <c r="G9" s="25" t="inlineStr">
        <is>
          <t>51.2%</t>
        </is>
      </c>
      <c r="H9" s="25" t="inlineStr">
        <is>
          <t>-2.3%</t>
        </is>
      </c>
      <c r="I9" s="25" t="n">
        <v>789</v>
      </c>
      <c r="J9" s="25" t="inlineStr">
        <is>
          <t>49.7%</t>
        </is>
      </c>
      <c r="K9" s="25" t="inlineStr">
        <is>
          <t>297/985 (30%)</t>
        </is>
      </c>
      <c r="L9" s="25" t="inlineStr">
        <is>
          <t>+608.7</t>
        </is>
      </c>
    </row>
    <row r="10">
      <c r="A10" s="25" t="inlineStr">
        <is>
          <t>XGBoost (candidate) -- all FBS</t>
        </is>
      </c>
      <c r="B10" s="25" t="n">
        <v>8693</v>
      </c>
      <c r="C10" s="25" t="n">
        <v>8622</v>
      </c>
      <c r="D10" s="25" t="n">
        <v>4333</v>
      </c>
      <c r="E10" s="25" t="n">
        <v>4289</v>
      </c>
      <c r="F10" s="25" t="n">
        <v>71</v>
      </c>
      <c r="G10" s="25" t="inlineStr">
        <is>
          <t>50.3%</t>
        </is>
      </c>
      <c r="H10" s="25" t="inlineStr">
        <is>
          <t>-4.1%</t>
        </is>
      </c>
      <c r="I10" s="25" t="n">
        <v>6762</v>
      </c>
      <c r="J10" s="25" t="inlineStr">
        <is>
          <t>50.7%</t>
        </is>
      </c>
      <c r="K10" s="25" t="inlineStr">
        <is>
          <t>3097/8693 (36%)</t>
        </is>
      </c>
      <c r="L10" s="25" t="inlineStr">
        <is>
          <t>+98.7</t>
        </is>
      </c>
    </row>
    <row r="11">
      <c r="A11" s="25" t="inlineStr">
        <is>
          <t>XGBoost (candidate) -- MW-involved</t>
        </is>
      </c>
      <c r="B11" s="25" t="n">
        <v>985</v>
      </c>
      <c r="C11" s="25" t="n">
        <v>973</v>
      </c>
      <c r="D11" s="25" t="n">
        <v>493</v>
      </c>
      <c r="E11" s="25" t="n">
        <v>480</v>
      </c>
      <c r="F11" s="25" t="n">
        <v>12</v>
      </c>
      <c r="G11" s="25" t="inlineStr">
        <is>
          <t>50.7%</t>
        </is>
      </c>
      <c r="H11" s="25" t="inlineStr">
        <is>
          <t>-3.3%</t>
        </is>
      </c>
      <c r="I11" s="25" t="n">
        <v>758</v>
      </c>
      <c r="J11" s="25" t="inlineStr">
        <is>
          <t>51.6%</t>
        </is>
      </c>
      <c r="K11" s="25" t="inlineStr">
        <is>
          <t>340/985 (35%)</t>
        </is>
      </c>
      <c r="L11" s="25" t="inlineStr">
        <is>
          <t>+785.8</t>
        </is>
      </c>
    </row>
    <row r="12">
      <c r="A12" s="25" t="inlineStr">
        <is>
          <t>Massey (candidate) -- all FBS</t>
        </is>
      </c>
      <c r="B12" s="25" t="n">
        <v>8693</v>
      </c>
      <c r="C12" s="25" t="n">
        <v>7443</v>
      </c>
      <c r="D12" s="25" t="n">
        <v>3761</v>
      </c>
      <c r="E12" s="25" t="n">
        <v>3682</v>
      </c>
      <c r="F12" s="25" t="n">
        <v>61</v>
      </c>
      <c r="G12" s="25" t="inlineStr">
        <is>
          <t>50.5%</t>
        </is>
      </c>
      <c r="H12" s="25" t="inlineStr">
        <is>
          <t>-3.5%</t>
        </is>
      </c>
      <c r="I12" s="25" t="n">
        <v>5678</v>
      </c>
      <c r="J12" s="25" t="inlineStr">
        <is>
          <t>50.6%</t>
        </is>
      </c>
      <c r="K12" s="25" t="inlineStr">
        <is>
          <t>2845/7504 (38%)</t>
        </is>
      </c>
      <c r="L12" s="25" t="inlineStr">
        <is>
          <t>-10816.4</t>
        </is>
      </c>
    </row>
    <row r="13">
      <c r="A13" s="25" t="inlineStr">
        <is>
          <t>Massey (candidate) -- MW-involved</t>
        </is>
      </c>
      <c r="B13" s="25" t="n">
        <v>985</v>
      </c>
      <c r="C13" s="25" t="n">
        <v>832</v>
      </c>
      <c r="D13" s="25" t="n">
        <v>421</v>
      </c>
      <c r="E13" s="25" t="n">
        <v>411</v>
      </c>
      <c r="F13" s="25" t="n">
        <v>10</v>
      </c>
      <c r="G13" s="25" t="inlineStr">
        <is>
          <t>50.6%</t>
        </is>
      </c>
      <c r="H13" s="25" t="inlineStr">
        <is>
          <t>-3.4%</t>
        </is>
      </c>
      <c r="I13" s="25" t="n">
        <v>633</v>
      </c>
      <c r="J13" s="25" t="inlineStr">
        <is>
          <t>50.5%</t>
        </is>
      </c>
      <c r="K13" s="25" t="inlineStr">
        <is>
          <t>341/842 (40%)</t>
        </is>
      </c>
      <c r="L13" s="25" t="inlineStr">
        <is>
          <t>-206.1</t>
        </is>
      </c>
    </row>
    <row r="15">
      <c r="A15" s="23" t="inlineStr">
        <is>
          <t>2026 Season Only</t>
        </is>
      </c>
    </row>
    <row r="16">
      <c r="A16" s="24" t="inlineStr">
        <is>
          <t>Model</t>
        </is>
      </c>
      <c r="B16" s="24" t="inlineStr">
        <is>
          <t>Games Graded</t>
        </is>
      </c>
      <c r="C16" s="24" t="inlineStr">
        <is>
          <t>Picks Graded</t>
        </is>
      </c>
      <c r="D16" s="24" t="inlineStr">
        <is>
          <t>Wins</t>
        </is>
      </c>
      <c r="E16" s="24" t="inlineStr">
        <is>
          <t>Losses</t>
        </is>
      </c>
      <c r="F16" s="24" t="inlineStr">
        <is>
          <t>Pushes</t>
        </is>
      </c>
      <c r="G16" s="24" t="inlineStr">
        <is>
          <t>ATS Win %</t>
        </is>
      </c>
      <c r="H16" s="24" t="inlineStr">
        <is>
          <t>ROI (flat stake)</t>
        </is>
      </c>
      <c r="I16" s="24" t="inlineStr">
        <is>
          <t>Real Edge Bets</t>
        </is>
      </c>
      <c r="J16" s="24" t="inlineStr">
        <is>
          <t>Real Edge Win %</t>
        </is>
      </c>
      <c r="K16" s="24" t="inlineStr">
        <is>
          <t>Tightest Of The Four (CLV)</t>
        </is>
      </c>
      <c r="L16" s="24" t="inlineStr">
        <is>
          <t>CLV Pts (cum.)</t>
        </is>
      </c>
    </row>
    <row r="17">
      <c r="A17" s="25" t="inlineStr">
        <is>
          <t>Dub Gamma Model (live model) -- all FBS</t>
        </is>
      </c>
      <c r="B17" s="25" t="n">
        <v>260</v>
      </c>
      <c r="C17" s="25" t="n">
        <v>257</v>
      </c>
      <c r="D17" s="25" t="n">
        <v>145</v>
      </c>
      <c r="E17" s="25" t="n">
        <v>112</v>
      </c>
      <c r="F17" s="25" t="n">
        <v>3</v>
      </c>
      <c r="G17" s="25" t="inlineStr">
        <is>
          <t>56.4%</t>
        </is>
      </c>
      <c r="H17" s="25" t="inlineStr">
        <is>
          <t>+7.7%</t>
        </is>
      </c>
      <c r="I17" s="25" t="n">
        <v>213</v>
      </c>
      <c r="J17" s="25" t="inlineStr">
        <is>
          <t>55.7%</t>
        </is>
      </c>
      <c r="K17" s="25" t="inlineStr">
        <is>
          <t>98/260 (38%)</t>
        </is>
      </c>
      <c r="L17" s="25" t="inlineStr">
        <is>
          <t>+807.5</t>
        </is>
      </c>
    </row>
    <row r="18">
      <c r="A18" s="25" t="inlineStr">
        <is>
          <t>Dub Gamma Model (live model) -- MW-involved</t>
        </is>
      </c>
      <c r="B18" s="25" t="n">
        <v>29</v>
      </c>
      <c r="C18" s="25" t="n">
        <v>29</v>
      </c>
      <c r="D18" s="25" t="n">
        <v>20</v>
      </c>
      <c r="E18" s="25" t="n">
        <v>9</v>
      </c>
      <c r="F18" s="25" t="n">
        <v>0</v>
      </c>
      <c r="G18" s="25" t="inlineStr">
        <is>
          <t>69.0%</t>
        </is>
      </c>
      <c r="H18" s="25" t="inlineStr">
        <is>
          <t>+31.7%</t>
        </is>
      </c>
      <c r="I18" s="25" t="n">
        <v>26</v>
      </c>
      <c r="J18" s="25" t="inlineStr">
        <is>
          <t>65.4%</t>
        </is>
      </c>
      <c r="K18" s="25" t="inlineStr">
        <is>
          <t>7/29 (24%)</t>
        </is>
      </c>
      <c r="L18" s="25" t="inlineStr">
        <is>
          <t>+106.1</t>
        </is>
      </c>
    </row>
    <row r="19">
      <c r="A19" s="25" t="inlineStr">
        <is>
          <t>Ridge (candidate) -- all FBS</t>
        </is>
      </c>
      <c r="B19" s="25" t="n">
        <v>260</v>
      </c>
      <c r="C19" s="25" t="n">
        <v>257</v>
      </c>
      <c r="D19" s="25" t="n">
        <v>121</v>
      </c>
      <c r="E19" s="25" t="n">
        <v>136</v>
      </c>
      <c r="F19" s="25" t="n">
        <v>3</v>
      </c>
      <c r="G19" s="25" t="inlineStr">
        <is>
          <t>47.1%</t>
        </is>
      </c>
      <c r="H19" s="25" t="inlineStr">
        <is>
          <t>-10.1%</t>
        </is>
      </c>
      <c r="I19" s="25" t="n">
        <v>230</v>
      </c>
      <c r="J19" s="25" t="inlineStr">
        <is>
          <t>47.1%</t>
        </is>
      </c>
      <c r="K19" s="25" t="inlineStr">
        <is>
          <t>66/260 (25%)</t>
        </is>
      </c>
      <c r="L19" s="25" t="inlineStr">
        <is>
          <t>-621.2</t>
        </is>
      </c>
    </row>
    <row r="20">
      <c r="A20" s="25" t="inlineStr">
        <is>
          <t>Ridge (candidate) -- MW-involved</t>
        </is>
      </c>
      <c r="B20" s="25" t="n">
        <v>29</v>
      </c>
      <c r="C20" s="25" t="n">
        <v>29</v>
      </c>
      <c r="D20" s="25" t="n">
        <v>17</v>
      </c>
      <c r="E20" s="25" t="n">
        <v>12</v>
      </c>
      <c r="F20" s="25" t="n">
        <v>0</v>
      </c>
      <c r="G20" s="25" t="inlineStr">
        <is>
          <t>58.6%</t>
        </is>
      </c>
      <c r="H20" s="25" t="inlineStr">
        <is>
          <t>+11.9%</t>
        </is>
      </c>
      <c r="I20" s="25" t="n">
        <v>24</v>
      </c>
      <c r="J20" s="25" t="inlineStr">
        <is>
          <t>54.2%</t>
        </is>
      </c>
      <c r="K20" s="25" t="inlineStr">
        <is>
          <t>7/29 (24%)</t>
        </is>
      </c>
      <c r="L20" s="25" t="inlineStr">
        <is>
          <t>+19.1</t>
        </is>
      </c>
    </row>
    <row r="21">
      <c r="A21" s="25" t="inlineStr">
        <is>
          <t>XGBoost (candidate) -- all FBS</t>
        </is>
      </c>
      <c r="B21" s="25" t="n">
        <v>260</v>
      </c>
      <c r="C21" s="25" t="n">
        <v>257</v>
      </c>
      <c r="D21" s="25" t="n">
        <v>125</v>
      </c>
      <c r="E21" s="25" t="n">
        <v>132</v>
      </c>
      <c r="F21" s="25" t="n">
        <v>3</v>
      </c>
      <c r="G21" s="25" t="inlineStr">
        <is>
          <t>48.6%</t>
        </is>
      </c>
      <c r="H21" s="25" t="inlineStr">
        <is>
          <t>-7.1%</t>
        </is>
      </c>
      <c r="I21" s="25" t="n">
        <v>217</v>
      </c>
      <c r="J21" s="25" t="inlineStr">
        <is>
          <t>48.1%</t>
        </is>
      </c>
      <c r="K21" s="25" t="inlineStr">
        <is>
          <t>77/260 (30%)</t>
        </is>
      </c>
      <c r="L21" s="25" t="inlineStr">
        <is>
          <t>-592.6</t>
        </is>
      </c>
    </row>
    <row r="22">
      <c r="A22" s="25" t="inlineStr">
        <is>
          <t>XGBoost (candidate) -- MW-involved</t>
        </is>
      </c>
      <c r="B22" s="25" t="n">
        <v>29</v>
      </c>
      <c r="C22" s="25" t="n">
        <v>29</v>
      </c>
      <c r="D22" s="25" t="n">
        <v>14</v>
      </c>
      <c r="E22" s="25" t="n">
        <v>15</v>
      </c>
      <c r="F22" s="25" t="n">
        <v>0</v>
      </c>
      <c r="G22" s="25" t="inlineStr">
        <is>
          <t>48.3%</t>
        </is>
      </c>
      <c r="H22" s="25" t="inlineStr">
        <is>
          <t>-7.8%</t>
        </is>
      </c>
      <c r="I22" s="25" t="n">
        <v>22</v>
      </c>
      <c r="J22" s="25" t="inlineStr">
        <is>
          <t>45.5%</t>
        </is>
      </c>
      <c r="K22" s="25" t="inlineStr">
        <is>
          <t>12/29 (41%)</t>
        </is>
      </c>
      <c r="L22" s="25" t="inlineStr">
        <is>
          <t>-14.1</t>
        </is>
      </c>
    </row>
    <row r="23">
      <c r="A23" s="25" t="inlineStr">
        <is>
          <t>Massey (candidate) -- all FBS</t>
        </is>
      </c>
      <c r="B23" s="25" t="n">
        <v>260</v>
      </c>
      <c r="C23" s="25" t="n">
        <v>160</v>
      </c>
      <c r="D23" s="25" t="n">
        <v>66</v>
      </c>
      <c r="E23" s="25" t="n">
        <v>94</v>
      </c>
      <c r="F23" s="25" t="n">
        <v>1</v>
      </c>
      <c r="G23" s="25" t="inlineStr">
        <is>
          <t>41.2%</t>
        </is>
      </c>
      <c r="H23" s="25" t="inlineStr">
        <is>
          <t>-21.2%</t>
        </is>
      </c>
      <c r="I23" s="25" t="n">
        <v>146</v>
      </c>
      <c r="J23" s="25" t="inlineStr">
        <is>
          <t>42.8%</t>
        </is>
      </c>
      <c r="K23" s="25" t="inlineStr">
        <is>
          <t>19/161 (12%)</t>
        </is>
      </c>
      <c r="L23" s="25" t="inlineStr">
        <is>
          <t>-1982.6</t>
        </is>
      </c>
    </row>
    <row r="24">
      <c r="A24" s="25" t="inlineStr">
        <is>
          <t>Massey (candidate) -- MW-involved</t>
        </is>
      </c>
      <c r="B24" s="25" t="n">
        <v>29</v>
      </c>
      <c r="C24" s="25" t="n">
        <v>16</v>
      </c>
      <c r="D24" s="25" t="n">
        <v>9</v>
      </c>
      <c r="E24" s="25" t="n">
        <v>7</v>
      </c>
      <c r="F24" s="25" t="n">
        <v>0</v>
      </c>
      <c r="G24" s="25" t="inlineStr">
        <is>
          <t>56.2%</t>
        </is>
      </c>
      <c r="H24" s="25" t="inlineStr">
        <is>
          <t>+7.4%</t>
        </is>
      </c>
      <c r="I24" s="25" t="n">
        <v>15</v>
      </c>
      <c r="J24" s="25" t="inlineStr">
        <is>
          <t>53.3%</t>
        </is>
      </c>
      <c r="K24" s="25" t="inlineStr">
        <is>
          <t>3/16 (19%)</t>
        </is>
      </c>
      <c r="L24" s="25" t="inlineStr">
        <is>
          <t>-126.9</t>
        </is>
      </c>
    </row>
    <row r="26">
      <c r="A26" s="22" t="inlineStr">
        <is>
          <t>Ridge and XGBoost (the two candidates) agree with each other in 77.5% of all graded games. Ridge agrees with the live model (Gamma) in 53.1% of games it has a rating for. XGBoost agrees with the live model (Gamma) in 62.7% of games it has a rating for. Massey agrees with the live model (Gamma) in 45.3% of games it has a rating for.</t>
        </is>
      </c>
    </row>
    <row r="28">
      <c r="A28" s="23" t="inlineStr">
        <is>
          <t>Upcoming Games -- Ridge vs. XGBoost vs. Massey vs. Dub Gamma (Not Yet Graded)</t>
        </is>
      </c>
    </row>
    <row r="29">
      <c r="A29" s="22" t="inlineStr">
        <is>
          <t>Latest predictions CSV predates Massey's column -- rerun src/predict_week.py to see Massey's live line here too.</t>
        </is>
      </c>
    </row>
    <row r="30">
      <c r="A30" s="24" t="inlineStr">
        <is>
          <t>Week</t>
        </is>
      </c>
      <c r="B30" s="24" t="inlineStr">
        <is>
          <t>Matchup</t>
        </is>
      </c>
      <c r="C30" s="24" t="inlineStr">
        <is>
          <t>Market Line (Home)</t>
        </is>
      </c>
      <c r="D30" s="24" t="inlineStr">
        <is>
          <t>Ridge Line</t>
        </is>
      </c>
      <c r="E30" s="24" t="inlineStr">
        <is>
          <t>XGBoost Line</t>
        </is>
      </c>
      <c r="F30" s="24" t="inlineStr">
        <is>
          <t>Gamma Line</t>
        </is>
      </c>
      <c r="G30" s="24" t="inlineStr">
        <is>
          <t>Massey Line</t>
        </is>
      </c>
      <c r="H30" s="24" t="inlineStr">
        <is>
          <t>Ridge Lean</t>
        </is>
      </c>
      <c r="I30" s="24" t="inlineStr">
        <is>
          <t>XGBoost Lean</t>
        </is>
      </c>
      <c r="J30" s="24" t="inlineStr">
        <is>
          <t>Gamma Lean</t>
        </is>
      </c>
      <c r="K30" s="24" t="inlineStr">
        <is>
          <t>Massey Lean</t>
        </is>
      </c>
      <c r="L30" s="24" t="inlineStr">
        <is>
          <t>Ridge/XGBoost Agree?</t>
        </is>
      </c>
      <c r="M30" s="24" t="inlineStr">
        <is>
          <t>Tightest (Live)*</t>
        </is>
      </c>
    </row>
    <row r="31">
      <c r="A31" s="25" t="n">
        <v>4</v>
      </c>
      <c r="B31" s="25" t="inlineStr">
        <is>
          <t>UNLV @ Akron</t>
        </is>
      </c>
      <c r="C31" s="25" t="inlineStr">
        <is>
          <t>--</t>
        </is>
      </c>
      <c r="D31" s="25" t="inlineStr">
        <is>
          <t>+1.4</t>
        </is>
      </c>
      <c r="E31" s="25" t="inlineStr">
        <is>
          <t>+9.1</t>
        </is>
      </c>
      <c r="F31" s="25" t="inlineStr">
        <is>
          <t>+3.7</t>
        </is>
      </c>
      <c r="G31" s="25" t="inlineStr">
        <is>
          <t>--</t>
        </is>
      </c>
      <c r="H31" s="25" t="inlineStr">
        <is>
          <t>n/a</t>
        </is>
      </c>
      <c r="I31" s="25" t="inlineStr">
        <is>
          <t>n/a</t>
        </is>
      </c>
      <c r="J31" s="25" t="inlineStr">
        <is>
          <t>n/a</t>
        </is>
      </c>
      <c r="K31" s="25" t="inlineStr">
        <is>
          <t>n/a</t>
        </is>
      </c>
      <c r="L31" s="25" t="inlineStr">
        <is>
          <t>n/a</t>
        </is>
      </c>
      <c r="M31" s="25" t="inlineStr">
        <is>
          <t>n/a</t>
        </is>
      </c>
    </row>
    <row r="32">
      <c r="A32" s="25" t="n">
        <v>4</v>
      </c>
      <c r="B32" s="25" t="inlineStr">
        <is>
          <t>Northern Illinois @ Georgia State</t>
        </is>
      </c>
      <c r="C32" s="25" t="inlineStr">
        <is>
          <t>--</t>
        </is>
      </c>
      <c r="D32" s="25" t="inlineStr">
        <is>
          <t>-11.7</t>
        </is>
      </c>
      <c r="E32" s="25" t="inlineStr">
        <is>
          <t>-1.8</t>
        </is>
      </c>
      <c r="F32" s="25" t="inlineStr">
        <is>
          <t>-7.7</t>
        </is>
      </c>
      <c r="G32" s="25" t="inlineStr">
        <is>
          <t>--</t>
        </is>
      </c>
      <c r="H32" s="25" t="inlineStr">
        <is>
          <t>n/a</t>
        </is>
      </c>
      <c r="I32" s="25" t="inlineStr">
        <is>
          <t>n/a</t>
        </is>
      </c>
      <c r="J32" s="25" t="inlineStr">
        <is>
          <t>n/a</t>
        </is>
      </c>
      <c r="K32" s="25" t="inlineStr">
        <is>
          <t>n/a</t>
        </is>
      </c>
      <c r="L32" s="25" t="inlineStr">
        <is>
          <t>n/a</t>
        </is>
      </c>
      <c r="M32" s="25" t="inlineStr">
        <is>
          <t>n/a</t>
        </is>
      </c>
    </row>
    <row r="33">
      <c r="A33" s="25" t="n">
        <v>4</v>
      </c>
      <c r="B33" s="25" t="inlineStr">
        <is>
          <t>Hawai'i @ Wyoming</t>
        </is>
      </c>
      <c r="C33" s="25" t="inlineStr">
        <is>
          <t>--</t>
        </is>
      </c>
      <c r="D33" s="25" t="inlineStr">
        <is>
          <t>+6.1</t>
        </is>
      </c>
      <c r="E33" s="25" t="inlineStr">
        <is>
          <t>-0.3</t>
        </is>
      </c>
      <c r="F33" s="25" t="inlineStr">
        <is>
          <t>+1.4</t>
        </is>
      </c>
      <c r="G33" s="25" t="inlineStr">
        <is>
          <t>--</t>
        </is>
      </c>
      <c r="H33" s="25" t="inlineStr">
        <is>
          <t>n/a</t>
        </is>
      </c>
      <c r="I33" s="25" t="inlineStr">
        <is>
          <t>n/a</t>
        </is>
      </c>
      <c r="J33" s="25" t="inlineStr">
        <is>
          <t>n/a</t>
        </is>
      </c>
      <c r="K33" s="25" t="inlineStr">
        <is>
          <t>n/a</t>
        </is>
      </c>
      <c r="L33" s="25" t="inlineStr">
        <is>
          <t>n/a</t>
        </is>
      </c>
      <c r="M33" s="25" t="inlineStr">
        <is>
          <t>n/a</t>
        </is>
      </c>
    </row>
    <row r="34">
      <c r="A34" s="25" t="n">
        <v>4</v>
      </c>
      <c r="B34" s="25" t="inlineStr">
        <is>
          <t>New Mexico @ New Mexico State</t>
        </is>
      </c>
      <c r="C34" s="25" t="inlineStr">
        <is>
          <t>--</t>
        </is>
      </c>
      <c r="D34" s="25" t="inlineStr">
        <is>
          <t>+6.7</t>
        </is>
      </c>
      <c r="E34" s="25" t="inlineStr">
        <is>
          <t>+12.7</t>
        </is>
      </c>
      <c r="F34" s="25" t="inlineStr">
        <is>
          <t>+18.7</t>
        </is>
      </c>
      <c r="G34" s="25" t="inlineStr">
        <is>
          <t>--</t>
        </is>
      </c>
      <c r="H34" s="25" t="inlineStr">
        <is>
          <t>n/a</t>
        </is>
      </c>
      <c r="I34" s="25" t="inlineStr">
        <is>
          <t>n/a</t>
        </is>
      </c>
      <c r="J34" s="25" t="inlineStr">
        <is>
          <t>n/a</t>
        </is>
      </c>
      <c r="K34" s="25" t="inlineStr">
        <is>
          <t>n/a</t>
        </is>
      </c>
      <c r="L34" s="25" t="inlineStr">
        <is>
          <t>n/a</t>
        </is>
      </c>
      <c r="M34" s="25" t="inlineStr">
        <is>
          <t>n/a</t>
        </is>
      </c>
    </row>
    <row r="35">
      <c r="A35" s="25" t="n">
        <v>4</v>
      </c>
      <c r="B35" s="25" t="inlineStr">
        <is>
          <t>Oregon State @ UTEP</t>
        </is>
      </c>
      <c r="C35" s="25" t="inlineStr">
        <is>
          <t>--</t>
        </is>
      </c>
      <c r="D35" s="25" t="inlineStr">
        <is>
          <t>-3.8</t>
        </is>
      </c>
      <c r="E35" s="25" t="inlineStr">
        <is>
          <t>+1.1</t>
        </is>
      </c>
      <c r="F35" s="25" t="inlineStr">
        <is>
          <t>+10.5</t>
        </is>
      </c>
      <c r="G35" s="25" t="inlineStr">
        <is>
          <t>--</t>
        </is>
      </c>
      <c r="H35" s="25" t="inlineStr">
        <is>
          <t>n/a</t>
        </is>
      </c>
      <c r="I35" s="25" t="inlineStr">
        <is>
          <t>n/a</t>
        </is>
      </c>
      <c r="J35" s="25" t="inlineStr">
        <is>
          <t>n/a</t>
        </is>
      </c>
      <c r="K35" s="25" t="inlineStr">
        <is>
          <t>n/a</t>
        </is>
      </c>
      <c r="L35" s="25" t="inlineStr">
        <is>
          <t>n/a</t>
        </is>
      </c>
      <c r="M35" s="25" t="inlineStr">
        <is>
          <t>n/a</t>
        </is>
      </c>
    </row>
    <row r="36">
      <c r="A36" s="25" t="n">
        <v>4</v>
      </c>
      <c r="B36" s="25" t="inlineStr">
        <is>
          <t>Air Force @ Nevada</t>
        </is>
      </c>
      <c r="C36" s="25" t="inlineStr">
        <is>
          <t>--</t>
        </is>
      </c>
      <c r="D36" s="25" t="inlineStr">
        <is>
          <t>+3.4</t>
        </is>
      </c>
      <c r="E36" s="25" t="inlineStr">
        <is>
          <t>-0.5</t>
        </is>
      </c>
      <c r="F36" s="25" t="inlineStr">
        <is>
          <t>+2.3</t>
        </is>
      </c>
      <c r="G36" s="25" t="inlineStr">
        <is>
          <t>--</t>
        </is>
      </c>
      <c r="H36" s="25" t="inlineStr">
        <is>
          <t>n/a</t>
        </is>
      </c>
      <c r="I36" s="25" t="inlineStr">
        <is>
          <t>n/a</t>
        </is>
      </c>
      <c r="J36" s="25" t="inlineStr">
        <is>
          <t>n/a</t>
        </is>
      </c>
      <c r="K36" s="25" t="inlineStr">
        <is>
          <t>n/a</t>
        </is>
      </c>
      <c r="L36" s="25" t="inlineStr">
        <is>
          <t>n/a</t>
        </is>
      </c>
      <c r="M36" s="25" t="inlineStr">
        <is>
          <t>n/a</t>
        </is>
      </c>
    </row>
    <row r="37">
      <c r="A37" s="22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40">
      <c r="A40" s="23" t="inlineStr">
        <is>
          <t>2026 Mountain West Games -- Game by Game</t>
        </is>
      </c>
    </row>
    <row r="41">
      <c r="A41" s="24" t="inlineStr">
        <is>
          <t>Week</t>
        </is>
      </c>
      <c r="B41" s="24" t="inlineStr">
        <is>
          <t>Matchup</t>
        </is>
      </c>
      <c r="C41" s="24" t="inlineStr">
        <is>
          <t>Final Score</t>
        </is>
      </c>
      <c r="D41" s="24" t="inlineStr">
        <is>
          <t>Vegas Spread (Home)</t>
        </is>
      </c>
      <c r="E41" s="24" t="inlineStr">
        <is>
          <t>Actual Margin (Home)</t>
        </is>
      </c>
      <c r="F41" s="24" t="inlineStr">
        <is>
          <t>Ridge Line</t>
        </is>
      </c>
      <c r="G41" s="24" t="inlineStr">
        <is>
          <t>Ridge Edge</t>
        </is>
      </c>
      <c r="H41" s="24" t="inlineStr">
        <is>
          <t>Ridge Lean</t>
        </is>
      </c>
      <c r="I41" s="24" t="inlineStr">
        <is>
          <t>Ridge Result</t>
        </is>
      </c>
      <c r="J41" s="24" t="inlineStr">
        <is>
          <t>XGBoost Line</t>
        </is>
      </c>
      <c r="K41" s="24" t="inlineStr">
        <is>
          <t>XGBoost Edge</t>
        </is>
      </c>
      <c r="L41" s="24" t="inlineStr">
        <is>
          <t>XGBoost Lean</t>
        </is>
      </c>
      <c r="M41" s="24" t="inlineStr">
        <is>
          <t>XGBoost Result</t>
        </is>
      </c>
      <c r="N41" s="24" t="inlineStr">
        <is>
          <t>Gamma Line</t>
        </is>
      </c>
      <c r="O41" s="24" t="inlineStr">
        <is>
          <t>Gamma Edge</t>
        </is>
      </c>
      <c r="P41" s="24" t="inlineStr">
        <is>
          <t>Gamma Lean</t>
        </is>
      </c>
      <c r="Q41" s="24" t="inlineStr">
        <is>
          <t>Gamma Result</t>
        </is>
      </c>
      <c r="R41" s="24" t="inlineStr">
        <is>
          <t>Massey Line</t>
        </is>
      </c>
      <c r="S41" s="24" t="inlineStr">
        <is>
          <t>Massey Edge</t>
        </is>
      </c>
      <c r="T41" s="24" t="inlineStr">
        <is>
          <t>Massey Lean</t>
        </is>
      </c>
      <c r="U41" s="24" t="inlineStr">
        <is>
          <t>Massey Result</t>
        </is>
      </c>
      <c r="V41" s="24" t="inlineStr">
        <is>
          <t>Ridge/XGBoost Agree?</t>
        </is>
      </c>
      <c r="W41" s="24" t="inlineStr">
        <is>
          <t>Ridge Agrees (w/ Live Model)?</t>
        </is>
      </c>
      <c r="X41" s="24" t="inlineStr">
        <is>
          <t>Tightest CLV Line</t>
        </is>
      </c>
      <c r="Y41" s="24" t="inlineStr">
        <is>
          <t>Ridge CLV Pts (Cum.)</t>
        </is>
      </c>
      <c r="Z41" s="24" t="inlineStr">
        <is>
          <t>XGBoost CLV Pts (Cum.)</t>
        </is>
      </c>
      <c r="AA41" s="24" t="inlineStr">
        <is>
          <t>Gamma CLV Pts (Cum.)</t>
        </is>
      </c>
      <c r="AB41" s="24" t="inlineStr">
        <is>
          <t>Massey CLV Pts (Cum.)</t>
        </is>
      </c>
    </row>
    <row r="42">
      <c r="A42" s="25" t="n">
        <v>1</v>
      </c>
      <c r="B42" s="25" t="inlineStr">
        <is>
          <t>Duquesne @ Air Force</t>
        </is>
      </c>
      <c r="C42" s="25" t="inlineStr">
        <is>
          <t>0-34</t>
        </is>
      </c>
      <c r="D42" s="25" t="inlineStr">
        <is>
          <t>-30.0</t>
        </is>
      </c>
      <c r="E42" s="25" t="inlineStr">
        <is>
          <t>+34.0</t>
        </is>
      </c>
      <c r="F42" s="25" t="inlineStr">
        <is>
          <t>-17.0</t>
        </is>
      </c>
      <c r="G42" s="25" t="inlineStr">
        <is>
          <t>-13.0</t>
        </is>
      </c>
      <c r="H42" s="25" t="inlineStr">
        <is>
          <t>Away</t>
        </is>
      </c>
      <c r="I42" s="26" t="inlineStr">
        <is>
          <t>Loss</t>
        </is>
      </c>
      <c r="J42" s="25" t="inlineStr">
        <is>
          <t>-28.4</t>
        </is>
      </c>
      <c r="K42" s="25" t="inlineStr">
        <is>
          <t>-1.6</t>
        </is>
      </c>
      <c r="L42" s="25" t="inlineStr">
        <is>
          <t>Away</t>
        </is>
      </c>
      <c r="M42" s="26" t="inlineStr">
        <is>
          <t>Loss (no real edge)</t>
        </is>
      </c>
      <c r="N42" s="25" t="inlineStr">
        <is>
          <t>-36.5</t>
        </is>
      </c>
      <c r="O42" s="25" t="inlineStr">
        <is>
          <t>+6.5</t>
        </is>
      </c>
      <c r="P42" s="25" t="inlineStr">
        <is>
          <t>Home</t>
        </is>
      </c>
      <c r="Q42" s="27" t="inlineStr">
        <is>
          <t>Win (seed week)</t>
        </is>
      </c>
      <c r="R42" s="25" t="inlineStr">
        <is>
          <t>--</t>
        </is>
      </c>
      <c r="S42" s="25" t="inlineStr">
        <is>
          <t>--</t>
        </is>
      </c>
      <c r="T42" s="25" t="inlineStr">
        <is>
          <t>n/a</t>
        </is>
      </c>
      <c r="U42" s="25" t="inlineStr">
        <is>
          <t>n/a</t>
        </is>
      </c>
      <c r="V42" s="25" t="inlineStr">
        <is>
          <t>Yes</t>
        </is>
      </c>
      <c r="W42" s="25" t="inlineStr">
        <is>
          <t>No</t>
        </is>
      </c>
      <c r="X42" s="27" t="inlineStr">
        <is>
          <t>XGBoost</t>
        </is>
      </c>
      <c r="Y42" s="25" t="inlineStr">
        <is>
          <t>-13.0</t>
        </is>
      </c>
      <c r="Z42" s="25" t="inlineStr">
        <is>
          <t>-1.6</t>
        </is>
      </c>
      <c r="AA42" s="25" t="inlineStr">
        <is>
          <t>+6.5</t>
        </is>
      </c>
      <c r="AB42" s="25" t="inlineStr">
        <is>
          <t>+0.0</t>
        </is>
      </c>
    </row>
    <row r="43">
      <c r="A43" s="25" t="n">
        <v>1</v>
      </c>
      <c r="B43" s="25" t="inlineStr">
        <is>
          <t>Wyoming @ Colorado State</t>
        </is>
      </c>
      <c r="C43" s="25" t="inlineStr">
        <is>
          <t>13-35</t>
        </is>
      </c>
      <c r="D43" s="25" t="inlineStr">
        <is>
          <t>-2.8</t>
        </is>
      </c>
      <c r="E43" s="25" t="inlineStr">
        <is>
          <t>+22.0</t>
        </is>
      </c>
      <c r="F43" s="25" t="inlineStr">
        <is>
          <t>-7.8</t>
        </is>
      </c>
      <c r="G43" s="25" t="inlineStr">
        <is>
          <t>+5.1</t>
        </is>
      </c>
      <c r="H43" s="25" t="inlineStr">
        <is>
          <t>Home</t>
        </is>
      </c>
      <c r="I43" s="27" t="inlineStr">
        <is>
          <t>Win</t>
        </is>
      </c>
      <c r="J43" s="25" t="inlineStr">
        <is>
          <t>-2.0</t>
        </is>
      </c>
      <c r="K43" s="25" t="inlineStr">
        <is>
          <t>-0.7</t>
        </is>
      </c>
      <c r="L43" s="25" t="inlineStr">
        <is>
          <t>Away</t>
        </is>
      </c>
      <c r="M43" s="26" t="inlineStr">
        <is>
          <t>Loss (no real edge)</t>
        </is>
      </c>
      <c r="N43" s="25" t="inlineStr">
        <is>
          <t>-6.4</t>
        </is>
      </c>
      <c r="O43" s="25" t="inlineStr">
        <is>
          <t>+3.7</t>
        </is>
      </c>
      <c r="P43" s="25" t="inlineStr">
        <is>
          <t>Home</t>
        </is>
      </c>
      <c r="Q43" s="27" t="inlineStr">
        <is>
          <t>Win (seed week)</t>
        </is>
      </c>
      <c r="R43" s="25" t="inlineStr">
        <is>
          <t>--</t>
        </is>
      </c>
      <c r="S43" s="25" t="inlineStr">
        <is>
          <t>--</t>
        </is>
      </c>
      <c r="T43" s="25" t="inlineStr">
        <is>
          <t>n/a</t>
        </is>
      </c>
      <c r="U43" s="25" t="inlineStr">
        <is>
          <t>n/a</t>
        </is>
      </c>
      <c r="V43" s="25" t="inlineStr">
        <is>
          <t>No</t>
        </is>
      </c>
      <c r="W43" s="25" t="inlineStr">
        <is>
          <t>Yes</t>
        </is>
      </c>
      <c r="X43" s="27" t="inlineStr">
        <is>
          <t>XGBoost</t>
        </is>
      </c>
      <c r="Y43" s="25" t="inlineStr">
        <is>
          <t>-7.9</t>
        </is>
      </c>
      <c r="Z43" s="25" t="inlineStr">
        <is>
          <t>-2.4</t>
        </is>
      </c>
      <c r="AA43" s="25" t="inlineStr">
        <is>
          <t>+10.2</t>
        </is>
      </c>
      <c r="AB43" s="25" t="inlineStr">
        <is>
          <t>+0.0</t>
        </is>
      </c>
    </row>
    <row r="44">
      <c r="A44" s="25" t="n">
        <v>1</v>
      </c>
      <c r="B44" s="25" t="inlineStr">
        <is>
          <t>San José State @ Eastern Michigan</t>
        </is>
      </c>
      <c r="C44" s="25" t="inlineStr">
        <is>
          <t>27-21</t>
        </is>
      </c>
      <c r="D44" s="25" t="inlineStr">
        <is>
          <t>-1.5</t>
        </is>
      </c>
      <c r="E44" s="25" t="inlineStr">
        <is>
          <t>-6.0</t>
        </is>
      </c>
      <c r="F44" s="25" t="inlineStr">
        <is>
          <t>-15.8</t>
        </is>
      </c>
      <c r="G44" s="25" t="inlineStr">
        <is>
          <t>+14.3</t>
        </is>
      </c>
      <c r="H44" s="25" t="inlineStr">
        <is>
          <t>Home</t>
        </is>
      </c>
      <c r="I44" s="26" t="inlineStr">
        <is>
          <t>Loss</t>
        </is>
      </c>
      <c r="J44" s="25" t="inlineStr">
        <is>
          <t>-9.5</t>
        </is>
      </c>
      <c r="K44" s="25" t="inlineStr">
        <is>
          <t>+8.0</t>
        </is>
      </c>
      <c r="L44" s="25" t="inlineStr">
        <is>
          <t>Home</t>
        </is>
      </c>
      <c r="M44" s="26" t="inlineStr">
        <is>
          <t>Loss</t>
        </is>
      </c>
      <c r="N44" s="25" t="inlineStr">
        <is>
          <t>+0.5</t>
        </is>
      </c>
      <c r="O44" s="25" t="inlineStr">
        <is>
          <t>-2.0</t>
        </is>
      </c>
      <c r="P44" s="25" t="inlineStr">
        <is>
          <t>Away</t>
        </is>
      </c>
      <c r="Q44" s="27" t="inlineStr">
        <is>
          <t>Win (seed week)</t>
        </is>
      </c>
      <c r="R44" s="25" t="inlineStr">
        <is>
          <t>--</t>
        </is>
      </c>
      <c r="S44" s="25" t="inlineStr">
        <is>
          <t>--</t>
        </is>
      </c>
      <c r="T44" s="25" t="inlineStr">
        <is>
          <t>n/a</t>
        </is>
      </c>
      <c r="U44" s="25" t="inlineStr">
        <is>
          <t>n/a</t>
        </is>
      </c>
      <c r="V44" s="25" t="inlineStr">
        <is>
          <t>Yes</t>
        </is>
      </c>
      <c r="W44" s="25" t="inlineStr">
        <is>
          <t>No</t>
        </is>
      </c>
      <c r="X44" s="27" t="inlineStr">
        <is>
          <t>Gamma</t>
        </is>
      </c>
      <c r="Y44" s="25" t="inlineStr">
        <is>
          <t>+6.4</t>
        </is>
      </c>
      <c r="Z44" s="25" t="inlineStr">
        <is>
          <t>+5.6</t>
        </is>
      </c>
      <c r="AA44" s="25" t="inlineStr">
        <is>
          <t>+8.2</t>
        </is>
      </c>
      <c r="AB44" s="25" t="inlineStr">
        <is>
          <t>+0.0</t>
        </is>
      </c>
    </row>
    <row r="45">
      <c r="A45" s="25" t="n">
        <v>1</v>
      </c>
      <c r="B45" s="25" t="inlineStr">
        <is>
          <t>UNLV @ Hawai'i</t>
        </is>
      </c>
      <c r="C45" s="25" t="inlineStr">
        <is>
          <t>21-6</t>
        </is>
      </c>
      <c r="D45" s="25" t="inlineStr">
        <is>
          <t>+2.8</t>
        </is>
      </c>
      <c r="E45" s="25" t="inlineStr">
        <is>
          <t>-15.0</t>
        </is>
      </c>
      <c r="F45" s="25" t="inlineStr">
        <is>
          <t>+2.9</t>
        </is>
      </c>
      <c r="G45" s="25" t="inlineStr">
        <is>
          <t>-0.1</t>
        </is>
      </c>
      <c r="H45" s="25" t="inlineStr">
        <is>
          <t>Away</t>
        </is>
      </c>
      <c r="I45" s="27" t="inlineStr">
        <is>
          <t>Win (no real edge)</t>
        </is>
      </c>
      <c r="J45" s="25" t="inlineStr">
        <is>
          <t>-1.3</t>
        </is>
      </c>
      <c r="K45" s="25" t="inlineStr">
        <is>
          <t>+4.1</t>
        </is>
      </c>
      <c r="L45" s="25" t="inlineStr">
        <is>
          <t>Home</t>
        </is>
      </c>
      <c r="M45" s="26" t="inlineStr">
        <is>
          <t>Loss</t>
        </is>
      </c>
      <c r="N45" s="25" t="inlineStr">
        <is>
          <t>+4.4</t>
        </is>
      </c>
      <c r="O45" s="25" t="inlineStr">
        <is>
          <t>-1.6</t>
        </is>
      </c>
      <c r="P45" s="25" t="inlineStr">
        <is>
          <t>Away</t>
        </is>
      </c>
      <c r="Q45" s="27" t="inlineStr">
        <is>
          <t>Win (no real edge) (seed week)</t>
        </is>
      </c>
      <c r="R45" s="25" t="inlineStr">
        <is>
          <t>--</t>
        </is>
      </c>
      <c r="S45" s="25" t="inlineStr">
        <is>
          <t>--</t>
        </is>
      </c>
      <c r="T45" s="25" t="inlineStr">
        <is>
          <t>n/a</t>
        </is>
      </c>
      <c r="U45" s="25" t="inlineStr">
        <is>
          <t>n/a</t>
        </is>
      </c>
      <c r="V45" s="25" t="inlineStr">
        <is>
          <t>No</t>
        </is>
      </c>
      <c r="W45" s="25" t="inlineStr">
        <is>
          <t>Yes</t>
        </is>
      </c>
      <c r="X45" s="27" t="inlineStr">
        <is>
          <t>Ridge</t>
        </is>
      </c>
      <c r="Y45" s="25" t="inlineStr">
        <is>
          <t>+6.2</t>
        </is>
      </c>
      <c r="Z45" s="25" t="inlineStr">
        <is>
          <t>+9.7</t>
        </is>
      </c>
      <c r="AA45" s="25" t="inlineStr">
        <is>
          <t>+6.5</t>
        </is>
      </c>
      <c r="AB45" s="25" t="inlineStr">
        <is>
          <t>+0.0</t>
        </is>
      </c>
    </row>
    <row r="46">
      <c r="A46" s="25" t="n">
        <v>1</v>
      </c>
      <c r="B46" s="25" t="inlineStr">
        <is>
          <t>Northern Illinois @ Iowa</t>
        </is>
      </c>
      <c r="C46" s="25" t="inlineStr">
        <is>
          <t>0-40</t>
        </is>
      </c>
      <c r="D46" s="25" t="inlineStr">
        <is>
          <t>-31.8</t>
        </is>
      </c>
      <c r="E46" s="25" t="inlineStr">
        <is>
          <t>+40.0</t>
        </is>
      </c>
      <c r="F46" s="25" t="inlineStr">
        <is>
          <t>-28.3</t>
        </is>
      </c>
      <c r="G46" s="25" t="inlineStr">
        <is>
          <t>-3.5</t>
        </is>
      </c>
      <c r="H46" s="25" t="inlineStr">
        <is>
          <t>Away</t>
        </is>
      </c>
      <c r="I46" s="26" t="inlineStr">
        <is>
          <t>Loss</t>
        </is>
      </c>
      <c r="J46" s="25" t="inlineStr">
        <is>
          <t>-24.4</t>
        </is>
      </c>
      <c r="K46" s="25" t="inlineStr">
        <is>
          <t>-7.3</t>
        </is>
      </c>
      <c r="L46" s="25" t="inlineStr">
        <is>
          <t>Away</t>
        </is>
      </c>
      <c r="M46" s="26" t="inlineStr">
        <is>
          <t>Loss</t>
        </is>
      </c>
      <c r="N46" s="25" t="inlineStr">
        <is>
          <t>-41.0</t>
        </is>
      </c>
      <c r="O46" s="25" t="inlineStr">
        <is>
          <t>+9.2</t>
        </is>
      </c>
      <c r="P46" s="25" t="inlineStr">
        <is>
          <t>Home</t>
        </is>
      </c>
      <c r="Q46" s="27" t="inlineStr">
        <is>
          <t>Win (seed week)</t>
        </is>
      </c>
      <c r="R46" s="25" t="inlineStr">
        <is>
          <t>--</t>
        </is>
      </c>
      <c r="S46" s="25" t="inlineStr">
        <is>
          <t>--</t>
        </is>
      </c>
      <c r="T46" s="25" t="inlineStr">
        <is>
          <t>n/a</t>
        </is>
      </c>
      <c r="U46" s="25" t="inlineStr">
        <is>
          <t>n/a</t>
        </is>
      </c>
      <c r="V46" s="25" t="inlineStr">
        <is>
          <t>Yes</t>
        </is>
      </c>
      <c r="W46" s="25" t="inlineStr">
        <is>
          <t>No</t>
        </is>
      </c>
      <c r="X46" s="27" t="inlineStr">
        <is>
          <t>Ridge</t>
        </is>
      </c>
      <c r="Y46" s="25" t="inlineStr">
        <is>
          <t>+2.8</t>
        </is>
      </c>
      <c r="Z46" s="25" t="inlineStr">
        <is>
          <t>+2.4</t>
        </is>
      </c>
      <c r="AA46" s="25" t="inlineStr">
        <is>
          <t>+15.8</t>
        </is>
      </c>
      <c r="AB46" s="25" t="inlineStr">
        <is>
          <t>+0.0</t>
        </is>
      </c>
    </row>
    <row r="47">
      <c r="A47" s="25" t="n">
        <v>1</v>
      </c>
      <c r="B47" s="25" t="inlineStr">
        <is>
          <t>Western Kentucky @ Nevada</t>
        </is>
      </c>
      <c r="C47" s="25" t="inlineStr">
        <is>
          <t>14-49</t>
        </is>
      </c>
      <c r="D47" s="25" t="inlineStr">
        <is>
          <t>+0.2</t>
        </is>
      </c>
      <c r="E47" s="25" t="inlineStr">
        <is>
          <t>+35.0</t>
        </is>
      </c>
      <c r="F47" s="25" t="inlineStr">
        <is>
          <t>+3.3</t>
        </is>
      </c>
      <c r="G47" s="25" t="inlineStr">
        <is>
          <t>-3.0</t>
        </is>
      </c>
      <c r="H47" s="25" t="inlineStr">
        <is>
          <t>Away</t>
        </is>
      </c>
      <c r="I47" s="26" t="inlineStr">
        <is>
          <t>Loss</t>
        </is>
      </c>
      <c r="J47" s="25" t="inlineStr">
        <is>
          <t>+7.0</t>
        </is>
      </c>
      <c r="K47" s="25" t="inlineStr">
        <is>
          <t>-6.8</t>
        </is>
      </c>
      <c r="L47" s="25" t="inlineStr">
        <is>
          <t>Away</t>
        </is>
      </c>
      <c r="M47" s="26" t="inlineStr">
        <is>
          <t>Loss</t>
        </is>
      </c>
      <c r="N47" s="25" t="inlineStr">
        <is>
          <t>-2.5</t>
        </is>
      </c>
      <c r="O47" s="25" t="inlineStr">
        <is>
          <t>+2.7</t>
        </is>
      </c>
      <c r="P47" s="25" t="inlineStr">
        <is>
          <t>Home</t>
        </is>
      </c>
      <c r="Q47" s="27" t="inlineStr">
        <is>
          <t>Win (seed week)</t>
        </is>
      </c>
      <c r="R47" s="25" t="inlineStr">
        <is>
          <t>--</t>
        </is>
      </c>
      <c r="S47" s="25" t="inlineStr">
        <is>
          <t>--</t>
        </is>
      </c>
      <c r="T47" s="25" t="inlineStr">
        <is>
          <t>n/a</t>
        </is>
      </c>
      <c r="U47" s="25" t="inlineStr">
        <is>
          <t>n/a</t>
        </is>
      </c>
      <c r="V47" s="25" t="inlineStr">
        <is>
          <t>Yes</t>
        </is>
      </c>
      <c r="W47" s="25" t="inlineStr">
        <is>
          <t>No</t>
        </is>
      </c>
      <c r="X47" s="27" t="inlineStr">
        <is>
          <t>Gamma</t>
        </is>
      </c>
      <c r="Y47" s="25" t="inlineStr">
        <is>
          <t>-0.3</t>
        </is>
      </c>
      <c r="Z47" s="25" t="inlineStr">
        <is>
          <t>-4.4</t>
        </is>
      </c>
      <c r="AA47" s="25" t="inlineStr">
        <is>
          <t>+18.5</t>
        </is>
      </c>
      <c r="AB47" s="25" t="inlineStr">
        <is>
          <t>+0.0</t>
        </is>
      </c>
    </row>
    <row r="48">
      <c r="A48" s="25" t="n">
        <v>1</v>
      </c>
      <c r="B48" s="25" t="inlineStr">
        <is>
          <t>Central Michigan @ New Mexico</t>
        </is>
      </c>
      <c r="C48" s="25" t="inlineStr">
        <is>
          <t>7-38</t>
        </is>
      </c>
      <c r="D48" s="25" t="inlineStr">
        <is>
          <t>-11.2</t>
        </is>
      </c>
      <c r="E48" s="25" t="inlineStr">
        <is>
          <t>+31.0</t>
        </is>
      </c>
      <c r="F48" s="25" t="inlineStr">
        <is>
          <t>-17.5</t>
        </is>
      </c>
      <c r="G48" s="25" t="inlineStr">
        <is>
          <t>+6.2</t>
        </is>
      </c>
      <c r="H48" s="25" t="inlineStr">
        <is>
          <t>Home</t>
        </is>
      </c>
      <c r="I48" s="27" t="inlineStr">
        <is>
          <t>Win</t>
        </is>
      </c>
      <c r="J48" s="25" t="inlineStr">
        <is>
          <t>-11.7</t>
        </is>
      </c>
      <c r="K48" s="25" t="inlineStr">
        <is>
          <t>+0.5</t>
        </is>
      </c>
      <c r="L48" s="25" t="inlineStr">
        <is>
          <t>Home</t>
        </is>
      </c>
      <c r="M48" s="27" t="inlineStr">
        <is>
          <t>Win (no real edge)</t>
        </is>
      </c>
      <c r="N48" s="25" t="inlineStr">
        <is>
          <t>-15.6</t>
        </is>
      </c>
      <c r="O48" s="25" t="inlineStr">
        <is>
          <t>+4.3</t>
        </is>
      </c>
      <c r="P48" s="25" t="inlineStr">
        <is>
          <t>Home</t>
        </is>
      </c>
      <c r="Q48" s="27" t="inlineStr">
        <is>
          <t>Win (seed week)</t>
        </is>
      </c>
      <c r="R48" s="25" t="inlineStr">
        <is>
          <t>--</t>
        </is>
      </c>
      <c r="S48" s="25" t="inlineStr">
        <is>
          <t>--</t>
        </is>
      </c>
      <c r="T48" s="25" t="inlineStr">
        <is>
          <t>n/a</t>
        </is>
      </c>
      <c r="U48" s="25" t="inlineStr">
        <is>
          <t>n/a</t>
        </is>
      </c>
      <c r="V48" s="25" t="inlineStr">
        <is>
          <t>Yes</t>
        </is>
      </c>
      <c r="W48" s="25" t="inlineStr">
        <is>
          <t>Yes</t>
        </is>
      </c>
      <c r="X48" s="27" t="inlineStr">
        <is>
          <t>XGBoost</t>
        </is>
      </c>
      <c r="Y48" s="25" t="inlineStr">
        <is>
          <t>+5.9</t>
        </is>
      </c>
      <c r="Z48" s="25" t="inlineStr">
        <is>
          <t>-4.0</t>
        </is>
      </c>
      <c r="AA48" s="25" t="inlineStr">
        <is>
          <t>+22.9</t>
        </is>
      </c>
      <c r="AB48" s="25" t="inlineStr">
        <is>
          <t>+0.0</t>
        </is>
      </c>
    </row>
    <row r="49">
      <c r="A49" s="25" t="n">
        <v>1</v>
      </c>
      <c r="B49" s="25" t="inlineStr">
        <is>
          <t>Fordham @ North Dakota State</t>
        </is>
      </c>
      <c r="C49" s="25" t="inlineStr">
        <is>
          <t>0-38</t>
        </is>
      </c>
      <c r="D49" s="25" t="inlineStr">
        <is>
          <t>-41.5</t>
        </is>
      </c>
      <c r="E49" s="25" t="inlineStr">
        <is>
          <t>+38.0</t>
        </is>
      </c>
      <c r="F49" s="25" t="inlineStr">
        <is>
          <t>-40.9</t>
        </is>
      </c>
      <c r="G49" s="25" t="inlineStr">
        <is>
          <t>-0.6</t>
        </is>
      </c>
      <c r="H49" s="25" t="inlineStr">
        <is>
          <t>Away</t>
        </is>
      </c>
      <c r="I49" s="27" t="inlineStr">
        <is>
          <t>Win (no real edge)</t>
        </is>
      </c>
      <c r="J49" s="25" t="inlineStr">
        <is>
          <t>-35.3</t>
        </is>
      </c>
      <c r="K49" s="25" t="inlineStr">
        <is>
          <t>-6.2</t>
        </is>
      </c>
      <c r="L49" s="25" t="inlineStr">
        <is>
          <t>Away</t>
        </is>
      </c>
      <c r="M49" s="27" t="inlineStr">
        <is>
          <t>Win</t>
        </is>
      </c>
      <c r="N49" s="25" t="inlineStr">
        <is>
          <t>-58.5</t>
        </is>
      </c>
      <c r="O49" s="25" t="inlineStr">
        <is>
          <t>+17.0</t>
        </is>
      </c>
      <c r="P49" s="25" t="inlineStr">
        <is>
          <t>Home</t>
        </is>
      </c>
      <c r="Q49" s="26" t="inlineStr">
        <is>
          <t>Loss (seed week)</t>
        </is>
      </c>
      <c r="R49" s="25" t="inlineStr">
        <is>
          <t>--</t>
        </is>
      </c>
      <c r="S49" s="25" t="inlineStr">
        <is>
          <t>--</t>
        </is>
      </c>
      <c r="T49" s="25" t="inlineStr">
        <is>
          <t>n/a</t>
        </is>
      </c>
      <c r="U49" s="25" t="inlineStr">
        <is>
          <t>n/a</t>
        </is>
      </c>
      <c r="V49" s="25" t="inlineStr">
        <is>
          <t>Yes</t>
        </is>
      </c>
      <c r="W49" s="25" t="inlineStr">
        <is>
          <t>No</t>
        </is>
      </c>
      <c r="X49" s="27" t="inlineStr">
        <is>
          <t>Ridge</t>
        </is>
      </c>
      <c r="Y49" s="25" t="inlineStr">
        <is>
          <t>+5.3</t>
        </is>
      </c>
      <c r="Z49" s="25" t="inlineStr">
        <is>
          <t>-10.2</t>
        </is>
      </c>
      <c r="AA49" s="25" t="inlineStr">
        <is>
          <t>+39.8</t>
        </is>
      </c>
      <c r="AB49" s="25" t="inlineStr">
        <is>
          <t>+0.0</t>
        </is>
      </c>
    </row>
    <row r="50">
      <c r="A50" s="25" t="n">
        <v>1</v>
      </c>
      <c r="B50" s="25" t="inlineStr">
        <is>
          <t>Jacksonville State @ North Dakota State</t>
        </is>
      </c>
      <c r="C50" s="25" t="inlineStr">
        <is>
          <t>7-33</t>
        </is>
      </c>
      <c r="D50" s="25" t="inlineStr">
        <is>
          <t>-6.8</t>
        </is>
      </c>
      <c r="E50" s="25" t="inlineStr">
        <is>
          <t>+26.0</t>
        </is>
      </c>
      <c r="F50" s="25" t="inlineStr">
        <is>
          <t>-18.4</t>
        </is>
      </c>
      <c r="G50" s="25" t="inlineStr">
        <is>
          <t>+11.6</t>
        </is>
      </c>
      <c r="H50" s="25" t="inlineStr">
        <is>
          <t>Home</t>
        </is>
      </c>
      <c r="I50" s="27" t="inlineStr">
        <is>
          <t>Win</t>
        </is>
      </c>
      <c r="J50" s="25" t="inlineStr">
        <is>
          <t>-15.0</t>
        </is>
      </c>
      <c r="K50" s="25" t="inlineStr">
        <is>
          <t>+8.3</t>
        </is>
      </c>
      <c r="L50" s="25" t="inlineStr">
        <is>
          <t>Home</t>
        </is>
      </c>
      <c r="M50" s="27" t="inlineStr">
        <is>
          <t>Win</t>
        </is>
      </c>
      <c r="N50" s="25" t="inlineStr">
        <is>
          <t>-25.5</t>
        </is>
      </c>
      <c r="O50" s="25" t="inlineStr">
        <is>
          <t>+18.7</t>
        </is>
      </c>
      <c r="P50" s="25" t="inlineStr">
        <is>
          <t>Home</t>
        </is>
      </c>
      <c r="Q50" s="27" t="inlineStr">
        <is>
          <t>Win (seed week)</t>
        </is>
      </c>
      <c r="R50" s="25" t="inlineStr">
        <is>
          <t>--</t>
        </is>
      </c>
      <c r="S50" s="25" t="inlineStr">
        <is>
          <t>--</t>
        </is>
      </c>
      <c r="T50" s="25" t="inlineStr">
        <is>
          <t>n/a</t>
        </is>
      </c>
      <c r="U50" s="25" t="inlineStr">
        <is>
          <t>n/a</t>
        </is>
      </c>
      <c r="V50" s="25" t="inlineStr">
        <is>
          <t>Yes</t>
        </is>
      </c>
      <c r="W50" s="25" t="inlineStr">
        <is>
          <t>Yes</t>
        </is>
      </c>
      <c r="X50" s="27" t="inlineStr">
        <is>
          <t>XGBoost</t>
        </is>
      </c>
      <c r="Y50" s="25" t="inlineStr">
        <is>
          <t>+16.9</t>
        </is>
      </c>
      <c r="Z50" s="25" t="inlineStr">
        <is>
          <t>-1.9</t>
        </is>
      </c>
      <c r="AA50" s="25" t="inlineStr">
        <is>
          <t>+58.5</t>
        </is>
      </c>
      <c r="AB50" s="25" t="inlineStr">
        <is>
          <t>+0.0</t>
        </is>
      </c>
    </row>
    <row r="51">
      <c r="A51" s="25" t="n">
        <v>1</v>
      </c>
      <c r="B51" s="25" t="inlineStr">
        <is>
          <t>UTEP @ Oklahoma</t>
        </is>
      </c>
      <c r="C51" s="25" t="inlineStr">
        <is>
          <t>0-51</t>
        </is>
      </c>
      <c r="D51" s="25" t="inlineStr">
        <is>
          <t>-40.8</t>
        </is>
      </c>
      <c r="E51" s="25" t="inlineStr">
        <is>
          <t>+51.0</t>
        </is>
      </c>
      <c r="F51" s="25" t="inlineStr">
        <is>
          <t>-34.8</t>
        </is>
      </c>
      <c r="G51" s="25" t="inlineStr">
        <is>
          <t>-5.9</t>
        </is>
      </c>
      <c r="H51" s="25" t="inlineStr">
        <is>
          <t>Away</t>
        </is>
      </c>
      <c r="I51" s="26" t="inlineStr">
        <is>
          <t>Loss</t>
        </is>
      </c>
      <c r="J51" s="25" t="inlineStr">
        <is>
          <t>-31.9</t>
        </is>
      </c>
      <c r="K51" s="25" t="inlineStr">
        <is>
          <t>-8.8</t>
        </is>
      </c>
      <c r="L51" s="25" t="inlineStr">
        <is>
          <t>Away</t>
        </is>
      </c>
      <c r="M51" s="26" t="inlineStr">
        <is>
          <t>Loss</t>
        </is>
      </c>
      <c r="N51" s="25" t="inlineStr">
        <is>
          <t>-44.4</t>
        </is>
      </c>
      <c r="O51" s="25" t="inlineStr">
        <is>
          <t>+3.6</t>
        </is>
      </c>
      <c r="P51" s="25" t="inlineStr">
        <is>
          <t>Home</t>
        </is>
      </c>
      <c r="Q51" s="27" t="inlineStr">
        <is>
          <t>Win (seed week)</t>
        </is>
      </c>
      <c r="R51" s="25" t="inlineStr">
        <is>
          <t>--</t>
        </is>
      </c>
      <c r="S51" s="25" t="inlineStr">
        <is>
          <t>--</t>
        </is>
      </c>
      <c r="T51" s="25" t="inlineStr">
        <is>
          <t>n/a</t>
        </is>
      </c>
      <c r="U51" s="25" t="inlineStr">
        <is>
          <t>n/a</t>
        </is>
      </c>
      <c r="V51" s="25" t="inlineStr">
        <is>
          <t>Yes</t>
        </is>
      </c>
      <c r="W51" s="25" t="inlineStr">
        <is>
          <t>No</t>
        </is>
      </c>
      <c r="X51" s="27" t="inlineStr">
        <is>
          <t>Gamma</t>
        </is>
      </c>
      <c r="Y51" s="25" t="inlineStr">
        <is>
          <t>+11.0</t>
        </is>
      </c>
      <c r="Z51" s="25" t="inlineStr">
        <is>
          <t>-10.7</t>
        </is>
      </c>
      <c r="AA51" s="25" t="inlineStr">
        <is>
          <t>+62.1</t>
        </is>
      </c>
      <c r="AB51" s="25" t="inlineStr">
        <is>
          <t>+0.0</t>
        </is>
      </c>
    </row>
    <row r="52">
      <c r="A52" s="25" t="n">
        <v>1</v>
      </c>
      <c r="B52" s="25" t="inlineStr">
        <is>
          <t>Hawai'i @ Stanford</t>
        </is>
      </c>
      <c r="C52" s="25" t="inlineStr">
        <is>
          <t>27-37</t>
        </is>
      </c>
      <c r="D52" s="25" t="inlineStr">
        <is>
          <t>-4.8</t>
        </is>
      </c>
      <c r="E52" s="25" t="inlineStr">
        <is>
          <t>+10.0</t>
        </is>
      </c>
      <c r="F52" s="25" t="inlineStr">
        <is>
          <t>-1.5</t>
        </is>
      </c>
      <c r="G52" s="25" t="inlineStr">
        <is>
          <t>-3.3</t>
        </is>
      </c>
      <c r="H52" s="25" t="inlineStr">
        <is>
          <t>Away</t>
        </is>
      </c>
      <c r="I52" s="26" t="inlineStr">
        <is>
          <t>Loss</t>
        </is>
      </c>
      <c r="J52" s="25" t="inlineStr">
        <is>
          <t>+1.7</t>
        </is>
      </c>
      <c r="K52" s="25" t="inlineStr">
        <is>
          <t>-6.4</t>
        </is>
      </c>
      <c r="L52" s="25" t="inlineStr">
        <is>
          <t>Away</t>
        </is>
      </c>
      <c r="M52" s="26" t="inlineStr">
        <is>
          <t>Loss</t>
        </is>
      </c>
      <c r="N52" s="25" t="inlineStr">
        <is>
          <t>-11.2</t>
        </is>
      </c>
      <c r="O52" s="25" t="inlineStr">
        <is>
          <t>+6.4</t>
        </is>
      </c>
      <c r="P52" s="25" t="inlineStr">
        <is>
          <t>Home</t>
        </is>
      </c>
      <c r="Q52" s="27" t="inlineStr">
        <is>
          <t>Win (seed week)</t>
        </is>
      </c>
      <c r="R52" s="25" t="inlineStr">
        <is>
          <t>--</t>
        </is>
      </c>
      <c r="S52" s="25" t="inlineStr">
        <is>
          <t>--</t>
        </is>
      </c>
      <c r="T52" s="25" t="inlineStr">
        <is>
          <t>n/a</t>
        </is>
      </c>
      <c r="U52" s="25" t="inlineStr">
        <is>
          <t>n/a</t>
        </is>
      </c>
      <c r="V52" s="25" t="inlineStr">
        <is>
          <t>Yes</t>
        </is>
      </c>
      <c r="W52" s="25" t="inlineStr">
        <is>
          <t>No</t>
        </is>
      </c>
      <c r="X52" s="27" t="inlineStr">
        <is>
          <t>Ridge</t>
        </is>
      </c>
      <c r="Y52" s="25" t="inlineStr">
        <is>
          <t>+7.7</t>
        </is>
      </c>
      <c r="Z52" s="25" t="inlineStr">
        <is>
          <t>-17.2</t>
        </is>
      </c>
      <c r="AA52" s="25" t="inlineStr">
        <is>
          <t>+68.5</t>
        </is>
      </c>
      <c r="AB52" s="25" t="inlineStr">
        <is>
          <t>+0.0</t>
        </is>
      </c>
    </row>
    <row r="53">
      <c r="A53" s="25" t="n">
        <v>1</v>
      </c>
      <c r="B53" s="25" t="inlineStr">
        <is>
          <t>Memphis @ UNLV</t>
        </is>
      </c>
      <c r="C53" s="25" t="inlineStr">
        <is>
          <t>27-21</t>
        </is>
      </c>
      <c r="D53" s="25" t="inlineStr">
        <is>
          <t>-4.8</t>
        </is>
      </c>
      <c r="E53" s="25" t="inlineStr">
        <is>
          <t>-6.0</t>
        </is>
      </c>
      <c r="F53" s="25" t="inlineStr">
        <is>
          <t>-10.9</t>
        </is>
      </c>
      <c r="G53" s="25" t="inlineStr">
        <is>
          <t>+6.2</t>
        </is>
      </c>
      <c r="H53" s="25" t="inlineStr">
        <is>
          <t>Home</t>
        </is>
      </c>
      <c r="I53" s="26" t="inlineStr">
        <is>
          <t>Loss</t>
        </is>
      </c>
      <c r="J53" s="25" t="inlineStr">
        <is>
          <t>-6.3</t>
        </is>
      </c>
      <c r="K53" s="25" t="inlineStr">
        <is>
          <t>+1.5</t>
        </is>
      </c>
      <c r="L53" s="25" t="inlineStr">
        <is>
          <t>Home</t>
        </is>
      </c>
      <c r="M53" s="26" t="inlineStr">
        <is>
          <t>Loss (no real edge)</t>
        </is>
      </c>
      <c r="N53" s="25" t="inlineStr">
        <is>
          <t>+1.6</t>
        </is>
      </c>
      <c r="O53" s="25" t="inlineStr">
        <is>
          <t>-6.3</t>
        </is>
      </c>
      <c r="P53" s="25" t="inlineStr">
        <is>
          <t>Away</t>
        </is>
      </c>
      <c r="Q53" s="27" t="inlineStr">
        <is>
          <t>Win (seed week)</t>
        </is>
      </c>
      <c r="R53" s="25" t="inlineStr">
        <is>
          <t>--</t>
        </is>
      </c>
      <c r="S53" s="25" t="inlineStr">
        <is>
          <t>--</t>
        </is>
      </c>
      <c r="T53" s="25" t="inlineStr">
        <is>
          <t>n/a</t>
        </is>
      </c>
      <c r="U53" s="25" t="inlineStr">
        <is>
          <t>n/a</t>
        </is>
      </c>
      <c r="V53" s="25" t="inlineStr">
        <is>
          <t>Yes</t>
        </is>
      </c>
      <c r="W53" s="25" t="inlineStr">
        <is>
          <t>No</t>
        </is>
      </c>
      <c r="X53" s="27" t="inlineStr">
        <is>
          <t>XGBoost</t>
        </is>
      </c>
      <c r="Y53" s="25" t="inlineStr">
        <is>
          <t>+13.9</t>
        </is>
      </c>
      <c r="Z53" s="25" t="inlineStr">
        <is>
          <t>-15.6</t>
        </is>
      </c>
      <c r="AA53" s="25" t="inlineStr">
        <is>
          <t>+62.2</t>
        </is>
      </c>
      <c r="AB53" s="25" t="inlineStr">
        <is>
          <t>+0.0</t>
        </is>
      </c>
    </row>
    <row r="54">
      <c r="A54" s="25" t="n">
        <v>1</v>
      </c>
      <c r="B54" s="25" t="inlineStr">
        <is>
          <t>San José State @ USC</t>
        </is>
      </c>
      <c r="C54" s="25" t="inlineStr">
        <is>
          <t>26-42</t>
        </is>
      </c>
      <c r="D54" s="25" t="inlineStr">
        <is>
          <t>-37.2</t>
        </is>
      </c>
      <c r="E54" s="25" t="inlineStr">
        <is>
          <t>+16.0</t>
        </is>
      </c>
      <c r="F54" s="25" t="inlineStr">
        <is>
          <t>-34.6</t>
        </is>
      </c>
      <c r="G54" s="25" t="inlineStr">
        <is>
          <t>-2.7</t>
        </is>
      </c>
      <c r="H54" s="25" t="inlineStr">
        <is>
          <t>Away</t>
        </is>
      </c>
      <c r="I54" s="27" t="inlineStr">
        <is>
          <t>Win</t>
        </is>
      </c>
      <c r="J54" s="25" t="inlineStr">
        <is>
          <t>-35.8</t>
        </is>
      </c>
      <c r="K54" s="25" t="inlineStr">
        <is>
          <t>-1.4</t>
        </is>
      </c>
      <c r="L54" s="25" t="inlineStr">
        <is>
          <t>Away</t>
        </is>
      </c>
      <c r="M54" s="27" t="inlineStr">
        <is>
          <t>Win (no real edge)</t>
        </is>
      </c>
      <c r="N54" s="25" t="inlineStr">
        <is>
          <t>-30.3</t>
        </is>
      </c>
      <c r="O54" s="25" t="inlineStr">
        <is>
          <t>-7.0</t>
        </is>
      </c>
      <c r="P54" s="25" t="inlineStr">
        <is>
          <t>Away</t>
        </is>
      </c>
      <c r="Q54" s="27" t="inlineStr">
        <is>
          <t>Win (seed week)</t>
        </is>
      </c>
      <c r="R54" s="25" t="inlineStr">
        <is>
          <t>--</t>
        </is>
      </c>
      <c r="S54" s="25" t="inlineStr">
        <is>
          <t>--</t>
        </is>
      </c>
      <c r="T54" s="25" t="inlineStr">
        <is>
          <t>n/a</t>
        </is>
      </c>
      <c r="U54" s="25" t="inlineStr">
        <is>
          <t>n/a</t>
        </is>
      </c>
      <c r="V54" s="25" t="inlineStr">
        <is>
          <t>Yes</t>
        </is>
      </c>
      <c r="W54" s="25" t="inlineStr">
        <is>
          <t>Yes</t>
        </is>
      </c>
      <c r="X54" s="27" t="inlineStr">
        <is>
          <t>XGBoost</t>
        </is>
      </c>
      <c r="Y54" s="25" t="inlineStr">
        <is>
          <t>+11.2</t>
        </is>
      </c>
      <c r="Z54" s="25" t="inlineStr">
        <is>
          <t>-17.1</t>
        </is>
      </c>
      <c r="AA54" s="25" t="inlineStr">
        <is>
          <t>+55.2</t>
        </is>
      </c>
      <c r="AB54" s="25" t="inlineStr">
        <is>
          <t>+0.0</t>
        </is>
      </c>
    </row>
    <row r="55">
      <c r="A55" s="25" t="n">
        <v>2</v>
      </c>
      <c r="B55" s="25" t="inlineStr">
        <is>
          <t>North Dakota State @ Air Force</t>
        </is>
      </c>
      <c r="C55" s="25" t="inlineStr">
        <is>
          <t>38-32</t>
        </is>
      </c>
      <c r="D55" s="25" t="inlineStr">
        <is>
          <t>+1.8</t>
        </is>
      </c>
      <c r="E55" s="25" t="inlineStr">
        <is>
          <t>-6.0</t>
        </is>
      </c>
      <c r="F55" s="25" t="inlineStr">
        <is>
          <t>+17.0</t>
        </is>
      </c>
      <c r="G55" s="25" t="inlineStr">
        <is>
          <t>-15.3</t>
        </is>
      </c>
      <c r="H55" s="25" t="inlineStr">
        <is>
          <t>Away</t>
        </is>
      </c>
      <c r="I55" s="27" t="inlineStr">
        <is>
          <t>Win</t>
        </is>
      </c>
      <c r="J55" s="25" t="inlineStr">
        <is>
          <t>+14.5</t>
        </is>
      </c>
      <c r="K55" s="25" t="inlineStr">
        <is>
          <t>-12.8</t>
        </is>
      </c>
      <c r="L55" s="25" t="inlineStr">
        <is>
          <t>Away</t>
        </is>
      </c>
      <c r="M55" s="27" t="inlineStr">
        <is>
          <t>Win</t>
        </is>
      </c>
      <c r="N55" s="25" t="inlineStr">
        <is>
          <t>+17.9</t>
        </is>
      </c>
      <c r="O55" s="25" t="inlineStr">
        <is>
          <t>-16.2</t>
        </is>
      </c>
      <c r="P55" s="25" t="inlineStr">
        <is>
          <t>Away</t>
        </is>
      </c>
      <c r="Q55" s="27" t="inlineStr">
        <is>
          <t>Win</t>
        </is>
      </c>
      <c r="R55" s="25" t="inlineStr">
        <is>
          <t>+1.9</t>
        </is>
      </c>
      <c r="S55" s="25" t="inlineStr">
        <is>
          <t>-0.2</t>
        </is>
      </c>
      <c r="T55" s="25" t="inlineStr">
        <is>
          <t>Away</t>
        </is>
      </c>
      <c r="U55" s="27" t="inlineStr">
        <is>
          <t>Win (no real edge)</t>
        </is>
      </c>
      <c r="V55" s="25" t="inlineStr">
        <is>
          <t>Yes</t>
        </is>
      </c>
      <c r="W55" s="25" t="inlineStr">
        <is>
          <t>Yes</t>
        </is>
      </c>
      <c r="X55" s="27" t="inlineStr">
        <is>
          <t>Massey</t>
        </is>
      </c>
      <c r="Y55" s="25" t="inlineStr">
        <is>
          <t>-4.1</t>
        </is>
      </c>
      <c r="Z55" s="25" t="inlineStr">
        <is>
          <t>-29.8</t>
        </is>
      </c>
      <c r="AA55" s="25" t="inlineStr">
        <is>
          <t>+39.0</t>
        </is>
      </c>
      <c r="AB55" s="25" t="inlineStr">
        <is>
          <t>-0.2</t>
        </is>
      </c>
    </row>
    <row r="56">
      <c r="A56" s="25" t="n">
        <v>2</v>
      </c>
      <c r="B56" s="25" t="inlineStr">
        <is>
          <t>New Mexico State @ Hawai'i</t>
        </is>
      </c>
      <c r="C56" s="25" t="inlineStr">
        <is>
          <t>19-29</t>
        </is>
      </c>
      <c r="D56" s="25" t="inlineStr">
        <is>
          <t>-7.5</t>
        </is>
      </c>
      <c r="E56" s="25" t="inlineStr">
        <is>
          <t>+10.0</t>
        </is>
      </c>
      <c r="F56" s="25" t="inlineStr">
        <is>
          <t>-14.1</t>
        </is>
      </c>
      <c r="G56" s="25" t="inlineStr">
        <is>
          <t>+6.6</t>
        </is>
      </c>
      <c r="H56" s="25" t="inlineStr">
        <is>
          <t>Home</t>
        </is>
      </c>
      <c r="I56" s="27" t="inlineStr">
        <is>
          <t>Win</t>
        </is>
      </c>
      <c r="J56" s="25" t="inlineStr">
        <is>
          <t>-12.9</t>
        </is>
      </c>
      <c r="K56" s="25" t="inlineStr">
        <is>
          <t>+5.4</t>
        </is>
      </c>
      <c r="L56" s="25" t="inlineStr">
        <is>
          <t>Home</t>
        </is>
      </c>
      <c r="M56" s="27" t="inlineStr">
        <is>
          <t>Win</t>
        </is>
      </c>
      <c r="N56" s="25" t="inlineStr">
        <is>
          <t>-7.6</t>
        </is>
      </c>
      <c r="O56" s="25" t="inlineStr">
        <is>
          <t>+0.1</t>
        </is>
      </c>
      <c r="P56" s="25" t="inlineStr">
        <is>
          <t>Home</t>
        </is>
      </c>
      <c r="Q56" s="27" t="inlineStr">
        <is>
          <t>Win (no real edge)</t>
        </is>
      </c>
      <c r="R56" s="25" t="inlineStr">
        <is>
          <t>+7.2</t>
        </is>
      </c>
      <c r="S56" s="25" t="inlineStr">
        <is>
          <t>-14.7</t>
        </is>
      </c>
      <c r="T56" s="25" t="inlineStr">
        <is>
          <t>Away</t>
        </is>
      </c>
      <c r="U56" s="26" t="inlineStr">
        <is>
          <t>Loss</t>
        </is>
      </c>
      <c r="V56" s="25" t="inlineStr">
        <is>
          <t>Yes</t>
        </is>
      </c>
      <c r="W56" s="25" t="inlineStr">
        <is>
          <t>Yes</t>
        </is>
      </c>
      <c r="X56" s="27" t="inlineStr">
        <is>
          <t>Gamma</t>
        </is>
      </c>
      <c r="Y56" s="25" t="inlineStr">
        <is>
          <t>+2.5</t>
        </is>
      </c>
      <c r="Z56" s="25" t="inlineStr">
        <is>
          <t>-24.4</t>
        </is>
      </c>
      <c r="AA56" s="25" t="inlineStr">
        <is>
          <t>+39.1</t>
        </is>
      </c>
      <c r="AB56" s="25" t="inlineStr">
        <is>
          <t>-14.9</t>
        </is>
      </c>
    </row>
    <row r="57">
      <c r="A57" s="25" t="n">
        <v>2</v>
      </c>
      <c r="B57" s="25" t="inlineStr">
        <is>
          <t>Montana State @ Nevada</t>
        </is>
      </c>
      <c r="C57" s="25" t="inlineStr">
        <is>
          <t>20-7</t>
        </is>
      </c>
      <c r="D57" s="25" t="inlineStr">
        <is>
          <t>+5.0</t>
        </is>
      </c>
      <c r="E57" s="25" t="inlineStr">
        <is>
          <t>-13.0</t>
        </is>
      </c>
      <c r="F57" s="25" t="inlineStr">
        <is>
          <t>-17.2</t>
        </is>
      </c>
      <c r="G57" s="25" t="inlineStr">
        <is>
          <t>+22.2</t>
        </is>
      </c>
      <c r="H57" s="25" t="inlineStr">
        <is>
          <t>Home</t>
        </is>
      </c>
      <c r="I57" s="26" t="inlineStr">
        <is>
          <t>Loss</t>
        </is>
      </c>
      <c r="J57" s="25" t="inlineStr">
        <is>
          <t>-11.4</t>
        </is>
      </c>
      <c r="K57" s="25" t="inlineStr">
        <is>
          <t>+16.4</t>
        </is>
      </c>
      <c r="L57" s="25" t="inlineStr">
        <is>
          <t>Home</t>
        </is>
      </c>
      <c r="M57" s="26" t="inlineStr">
        <is>
          <t>Loss</t>
        </is>
      </c>
      <c r="N57" s="25" t="inlineStr">
        <is>
          <t>-33.6</t>
        </is>
      </c>
      <c r="O57" s="25" t="inlineStr">
        <is>
          <t>+38.6</t>
        </is>
      </c>
      <c r="P57" s="25" t="inlineStr">
        <is>
          <t>Home</t>
        </is>
      </c>
      <c r="Q57" s="26" t="inlineStr">
        <is>
          <t>Loss</t>
        </is>
      </c>
      <c r="R57" s="25" t="inlineStr">
        <is>
          <t>-11.8</t>
        </is>
      </c>
      <c r="S57" s="25" t="inlineStr">
        <is>
          <t>+16.8</t>
        </is>
      </c>
      <c r="T57" s="25" t="inlineStr">
        <is>
          <t>Home</t>
        </is>
      </c>
      <c r="U57" s="26" t="inlineStr">
        <is>
          <t>Loss</t>
        </is>
      </c>
      <c r="V57" s="25" t="inlineStr">
        <is>
          <t>Yes</t>
        </is>
      </c>
      <c r="W57" s="25" t="inlineStr">
        <is>
          <t>Yes</t>
        </is>
      </c>
      <c r="X57" s="27" t="inlineStr">
        <is>
          <t>XGBoost</t>
        </is>
      </c>
      <c r="Y57" s="25" t="inlineStr">
        <is>
          <t>+24.8</t>
        </is>
      </c>
      <c r="Z57" s="25" t="inlineStr">
        <is>
          <t>-8.0</t>
        </is>
      </c>
      <c r="AA57" s="25" t="inlineStr">
        <is>
          <t>+77.8</t>
        </is>
      </c>
      <c r="AB57" s="25" t="inlineStr">
        <is>
          <t>+1.8</t>
        </is>
      </c>
    </row>
    <row r="58">
      <c r="A58" s="25" t="n">
        <v>2</v>
      </c>
      <c r="B58" s="25" t="inlineStr">
        <is>
          <t>Mercyhurst @ New Mexico</t>
        </is>
      </c>
      <c r="C58" s="25" t="inlineStr">
        <is>
          <t>7-70</t>
        </is>
      </c>
      <c r="D58" s="25" t="inlineStr">
        <is>
          <t>-42.2</t>
        </is>
      </c>
      <c r="E58" s="25" t="inlineStr">
        <is>
          <t>+63.0</t>
        </is>
      </c>
      <c r="F58" s="25" t="inlineStr">
        <is>
          <t>-17.0</t>
        </is>
      </c>
      <c r="G58" s="25" t="inlineStr">
        <is>
          <t>-25.2</t>
        </is>
      </c>
      <c r="H58" s="25" t="inlineStr">
        <is>
          <t>Away</t>
        </is>
      </c>
      <c r="I58" s="26" t="inlineStr">
        <is>
          <t>Loss</t>
        </is>
      </c>
      <c r="J58" s="25" t="inlineStr">
        <is>
          <t>-27.5</t>
        </is>
      </c>
      <c r="K58" s="25" t="inlineStr">
        <is>
          <t>-14.7</t>
        </is>
      </c>
      <c r="L58" s="25" t="inlineStr">
        <is>
          <t>Away</t>
        </is>
      </c>
      <c r="M58" s="26" t="inlineStr">
        <is>
          <t>Loss</t>
        </is>
      </c>
      <c r="N58" s="25" t="inlineStr">
        <is>
          <t>-45.6</t>
        </is>
      </c>
      <c r="O58" s="25" t="inlineStr">
        <is>
          <t>+3.3</t>
        </is>
      </c>
      <c r="P58" s="25" t="inlineStr">
        <is>
          <t>Home</t>
        </is>
      </c>
      <c r="Q58" s="27" t="inlineStr">
        <is>
          <t>Win</t>
        </is>
      </c>
      <c r="R58" s="25" t="inlineStr">
        <is>
          <t>-20.6</t>
        </is>
      </c>
      <c r="S58" s="25" t="inlineStr">
        <is>
          <t>-21.6</t>
        </is>
      </c>
      <c r="T58" s="25" t="inlineStr">
        <is>
          <t>Away</t>
        </is>
      </c>
      <c r="U58" s="26" t="inlineStr">
        <is>
          <t>Loss</t>
        </is>
      </c>
      <c r="V58" s="25" t="inlineStr">
        <is>
          <t>Yes</t>
        </is>
      </c>
      <c r="W58" s="25" t="inlineStr">
        <is>
          <t>No</t>
        </is>
      </c>
      <c r="X58" s="27" t="inlineStr">
        <is>
          <t>Gamma</t>
        </is>
      </c>
      <c r="Y58" s="25" t="inlineStr">
        <is>
          <t>-0.5</t>
        </is>
      </c>
      <c r="Z58" s="25" t="inlineStr">
        <is>
          <t>-22.8</t>
        </is>
      </c>
      <c r="AA58" s="25" t="inlineStr">
        <is>
          <t>+81.1</t>
        </is>
      </c>
      <c r="AB58" s="25" t="inlineStr">
        <is>
          <t>-19.8</t>
        </is>
      </c>
    </row>
    <row r="59">
      <c r="A59" s="25" t="n">
        <v>2</v>
      </c>
      <c r="B59" s="25" t="inlineStr">
        <is>
          <t>UNLV @ North Texas</t>
        </is>
      </c>
      <c r="C59" s="25" t="inlineStr">
        <is>
          <t>6-44</t>
        </is>
      </c>
      <c r="D59" s="25" t="inlineStr">
        <is>
          <t>+2.8</t>
        </is>
      </c>
      <c r="E59" s="25" t="inlineStr">
        <is>
          <t>+38.0</t>
        </is>
      </c>
      <c r="F59" s="25" t="inlineStr">
        <is>
          <t>-3.6</t>
        </is>
      </c>
      <c r="G59" s="25" t="inlineStr">
        <is>
          <t>+6.3</t>
        </is>
      </c>
      <c r="H59" s="25" t="inlineStr">
        <is>
          <t>Home</t>
        </is>
      </c>
      <c r="I59" s="27" t="inlineStr">
        <is>
          <t>Win</t>
        </is>
      </c>
      <c r="J59" s="25" t="inlineStr">
        <is>
          <t>+1.6</t>
        </is>
      </c>
      <c r="K59" s="25" t="inlineStr">
        <is>
          <t>+1.1</t>
        </is>
      </c>
      <c r="L59" s="25" t="inlineStr">
        <is>
          <t>Home</t>
        </is>
      </c>
      <c r="M59" s="27" t="inlineStr">
        <is>
          <t>Win (no real edge)</t>
        </is>
      </c>
      <c r="N59" s="25" t="inlineStr">
        <is>
          <t>-5.3</t>
        </is>
      </c>
      <c r="O59" s="25" t="inlineStr">
        <is>
          <t>+8.0</t>
        </is>
      </c>
      <c r="P59" s="25" t="inlineStr">
        <is>
          <t>Home</t>
        </is>
      </c>
      <c r="Q59" s="27" t="inlineStr">
        <is>
          <t>Win</t>
        </is>
      </c>
      <c r="R59" s="25" t="inlineStr">
        <is>
          <t>+5.7</t>
        </is>
      </c>
      <c r="S59" s="25" t="inlineStr">
        <is>
          <t>-3.0</t>
        </is>
      </c>
      <c r="T59" s="25" t="inlineStr">
        <is>
          <t>Away</t>
        </is>
      </c>
      <c r="U59" s="26" t="inlineStr">
        <is>
          <t>Loss</t>
        </is>
      </c>
      <c r="V59" s="25" t="inlineStr">
        <is>
          <t>Yes</t>
        </is>
      </c>
      <c r="W59" s="25" t="inlineStr">
        <is>
          <t>Yes</t>
        </is>
      </c>
      <c r="X59" s="27" t="inlineStr">
        <is>
          <t>XGBoost</t>
        </is>
      </c>
      <c r="Y59" s="25" t="inlineStr">
        <is>
          <t>+5.9</t>
        </is>
      </c>
      <c r="Z59" s="25" t="inlineStr">
        <is>
          <t>-21.7</t>
        </is>
      </c>
      <c r="AA59" s="25" t="inlineStr">
        <is>
          <t>+89.1</t>
        </is>
      </c>
      <c r="AB59" s="25" t="inlineStr">
        <is>
          <t>-22.7</t>
        </is>
      </c>
    </row>
    <row r="60">
      <c r="A60" s="25" t="n">
        <v>2</v>
      </c>
      <c r="B60" s="25" t="inlineStr">
        <is>
          <t>Illinois State @ Northern Illinois</t>
        </is>
      </c>
      <c r="C60" s="25" t="inlineStr">
        <is>
          <t>28-24</t>
        </is>
      </c>
      <c r="D60" s="25" t="inlineStr">
        <is>
          <t>+2.5</t>
        </is>
      </c>
      <c r="E60" s="25" t="inlineStr">
        <is>
          <t>-4.0</t>
        </is>
      </c>
      <c r="F60" s="25" t="inlineStr">
        <is>
          <t>-15.0</t>
        </is>
      </c>
      <c r="G60" s="25" t="inlineStr">
        <is>
          <t>+17.5</t>
        </is>
      </c>
      <c r="H60" s="25" t="inlineStr">
        <is>
          <t>Home</t>
        </is>
      </c>
      <c r="I60" s="26" t="inlineStr">
        <is>
          <t>Loss</t>
        </is>
      </c>
      <c r="J60" s="25" t="inlineStr">
        <is>
          <t>-15.7</t>
        </is>
      </c>
      <c r="K60" s="25" t="inlineStr">
        <is>
          <t>+18.2</t>
        </is>
      </c>
      <c r="L60" s="25" t="inlineStr">
        <is>
          <t>Home</t>
        </is>
      </c>
      <c r="M60" s="26" t="inlineStr">
        <is>
          <t>Loss</t>
        </is>
      </c>
      <c r="N60" s="25" t="inlineStr">
        <is>
          <t>-23.3</t>
        </is>
      </c>
      <c r="O60" s="25" t="inlineStr">
        <is>
          <t>+25.8</t>
        </is>
      </c>
      <c r="P60" s="25" t="inlineStr">
        <is>
          <t>Home</t>
        </is>
      </c>
      <c r="Q60" s="26" t="inlineStr">
        <is>
          <t>Loss</t>
        </is>
      </c>
      <c r="R60" s="25" t="inlineStr">
        <is>
          <t>+5.0</t>
        </is>
      </c>
      <c r="S60" s="25" t="inlineStr">
        <is>
          <t>-2.5</t>
        </is>
      </c>
      <c r="T60" s="25" t="inlineStr">
        <is>
          <t>Away</t>
        </is>
      </c>
      <c r="U60" s="27" t="inlineStr">
        <is>
          <t>Win</t>
        </is>
      </c>
      <c r="V60" s="25" t="inlineStr">
        <is>
          <t>Yes</t>
        </is>
      </c>
      <c r="W60" s="25" t="inlineStr">
        <is>
          <t>Yes</t>
        </is>
      </c>
      <c r="X60" s="27" t="inlineStr">
        <is>
          <t>Massey</t>
        </is>
      </c>
      <c r="Y60" s="25" t="inlineStr">
        <is>
          <t>+23.4</t>
        </is>
      </c>
      <c r="Z60" s="25" t="inlineStr">
        <is>
          <t>-3.4</t>
        </is>
      </c>
      <c r="AA60" s="25" t="inlineStr">
        <is>
          <t>+114.9</t>
        </is>
      </c>
      <c r="AB60" s="25" t="inlineStr">
        <is>
          <t>-25.2</t>
        </is>
      </c>
    </row>
    <row r="61">
      <c r="A61" s="25" t="n">
        <v>2</v>
      </c>
      <c r="B61" s="25" t="inlineStr">
        <is>
          <t>Cal Poly @ San José State</t>
        </is>
      </c>
      <c r="C61" s="25" t="inlineStr">
        <is>
          <t>20-30</t>
        </is>
      </c>
      <c r="D61" s="25" t="inlineStr">
        <is>
          <t>-21.5</t>
        </is>
      </c>
      <c r="E61" s="25" t="inlineStr">
        <is>
          <t>+10.0</t>
        </is>
      </c>
      <c r="F61" s="25" t="inlineStr">
        <is>
          <t>-19.9</t>
        </is>
      </c>
      <c r="G61" s="25" t="inlineStr">
        <is>
          <t>-1.6</t>
        </is>
      </c>
      <c r="H61" s="25" t="inlineStr">
        <is>
          <t>Away</t>
        </is>
      </c>
      <c r="I61" s="27" t="inlineStr">
        <is>
          <t>Win (no real edge)</t>
        </is>
      </c>
      <c r="J61" s="25" t="inlineStr">
        <is>
          <t>-27.9</t>
        </is>
      </c>
      <c r="K61" s="25" t="inlineStr">
        <is>
          <t>+6.4</t>
        </is>
      </c>
      <c r="L61" s="25" t="inlineStr">
        <is>
          <t>Home</t>
        </is>
      </c>
      <c r="M61" s="26" t="inlineStr">
        <is>
          <t>Loss</t>
        </is>
      </c>
      <c r="N61" s="25" t="inlineStr">
        <is>
          <t>-30.7</t>
        </is>
      </c>
      <c r="O61" s="25" t="inlineStr">
        <is>
          <t>+9.2</t>
        </is>
      </c>
      <c r="P61" s="25" t="inlineStr">
        <is>
          <t>Home</t>
        </is>
      </c>
      <c r="Q61" s="26" t="inlineStr">
        <is>
          <t>Loss</t>
        </is>
      </c>
      <c r="R61" s="25" t="inlineStr">
        <is>
          <t>-6.5</t>
        </is>
      </c>
      <c r="S61" s="25" t="inlineStr">
        <is>
          <t>-15.0</t>
        </is>
      </c>
      <c r="T61" s="25" t="inlineStr">
        <is>
          <t>Away</t>
        </is>
      </c>
      <c r="U61" s="27" t="inlineStr">
        <is>
          <t>Win</t>
        </is>
      </c>
      <c r="V61" s="25" t="inlineStr">
        <is>
          <t>No</t>
        </is>
      </c>
      <c r="W61" s="25" t="inlineStr">
        <is>
          <t>No</t>
        </is>
      </c>
      <c r="X61" s="27" t="inlineStr">
        <is>
          <t>Ridge</t>
        </is>
      </c>
      <c r="Y61" s="25" t="inlineStr">
        <is>
          <t>+21.8</t>
        </is>
      </c>
      <c r="Z61" s="25" t="inlineStr">
        <is>
          <t>+3.0</t>
        </is>
      </c>
      <c r="AA61" s="25" t="inlineStr">
        <is>
          <t>+124.1</t>
        </is>
      </c>
      <c r="AB61" s="25" t="inlineStr">
        <is>
          <t>-40.2</t>
        </is>
      </c>
    </row>
    <row r="62">
      <c r="A62" s="25" t="n">
        <v>2</v>
      </c>
      <c r="B62" s="25" t="inlineStr">
        <is>
          <t>Texas Southern @ UTEP</t>
        </is>
      </c>
      <c r="C62" s="25" t="inlineStr">
        <is>
          <t>10-51</t>
        </is>
      </c>
      <c r="D62" s="25" t="inlineStr">
        <is>
          <t>-27.2</t>
        </is>
      </c>
      <c r="E62" s="25" t="inlineStr">
        <is>
          <t>+41.0</t>
        </is>
      </c>
      <c r="F62" s="25" t="inlineStr">
        <is>
          <t>-14.6</t>
        </is>
      </c>
      <c r="G62" s="25" t="inlineStr">
        <is>
          <t>-12.6</t>
        </is>
      </c>
      <c r="H62" s="25" t="inlineStr">
        <is>
          <t>Away</t>
        </is>
      </c>
      <c r="I62" s="26" t="inlineStr">
        <is>
          <t>Loss</t>
        </is>
      </c>
      <c r="J62" s="25" t="inlineStr">
        <is>
          <t>-20.5</t>
        </is>
      </c>
      <c r="K62" s="25" t="inlineStr">
        <is>
          <t>-6.8</t>
        </is>
      </c>
      <c r="L62" s="25" t="inlineStr">
        <is>
          <t>Away</t>
        </is>
      </c>
      <c r="M62" s="26" t="inlineStr">
        <is>
          <t>Loss</t>
        </is>
      </c>
      <c r="N62" s="25" t="inlineStr">
        <is>
          <t>-19.8</t>
        </is>
      </c>
      <c r="O62" s="25" t="inlineStr">
        <is>
          <t>-7.5</t>
        </is>
      </c>
      <c r="P62" s="25" t="inlineStr">
        <is>
          <t>Away</t>
        </is>
      </c>
      <c r="Q62" s="26" t="inlineStr">
        <is>
          <t>Loss</t>
        </is>
      </c>
      <c r="R62" s="25" t="inlineStr">
        <is>
          <t>+7.8</t>
        </is>
      </c>
      <c r="S62" s="25" t="inlineStr">
        <is>
          <t>-35.0</t>
        </is>
      </c>
      <c r="T62" s="25" t="inlineStr">
        <is>
          <t>Away</t>
        </is>
      </c>
      <c r="U62" s="26" t="inlineStr">
        <is>
          <t>Loss</t>
        </is>
      </c>
      <c r="V62" s="25" t="inlineStr">
        <is>
          <t>Yes</t>
        </is>
      </c>
      <c r="W62" s="25" t="inlineStr">
        <is>
          <t>Yes</t>
        </is>
      </c>
      <c r="X62" s="27" t="inlineStr">
        <is>
          <t>XGBoost</t>
        </is>
      </c>
      <c r="Y62" s="25" t="inlineStr">
        <is>
          <t>+9.2</t>
        </is>
      </c>
      <c r="Z62" s="25" t="inlineStr">
        <is>
          <t>-3.8</t>
        </is>
      </c>
      <c r="AA62" s="25" t="inlineStr">
        <is>
          <t>+116.6</t>
        </is>
      </c>
      <c r="AB62" s="25" t="inlineStr">
        <is>
          <t>-75.2</t>
        </is>
      </c>
    </row>
    <row r="63">
      <c r="A63" s="25" t="n">
        <v>2</v>
      </c>
      <c r="B63" s="25" t="inlineStr">
        <is>
          <t>Northern Colorado @ Wyoming</t>
        </is>
      </c>
      <c r="C63" s="25" t="inlineStr">
        <is>
          <t>13-21</t>
        </is>
      </c>
      <c r="D63" s="25" t="inlineStr">
        <is>
          <t>-23.5</t>
        </is>
      </c>
      <c r="E63" s="25" t="inlineStr">
        <is>
          <t>+8.0</t>
        </is>
      </c>
      <c r="F63" s="25" t="inlineStr">
        <is>
          <t>-16.3</t>
        </is>
      </c>
      <c r="G63" s="25" t="inlineStr">
        <is>
          <t>-7.2</t>
        </is>
      </c>
      <c r="H63" s="25" t="inlineStr">
        <is>
          <t>Away</t>
        </is>
      </c>
      <c r="I63" s="27" t="inlineStr">
        <is>
          <t>Win</t>
        </is>
      </c>
      <c r="J63" s="25" t="inlineStr">
        <is>
          <t>-21.8</t>
        </is>
      </c>
      <c r="K63" s="25" t="inlineStr">
        <is>
          <t>-1.7</t>
        </is>
      </c>
      <c r="L63" s="25" t="inlineStr">
        <is>
          <t>Away</t>
        </is>
      </c>
      <c r="M63" s="27" t="inlineStr">
        <is>
          <t>Win (no real edge)</t>
        </is>
      </c>
      <c r="N63" s="25" t="inlineStr">
        <is>
          <t>-27.6</t>
        </is>
      </c>
      <c r="O63" s="25" t="inlineStr">
        <is>
          <t>+4.1</t>
        </is>
      </c>
      <c r="P63" s="25" t="inlineStr">
        <is>
          <t>Home</t>
        </is>
      </c>
      <c r="Q63" s="26" t="inlineStr">
        <is>
          <t>Loss</t>
        </is>
      </c>
      <c r="R63" s="25" t="inlineStr">
        <is>
          <t>+0.5</t>
        </is>
      </c>
      <c r="S63" s="25" t="inlineStr">
        <is>
          <t>-24.0</t>
        </is>
      </c>
      <c r="T63" s="25" t="inlineStr">
        <is>
          <t>Away</t>
        </is>
      </c>
      <c r="U63" s="27" t="inlineStr">
        <is>
          <t>Win</t>
        </is>
      </c>
      <c r="V63" s="25" t="inlineStr">
        <is>
          <t>Yes</t>
        </is>
      </c>
      <c r="W63" s="25" t="inlineStr">
        <is>
          <t>No</t>
        </is>
      </c>
      <c r="X63" s="27" t="inlineStr">
        <is>
          <t>XGBoost</t>
        </is>
      </c>
      <c r="Y63" s="25" t="inlineStr">
        <is>
          <t>+2.0</t>
        </is>
      </c>
      <c r="Z63" s="25" t="inlineStr">
        <is>
          <t>-5.5</t>
        </is>
      </c>
      <c r="AA63" s="25" t="inlineStr">
        <is>
          <t>+120.7</t>
        </is>
      </c>
      <c r="AB63" s="25" t="inlineStr">
        <is>
          <t>-99.2</t>
        </is>
      </c>
    </row>
    <row r="64">
      <c r="A64" s="25" t="n">
        <v>3</v>
      </c>
      <c r="B64" s="25" t="inlineStr">
        <is>
          <t>Northern Illinois @ Arizona</t>
        </is>
      </c>
      <c r="C64" s="25" t="inlineStr">
        <is>
          <t>17-42</t>
        </is>
      </c>
      <c r="D64" s="25" t="inlineStr">
        <is>
          <t>-34.5</t>
        </is>
      </c>
      <c r="E64" s="25" t="inlineStr">
        <is>
          <t>+25.0</t>
        </is>
      </c>
      <c r="F64" s="25" t="inlineStr">
        <is>
          <t>-26.3</t>
        </is>
      </c>
      <c r="G64" s="25" t="inlineStr">
        <is>
          <t>-8.2</t>
        </is>
      </c>
      <c r="H64" s="25" t="inlineStr">
        <is>
          <t>Away</t>
        </is>
      </c>
      <c r="I64" s="27" t="inlineStr">
        <is>
          <t>Win</t>
        </is>
      </c>
      <c r="J64" s="25" t="inlineStr">
        <is>
          <t>-20.9</t>
        </is>
      </c>
      <c r="K64" s="25" t="inlineStr">
        <is>
          <t>-13.6</t>
        </is>
      </c>
      <c r="L64" s="25" t="inlineStr">
        <is>
          <t>Away</t>
        </is>
      </c>
      <c r="M64" s="27" t="inlineStr">
        <is>
          <t>Win</t>
        </is>
      </c>
      <c r="N64" s="25" t="inlineStr">
        <is>
          <t>-30.9</t>
        </is>
      </c>
      <c r="O64" s="25" t="inlineStr">
        <is>
          <t>-3.6</t>
        </is>
      </c>
      <c r="P64" s="25" t="inlineStr">
        <is>
          <t>Away</t>
        </is>
      </c>
      <c r="Q64" s="27" t="inlineStr">
        <is>
          <t>Win</t>
        </is>
      </c>
      <c r="R64" s="25" t="inlineStr">
        <is>
          <t>-19.0</t>
        </is>
      </c>
      <c r="S64" s="25" t="inlineStr">
        <is>
          <t>-15.5</t>
        </is>
      </c>
      <c r="T64" s="25" t="inlineStr">
        <is>
          <t>Away</t>
        </is>
      </c>
      <c r="U64" s="27" t="inlineStr">
        <is>
          <t>Win</t>
        </is>
      </c>
      <c r="V64" s="25" t="inlineStr">
        <is>
          <t>Yes</t>
        </is>
      </c>
      <c r="W64" s="25" t="inlineStr">
        <is>
          <t>Yes</t>
        </is>
      </c>
      <c r="X64" s="27" t="inlineStr">
        <is>
          <t>Gamma</t>
        </is>
      </c>
      <c r="Y64" s="25" t="inlineStr">
        <is>
          <t>-6.2</t>
        </is>
      </c>
      <c r="Z64" s="25" t="inlineStr">
        <is>
          <t>-19.0</t>
        </is>
      </c>
      <c r="AA64" s="25" t="inlineStr">
        <is>
          <t>+117.1</t>
        </is>
      </c>
      <c r="AB64" s="25" t="inlineStr">
        <is>
          <t>-114.7</t>
        </is>
      </c>
    </row>
    <row r="65">
      <c r="A65" s="25" t="n">
        <v>3</v>
      </c>
      <c r="B65" s="25" t="inlineStr">
        <is>
          <t>Wyoming @ Central Michigan</t>
        </is>
      </c>
      <c r="C65" s="25" t="inlineStr">
        <is>
          <t>10-24</t>
        </is>
      </c>
      <c r="D65" s="25" t="inlineStr">
        <is>
          <t>+1.8</t>
        </is>
      </c>
      <c r="E65" s="25" t="inlineStr">
        <is>
          <t>+14.0</t>
        </is>
      </c>
      <c r="F65" s="25" t="inlineStr">
        <is>
          <t>-9.5</t>
        </is>
      </c>
      <c r="G65" s="25" t="inlineStr">
        <is>
          <t>+11.3</t>
        </is>
      </c>
      <c r="H65" s="25" t="inlineStr">
        <is>
          <t>Home</t>
        </is>
      </c>
      <c r="I65" s="27" t="inlineStr">
        <is>
          <t>Win</t>
        </is>
      </c>
      <c r="J65" s="25" t="inlineStr">
        <is>
          <t>-8.6</t>
        </is>
      </c>
      <c r="K65" s="25" t="inlineStr">
        <is>
          <t>+10.4</t>
        </is>
      </c>
      <c r="L65" s="25" t="inlineStr">
        <is>
          <t>Home</t>
        </is>
      </c>
      <c r="M65" s="27" t="inlineStr">
        <is>
          <t>Win</t>
        </is>
      </c>
      <c r="N65" s="25" t="inlineStr">
        <is>
          <t>-9.3</t>
        </is>
      </c>
      <c r="O65" s="25" t="inlineStr">
        <is>
          <t>+11.0</t>
        </is>
      </c>
      <c r="P65" s="25" t="inlineStr">
        <is>
          <t>Home</t>
        </is>
      </c>
      <c r="Q65" s="27" t="inlineStr">
        <is>
          <t>Win</t>
        </is>
      </c>
      <c r="R65" s="25" t="inlineStr">
        <is>
          <t>-2.2</t>
        </is>
      </c>
      <c r="S65" s="25" t="inlineStr">
        <is>
          <t>+4.0</t>
        </is>
      </c>
      <c r="T65" s="25" t="inlineStr">
        <is>
          <t>Home</t>
        </is>
      </c>
      <c r="U65" s="27" t="inlineStr">
        <is>
          <t>Win</t>
        </is>
      </c>
      <c r="V65" s="25" t="inlineStr">
        <is>
          <t>Yes</t>
        </is>
      </c>
      <c r="W65" s="25" t="inlineStr">
        <is>
          <t>Yes</t>
        </is>
      </c>
      <c r="X65" s="27" t="inlineStr">
        <is>
          <t>Massey</t>
        </is>
      </c>
      <c r="Y65" s="25" t="inlineStr">
        <is>
          <t>+5.1</t>
        </is>
      </c>
      <c r="Z65" s="25" t="inlineStr">
        <is>
          <t>-8.7</t>
        </is>
      </c>
      <c r="AA65" s="25" t="inlineStr">
        <is>
          <t>+128.1</t>
        </is>
      </c>
      <c r="AB65" s="25" t="inlineStr">
        <is>
          <t>-110.7</t>
        </is>
      </c>
    </row>
    <row r="66">
      <c r="A66" s="25" t="n">
        <v>3</v>
      </c>
      <c r="B66" s="25" t="inlineStr">
        <is>
          <t>UTEP @ Michigan</t>
        </is>
      </c>
      <c r="C66" s="25" t="inlineStr">
        <is>
          <t>17-52</t>
        </is>
      </c>
      <c r="D66" s="25" t="inlineStr">
        <is>
          <t>-34.5</t>
        </is>
      </c>
      <c r="E66" s="25" t="inlineStr">
        <is>
          <t>+35.0</t>
        </is>
      </c>
      <c r="F66" s="25" t="inlineStr">
        <is>
          <t>-35.0</t>
        </is>
      </c>
      <c r="G66" s="25" t="inlineStr">
        <is>
          <t>+0.5</t>
        </is>
      </c>
      <c r="H66" s="25" t="inlineStr">
        <is>
          <t>Home</t>
        </is>
      </c>
      <c r="I66" s="27" t="inlineStr">
        <is>
          <t>Win (no real edge)</t>
        </is>
      </c>
      <c r="J66" s="25" t="inlineStr">
        <is>
          <t>-32.4</t>
        </is>
      </c>
      <c r="K66" s="25" t="inlineStr">
        <is>
          <t>-2.1</t>
        </is>
      </c>
      <c r="L66" s="25" t="inlineStr">
        <is>
          <t>Away</t>
        </is>
      </c>
      <c r="M66" s="26" t="inlineStr">
        <is>
          <t>Loss</t>
        </is>
      </c>
      <c r="N66" s="25" t="inlineStr">
        <is>
          <t>-29.7</t>
        </is>
      </c>
      <c r="O66" s="25" t="inlineStr">
        <is>
          <t>-4.8</t>
        </is>
      </c>
      <c r="P66" s="25" t="inlineStr">
        <is>
          <t>Away</t>
        </is>
      </c>
      <c r="Q66" s="26" t="inlineStr">
        <is>
          <t>Loss</t>
        </is>
      </c>
      <c r="R66" s="25" t="inlineStr">
        <is>
          <t>-11.8</t>
        </is>
      </c>
      <c r="S66" s="25" t="inlineStr">
        <is>
          <t>-22.7</t>
        </is>
      </c>
      <c r="T66" s="25" t="inlineStr">
        <is>
          <t>Away</t>
        </is>
      </c>
      <c r="U66" s="26" t="inlineStr">
        <is>
          <t>Loss</t>
        </is>
      </c>
      <c r="V66" s="25" t="inlineStr">
        <is>
          <t>No</t>
        </is>
      </c>
      <c r="W66" s="25" t="inlineStr">
        <is>
          <t>No</t>
        </is>
      </c>
      <c r="X66" s="27" t="inlineStr">
        <is>
          <t>Ridge</t>
        </is>
      </c>
      <c r="Y66" s="25" t="inlineStr">
        <is>
          <t>+5.6</t>
        </is>
      </c>
      <c r="Z66" s="25" t="inlineStr">
        <is>
          <t>-10.8</t>
        </is>
      </c>
      <c r="AA66" s="25" t="inlineStr">
        <is>
          <t>+123.3</t>
        </is>
      </c>
      <c r="AB66" s="25" t="inlineStr">
        <is>
          <t>-133.4</t>
        </is>
      </c>
    </row>
    <row r="67">
      <c r="A67" s="25" t="n">
        <v>3</v>
      </c>
      <c r="B67" s="25" t="inlineStr">
        <is>
          <t>Nevada @ Middle Tennessee</t>
        </is>
      </c>
      <c r="C67" s="25" t="inlineStr">
        <is>
          <t>20-27</t>
        </is>
      </c>
      <c r="D67" s="25" t="inlineStr">
        <is>
          <t>+3.8</t>
        </is>
      </c>
      <c r="E67" s="25" t="inlineStr">
        <is>
          <t>+7.0</t>
        </is>
      </c>
      <c r="F67" s="25" t="inlineStr">
        <is>
          <t>-3.6</t>
        </is>
      </c>
      <c r="G67" s="25" t="inlineStr">
        <is>
          <t>+7.3</t>
        </is>
      </c>
      <c r="H67" s="25" t="inlineStr">
        <is>
          <t>Home</t>
        </is>
      </c>
      <c r="I67" s="27" t="inlineStr">
        <is>
          <t>Win</t>
        </is>
      </c>
      <c r="J67" s="25" t="inlineStr">
        <is>
          <t>+1.2</t>
        </is>
      </c>
      <c r="K67" s="25" t="inlineStr">
        <is>
          <t>+2.5</t>
        </is>
      </c>
      <c r="L67" s="25" t="inlineStr">
        <is>
          <t>Home</t>
        </is>
      </c>
      <c r="M67" s="27" t="inlineStr">
        <is>
          <t>Win</t>
        </is>
      </c>
      <c r="N67" s="25" t="inlineStr">
        <is>
          <t>+2.9</t>
        </is>
      </c>
      <c r="O67" s="25" t="inlineStr">
        <is>
          <t>+0.9</t>
        </is>
      </c>
      <c r="P67" s="25" t="inlineStr">
        <is>
          <t>Home</t>
        </is>
      </c>
      <c r="Q67" s="27" t="inlineStr">
        <is>
          <t>Win (no real edge)</t>
        </is>
      </c>
      <c r="R67" s="25" t="inlineStr">
        <is>
          <t>-4.9</t>
        </is>
      </c>
      <c r="S67" s="25" t="inlineStr">
        <is>
          <t>+8.7</t>
        </is>
      </c>
      <c r="T67" s="25" t="inlineStr">
        <is>
          <t>Home</t>
        </is>
      </c>
      <c r="U67" s="27" t="inlineStr">
        <is>
          <t>Win</t>
        </is>
      </c>
      <c r="V67" s="25" t="inlineStr">
        <is>
          <t>Yes</t>
        </is>
      </c>
      <c r="W67" s="25" t="inlineStr">
        <is>
          <t>Yes</t>
        </is>
      </c>
      <c r="X67" s="27" t="inlineStr">
        <is>
          <t>Gamma</t>
        </is>
      </c>
      <c r="Y67" s="25" t="inlineStr">
        <is>
          <t>+12.9</t>
        </is>
      </c>
      <c r="Z67" s="25" t="inlineStr">
        <is>
          <t>-8.3</t>
        </is>
      </c>
      <c r="AA67" s="25" t="inlineStr">
        <is>
          <t>+124.2</t>
        </is>
      </c>
      <c r="AB67" s="25" t="inlineStr">
        <is>
          <t>-124.8</t>
        </is>
      </c>
    </row>
    <row r="68">
      <c r="A68" s="25" t="n">
        <v>3</v>
      </c>
      <c r="B68" s="25" t="inlineStr">
        <is>
          <t>New Mexico @ Oklahoma</t>
        </is>
      </c>
      <c r="C68" s="25" t="inlineStr">
        <is>
          <t>6-14</t>
        </is>
      </c>
      <c r="D68" s="25" t="inlineStr">
        <is>
          <t>-21.2</t>
        </is>
      </c>
      <c r="E68" s="25" t="inlineStr">
        <is>
          <t>+8.0</t>
        </is>
      </c>
      <c r="F68" s="25" t="inlineStr">
        <is>
          <t>-14.1</t>
        </is>
      </c>
      <c r="G68" s="25" t="inlineStr">
        <is>
          <t>-7.2</t>
        </is>
      </c>
      <c r="H68" s="25" t="inlineStr">
        <is>
          <t>Away</t>
        </is>
      </c>
      <c r="I68" s="27" t="inlineStr">
        <is>
          <t>Win</t>
        </is>
      </c>
      <c r="J68" s="25" t="inlineStr">
        <is>
          <t>-14.9</t>
        </is>
      </c>
      <c r="K68" s="25" t="inlineStr">
        <is>
          <t>-6.3</t>
        </is>
      </c>
      <c r="L68" s="25" t="inlineStr">
        <is>
          <t>Away</t>
        </is>
      </c>
      <c r="M68" s="27" t="inlineStr">
        <is>
          <t>Win</t>
        </is>
      </c>
      <c r="N68" s="25" t="inlineStr">
        <is>
          <t>-10.8</t>
        </is>
      </c>
      <c r="O68" s="25" t="inlineStr">
        <is>
          <t>-10.4</t>
        </is>
      </c>
      <c r="P68" s="25" t="inlineStr">
        <is>
          <t>Away</t>
        </is>
      </c>
      <c r="Q68" s="27" t="inlineStr">
        <is>
          <t>Win</t>
        </is>
      </c>
      <c r="R68" s="25" t="inlineStr">
        <is>
          <t>+0.4</t>
        </is>
      </c>
      <c r="S68" s="25" t="inlineStr">
        <is>
          <t>-21.6</t>
        </is>
      </c>
      <c r="T68" s="25" t="inlineStr">
        <is>
          <t>Away</t>
        </is>
      </c>
      <c r="U68" s="27" t="inlineStr">
        <is>
          <t>Win</t>
        </is>
      </c>
      <c r="V68" s="25" t="inlineStr">
        <is>
          <t>Yes</t>
        </is>
      </c>
      <c r="W68" s="25" t="inlineStr">
        <is>
          <t>Yes</t>
        </is>
      </c>
      <c r="X68" s="27" t="inlineStr">
        <is>
          <t>XGBoost</t>
        </is>
      </c>
      <c r="Y68" s="25" t="inlineStr">
        <is>
          <t>+5.7</t>
        </is>
      </c>
      <c r="Z68" s="25" t="inlineStr">
        <is>
          <t>-14.6</t>
        </is>
      </c>
      <c r="AA68" s="25" t="inlineStr">
        <is>
          <t>+113.8</t>
        </is>
      </c>
      <c r="AB68" s="25" t="inlineStr">
        <is>
          <t>-146.4</t>
        </is>
      </c>
    </row>
    <row r="69">
      <c r="A69" s="25" t="n">
        <v>3</v>
      </c>
      <c r="B69" s="25" t="inlineStr">
        <is>
          <t>North Dakota State @ Sacramento State</t>
        </is>
      </c>
      <c r="C69" s="25" t="inlineStr">
        <is>
          <t>31-10</t>
        </is>
      </c>
      <c r="D69" s="25" t="inlineStr">
        <is>
          <t>+25.5</t>
        </is>
      </c>
      <c r="E69" s="25" t="inlineStr">
        <is>
          <t>-21.0</t>
        </is>
      </c>
      <c r="F69" s="25" t="inlineStr">
        <is>
          <t>+13.0</t>
        </is>
      </c>
      <c r="G69" s="25" t="inlineStr">
        <is>
          <t>+12.5</t>
        </is>
      </c>
      <c r="H69" s="25" t="inlineStr">
        <is>
          <t>Home</t>
        </is>
      </c>
      <c r="I69" s="27" t="inlineStr">
        <is>
          <t>Win</t>
        </is>
      </c>
      <c r="J69" s="25" t="inlineStr">
        <is>
          <t>+17.7</t>
        </is>
      </c>
      <c r="K69" s="25" t="inlineStr">
        <is>
          <t>+7.8</t>
        </is>
      </c>
      <c r="L69" s="25" t="inlineStr">
        <is>
          <t>Home</t>
        </is>
      </c>
      <c r="M69" s="27" t="inlineStr">
        <is>
          <t>Win</t>
        </is>
      </c>
      <c r="N69" s="25" t="inlineStr">
        <is>
          <t>+35.9</t>
        </is>
      </c>
      <c r="O69" s="25" t="inlineStr">
        <is>
          <t>-10.4</t>
        </is>
      </c>
      <c r="P69" s="25" t="inlineStr">
        <is>
          <t>Away</t>
        </is>
      </c>
      <c r="Q69" s="26" t="inlineStr">
        <is>
          <t>Loss</t>
        </is>
      </c>
      <c r="R69" s="25" t="inlineStr">
        <is>
          <t>+12.2</t>
        </is>
      </c>
      <c r="S69" s="25" t="inlineStr">
        <is>
          <t>+13.3</t>
        </is>
      </c>
      <c r="T69" s="25" t="inlineStr">
        <is>
          <t>Home</t>
        </is>
      </c>
      <c r="U69" s="27" t="inlineStr">
        <is>
          <t>Win</t>
        </is>
      </c>
      <c r="V69" s="25" t="inlineStr">
        <is>
          <t>Yes</t>
        </is>
      </c>
      <c r="W69" s="25" t="inlineStr">
        <is>
          <t>No</t>
        </is>
      </c>
      <c r="X69" s="27" t="inlineStr">
        <is>
          <t>XGBoost</t>
        </is>
      </c>
      <c r="Y69" s="25" t="inlineStr">
        <is>
          <t>+18.2</t>
        </is>
      </c>
      <c r="Z69" s="25" t="inlineStr">
        <is>
          <t>-6.8</t>
        </is>
      </c>
      <c r="AA69" s="25" t="inlineStr">
        <is>
          <t>+103.3</t>
        </is>
      </c>
      <c r="AB69" s="25" t="inlineStr">
        <is>
          <t>-133.1</t>
        </is>
      </c>
    </row>
    <row r="70">
      <c r="A70" s="25" t="n">
        <v>3</v>
      </c>
      <c r="B70" s="25" t="inlineStr">
        <is>
          <t>Fresno State @ San José State</t>
        </is>
      </c>
      <c r="C70" s="25" t="inlineStr">
        <is>
          <t>26-10</t>
        </is>
      </c>
      <c r="D70" s="25" t="inlineStr">
        <is>
          <t>+4.0</t>
        </is>
      </c>
      <c r="E70" s="25" t="inlineStr">
        <is>
          <t>-16.0</t>
        </is>
      </c>
      <c r="F70" s="25" t="inlineStr">
        <is>
          <t>+3.1</t>
        </is>
      </c>
      <c r="G70" s="25" t="inlineStr">
        <is>
          <t>+0.9</t>
        </is>
      </c>
      <c r="H70" s="25" t="inlineStr">
        <is>
          <t>Home</t>
        </is>
      </c>
      <c r="I70" s="26" t="inlineStr">
        <is>
          <t>Loss (no real edge)</t>
        </is>
      </c>
      <c r="J70" s="25" t="inlineStr">
        <is>
          <t>+11.4</t>
        </is>
      </c>
      <c r="K70" s="25" t="inlineStr">
        <is>
          <t>-7.4</t>
        </is>
      </c>
      <c r="L70" s="25" t="inlineStr">
        <is>
          <t>Away</t>
        </is>
      </c>
      <c r="M70" s="27" t="inlineStr">
        <is>
          <t>Win</t>
        </is>
      </c>
      <c r="N70" s="25" t="inlineStr">
        <is>
          <t>+1.2</t>
        </is>
      </c>
      <c r="O70" s="25" t="inlineStr">
        <is>
          <t>+2.8</t>
        </is>
      </c>
      <c r="P70" s="25" t="inlineStr">
        <is>
          <t>Home</t>
        </is>
      </c>
      <c r="Q70" s="26" t="inlineStr">
        <is>
          <t>Loss</t>
        </is>
      </c>
      <c r="R70" s="25" t="inlineStr">
        <is>
          <t>-2.2</t>
        </is>
      </c>
      <c r="S70" s="25" t="inlineStr">
        <is>
          <t>+6.2</t>
        </is>
      </c>
      <c r="T70" s="25" t="inlineStr">
        <is>
          <t>Home</t>
        </is>
      </c>
      <c r="U70" s="26" t="inlineStr">
        <is>
          <t>Loss</t>
        </is>
      </c>
      <c r="V70" s="25" t="inlineStr">
        <is>
          <t>No</t>
        </is>
      </c>
      <c r="W70" s="25" t="inlineStr">
        <is>
          <t>Yes</t>
        </is>
      </c>
      <c r="X70" s="27" t="inlineStr">
        <is>
          <t>Ridge</t>
        </is>
      </c>
      <c r="Y70" s="25" t="inlineStr">
        <is>
          <t>+19.1</t>
        </is>
      </c>
      <c r="Z70" s="25" t="inlineStr">
        <is>
          <t>-14.1</t>
        </is>
      </c>
      <c r="AA70" s="25" t="inlineStr">
        <is>
          <t>+106.1</t>
        </is>
      </c>
      <c r="AB70" s="25" t="inlineStr">
        <is>
          <t>-126.9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2026-09-26T19:30:52Z</dcterms:modified>
  <cp:lastModifiedBy>Edward Andrewlevich</cp:lastModifiedBy>
  <cp:revision>0</cp:revision>
</cp:coreProperties>
</file>