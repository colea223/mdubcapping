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EE992DA3-1537-4177-9F49-5F2C88B56324}" xr6:coauthVersionLast="47" xr6:coauthVersionMax="47" xr10:uidLastSave="{00000000-0000-0000-0000-000000000000}"/>
  <bookViews>
    <workbookView xWindow="-110" yWindow="-110" windowWidth="19420" windowHeight="1030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K14" i="3"/>
  <c r="N14" i="3" s="1"/>
  <c r="G14" i="3"/>
  <c r="K13" i="3"/>
  <c r="L13" i="3" s="1"/>
  <c r="H13" i="3"/>
  <c r="G13" i="3"/>
  <c r="M13" i="3" s="1"/>
  <c r="K12" i="3"/>
  <c r="N12" i="3" s="1"/>
  <c r="G12" i="3"/>
  <c r="H12" i="3" s="1"/>
  <c r="M12" i="3" s="1"/>
  <c r="K11" i="3"/>
  <c r="G11" i="3"/>
  <c r="N10" i="3"/>
  <c r="L10" i="3"/>
  <c r="K10" i="3"/>
  <c r="G10" i="3"/>
  <c r="M10" i="3" s="1"/>
  <c r="N9" i="3"/>
  <c r="M9" i="3"/>
  <c r="L9" i="3"/>
  <c r="K9" i="3"/>
  <c r="H9" i="3"/>
  <c r="G9" i="3"/>
  <c r="M8" i="3"/>
  <c r="K8" i="3"/>
  <c r="N8" i="3" s="1"/>
  <c r="H8" i="3"/>
  <c r="G8" i="3"/>
  <c r="K7" i="3"/>
  <c r="G7" i="3"/>
  <c r="N6" i="3"/>
  <c r="L6" i="3"/>
  <c r="K6" i="3"/>
  <c r="G6" i="3"/>
  <c r="N5" i="3"/>
  <c r="M5" i="3"/>
  <c r="L5" i="3"/>
  <c r="K5" i="3"/>
  <c r="H5" i="3"/>
  <c r="G5" i="3"/>
  <c r="M4" i="3"/>
  <c r="K4" i="3"/>
  <c r="H4" i="3"/>
  <c r="G4" i="3"/>
  <c r="K3" i="3"/>
  <c r="G3" i="3"/>
  <c r="N2" i="3"/>
  <c r="L2" i="3"/>
  <c r="K2" i="3"/>
  <c r="G2" i="3"/>
  <c r="M2" i="3" s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M40" i="4" l="1"/>
  <c r="M30" i="4"/>
  <c r="M3" i="4"/>
  <c r="M12" i="4"/>
  <c r="M3" i="3"/>
  <c r="M7" i="3"/>
  <c r="H11" i="3"/>
  <c r="M11" i="3" s="1"/>
  <c r="L12" i="3"/>
  <c r="N13" i="3"/>
  <c r="M9" i="4"/>
  <c r="M17" i="4"/>
  <c r="M25" i="4"/>
  <c r="M33" i="4"/>
  <c r="M41" i="4"/>
  <c r="H3" i="3"/>
  <c r="L4" i="3"/>
  <c r="N4" i="3" s="1"/>
  <c r="H7" i="3"/>
  <c r="L8" i="3"/>
  <c r="M4" i="4"/>
  <c r="M20" i="4"/>
  <c r="M28" i="4"/>
  <c r="M36" i="4"/>
  <c r="M31" i="4"/>
  <c r="M39" i="4"/>
  <c r="H2" i="3"/>
  <c r="L3" i="3"/>
  <c r="N3" i="3" s="1"/>
  <c r="H6" i="3"/>
  <c r="M6" i="3" s="1"/>
  <c r="L7" i="3"/>
  <c r="N7" i="3" s="1"/>
  <c r="H10" i="3"/>
  <c r="L11" i="3"/>
  <c r="N11" i="3" s="1"/>
  <c r="H14" i="3"/>
  <c r="M14" i="3" s="1"/>
  <c r="M14" i="4"/>
  <c r="M22" i="4"/>
  <c r="M38" i="4"/>
  <c r="M2" i="4"/>
  <c r="M10" i="4"/>
  <c r="M18" i="4"/>
  <c r="M26" i="4"/>
  <c r="M34" i="4"/>
  <c r="M11" i="4"/>
  <c r="M19" i="4"/>
  <c r="M27" i="4"/>
  <c r="M35" i="4"/>
  <c r="M6" i="4"/>
  <c r="M7" i="4"/>
  <c r="M15" i="4"/>
  <c r="M23" i="4"/>
  <c r="M5" i="4"/>
  <c r="M13" i="4"/>
  <c r="M21" i="4"/>
  <c r="M29" i="4"/>
  <c r="M37" i="4"/>
  <c r="L14" i="3"/>
  <c r="M8" i="4"/>
  <c r="M16" i="4"/>
  <c r="M24" i="4"/>
  <c r="M32" i="4"/>
</calcChain>
</file>

<file path=xl/sharedStrings.xml><?xml version="1.0" encoding="utf-8"?>
<sst xmlns="http://schemas.openxmlformats.org/spreadsheetml/2006/main" count="177" uniqueCount="121">
  <si>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</si>
  <si>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</si>
  <si>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</si>
  <si>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</si>
  <si>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</si>
  <si>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</si>
  <si>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</si>
  <si>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</si>
  <si>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</si>
  <si>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</si>
  <si>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</si>
  <si>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</si>
  <si>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</si>
  <si>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</si>
  <si>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Jacksonvillie State @ North Dakota State</t>
  </si>
  <si>
    <t>Spread</t>
  </si>
  <si>
    <t>North Dakota State -7.5</t>
  </si>
  <si>
    <t>Moneyline</t>
  </si>
  <si>
    <t>North Dakota State -285</t>
  </si>
  <si>
    <t>Memphis @ UNLV</t>
  </si>
  <si>
    <t>UNLV -178</t>
  </si>
  <si>
    <t>Jacksonvillie State @ North Dakota State,Memphis @ UNLV</t>
  </si>
  <si>
    <t>ML Parlay</t>
  </si>
  <si>
    <t>North Dakota State / UNLV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</si>
  <si>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</si>
  <si>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</si>
  <si>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</si>
  <si>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</si>
  <si>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</si>
  <si>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</si>
  <si>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</si>
  <si>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</si>
  <si>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</si>
  <si>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</si>
  <si>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</si>
  <si>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</si>
  <si>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</si>
  <si>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</si>
  <si>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</si>
  <si>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</si>
  <si>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</si>
  <si>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</si>
  <si>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</si>
  <si>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</si>
  <si>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</si>
  <si>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</si>
  <si>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</si>
  <si>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</si>
  <si>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</si>
  <si>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</si>
  <si>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</si>
  <si>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</si>
  <si>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</si>
  <si>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</si>
  <si>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</si>
  <si>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</si>
  <si>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</si>
  <si>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</si>
  <si>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</si>
  <si>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</si>
  <si>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</si>
  <si>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</si>
  <si>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</si>
  <si>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</si>
  <si>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</si>
  <si>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</si>
  <si>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</si>
  <si>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</si>
  <si>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</si>
  <si>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</si>
  <si>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San José State</t>
  </si>
  <si>
    <t>USC</t>
  </si>
  <si>
    <t>Jacksonville State</t>
  </si>
  <si>
    <t>North Dakota State</t>
  </si>
  <si>
    <t>Hawai'i</t>
  </si>
  <si>
    <t>Stanford</t>
  </si>
  <si>
    <t>2026-08-30</t>
  </si>
  <si>
    <t>Memphis</t>
  </si>
  <si>
    <t>UNLV</t>
  </si>
  <si>
    <t>Air Force</t>
  </si>
  <si>
    <t>2026-09-04</t>
  </si>
  <si>
    <t>Eastern Michigan</t>
  </si>
  <si>
    <t>2026-09-05</t>
  </si>
  <si>
    <t>Duquesne</t>
  </si>
  <si>
    <t>Nevada</t>
  </si>
  <si>
    <t>Fordham</t>
  </si>
  <si>
    <t>New Mexico</t>
  </si>
  <si>
    <t>Northern Illinois</t>
  </si>
  <si>
    <t>Iowa</t>
  </si>
  <si>
    <t>Wyoming</t>
  </si>
  <si>
    <t>Colorado State</t>
  </si>
  <si>
    <t>UTEP</t>
  </si>
  <si>
    <t>Oklahoma</t>
  </si>
  <si>
    <t>2026-09-06</t>
  </si>
  <si>
    <t>Central Michigan</t>
  </si>
  <si>
    <t>Western Kentucky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</si>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</sst>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  <xf numFmtId="0" fontId="8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25</v>
      </c>
    </row>
    <row r="2" spans="1:1" x14ac:dyDescent="0.35">
      <c r="A2" s="2" t="s">
        <v>26</v>
      </c>
    </row>
    <row r="3" spans="1:1" x14ac:dyDescent="0.35">
      <c r="A3" s="3"/>
    </row>
    <row r="4" spans="1:1" x14ac:dyDescent="0.35">
      <c r="A4" s="4" t="s">
        <v>27</v>
      </c>
    </row>
    <row r="5" spans="1:1" x14ac:dyDescent="0.35">
      <c r="A5" s="3" t="s">
        <v>28</v>
      </c>
    </row>
    <row r="6" spans="1:1" x14ac:dyDescent="0.35">
      <c r="A6" s="3" t="s">
        <v>29</v>
      </c>
    </row>
    <row r="7" spans="1:1" x14ac:dyDescent="0.35">
      <c r="A7" s="3" t="s">
        <v>30</v>
      </c>
    </row>
    <row r="8" spans="1:1" x14ac:dyDescent="0.35">
      <c r="A8" s="3"/>
    </row>
    <row r="9" spans="1:1" x14ac:dyDescent="0.35">
      <c r="A9" s="4" t="s">
        <v>31</v>
      </c>
    </row>
    <row r="10" spans="1:1" x14ac:dyDescent="0.35">
      <c r="A10" s="3" t="s">
        <v>32</v>
      </c>
    </row>
    <row r="11" spans="1:1" x14ac:dyDescent="0.35">
      <c r="A11" s="3" t="s">
        <v>33</v>
      </c>
    </row>
    <row r="12" spans="1:1" x14ac:dyDescent="0.35">
      <c r="A12" s="3" t="s">
        <v>34</v>
      </c>
    </row>
    <row r="13" spans="1:1" x14ac:dyDescent="0.35">
      <c r="A13" s="3"/>
    </row>
    <row r="14" spans="1:1" x14ac:dyDescent="0.35">
      <c r="A14" s="4" t="s">
        <v>35</v>
      </c>
    </row>
    <row r="15" spans="1:1" x14ac:dyDescent="0.35">
      <c r="A15" s="3" t="s">
        <v>36</v>
      </c>
    </row>
    <row r="16" spans="1:1" x14ac:dyDescent="0.35">
      <c r="A16" s="3" t="s">
        <v>37</v>
      </c>
    </row>
    <row r="17" spans="1:1" x14ac:dyDescent="0.35">
      <c r="A17" s="3" t="s">
        <v>38</v>
      </c>
    </row>
    <row r="18" spans="1:1" x14ac:dyDescent="0.35">
      <c r="A18" s="3" t="s">
        <v>39</v>
      </c>
    </row>
    <row r="19" spans="1:1" x14ac:dyDescent="0.35">
      <c r="A19" s="3" t="s">
        <v>40</v>
      </c>
    </row>
    <row r="20" spans="1:1" x14ac:dyDescent="0.35">
      <c r="A20" s="3"/>
    </row>
    <row r="21" spans="1:1" x14ac:dyDescent="0.35">
      <c r="A21" s="3" t="s">
        <v>41</v>
      </c>
    </row>
    <row r="22" spans="1:1" x14ac:dyDescent="0.35">
      <c r="A22" s="3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43</v>
      </c>
    </row>
    <row r="3" spans="1:3" x14ac:dyDescent="0.35">
      <c r="A3" s="5" t="s">
        <v>44</v>
      </c>
      <c r="B3" s="5" t="s">
        <v>45</v>
      </c>
      <c r="C3" s="5" t="s">
        <v>46</v>
      </c>
    </row>
    <row r="4" spans="1:3" x14ac:dyDescent="0.35">
      <c r="A4" s="6" t="s">
        <v>47</v>
      </c>
      <c r="B4" s="7">
        <v>100</v>
      </c>
      <c r="C4" s="2" t="s">
        <v>48</v>
      </c>
    </row>
    <row r="5" spans="1:3" x14ac:dyDescent="0.35">
      <c r="A5" s="6" t="s">
        <v>49</v>
      </c>
      <c r="B5" s="7">
        <v>2</v>
      </c>
      <c r="C5" s="2" t="s">
        <v>50</v>
      </c>
    </row>
    <row r="6" spans="1:3" x14ac:dyDescent="0.35">
      <c r="A6" s="6" t="s">
        <v>51</v>
      </c>
      <c r="B6" s="7">
        <v>2</v>
      </c>
      <c r="C6" s="2" t="s">
        <v>52</v>
      </c>
    </row>
    <row r="7" spans="1:3" x14ac:dyDescent="0.35">
      <c r="A7" s="6" t="s">
        <v>53</v>
      </c>
      <c r="B7" s="7">
        <v>-110</v>
      </c>
      <c r="C7" s="2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zoomScaleNormal="100" workbookViewId="0">
      <pane ySplit="1" topLeftCell="A2" activePane="bottomLeft" state="frozen"/>
      <selection pane="bottomLeft" activeCell="E19" sqref="E19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bestFit="1" customWidth="1"/>
    <col min="4" max="4" width="18" bestFit="1" customWidth="1"/>
    <col min="5" max="6" width="16" customWidth="1"/>
    <col min="7" max="7" width="12.7265625" bestFit="1" customWidth="1"/>
    <col min="8" max="8" width="7.54296875" bestFit="1" customWidth="1"/>
    <col min="9" max="10" width="11" customWidth="1"/>
    <col min="11" max="11" width="12" customWidth="1"/>
    <col min="12" max="12" width="5.54296875" bestFit="1" customWidth="1"/>
    <col min="13" max="14" width="14.269531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35">
      <c r="A1" s="5" t="s">
        <v>1</v>
      </c>
      <c r="B1" s="5" t="s">
        <v>0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  <c r="L1" s="5" t="s">
        <v>64</v>
      </c>
      <c r="M1" s="5" t="s">
        <v>65</v>
      </c>
      <c r="N1" s="5" t="s">
        <v>66</v>
      </c>
      <c r="O1" s="5" t="s">
        <v>67</v>
      </c>
      <c r="P1" s="5" t="s">
        <v>68</v>
      </c>
      <c r="R1" s="9" t="s">
        <v>69</v>
      </c>
    </row>
    <row r="2" spans="1:18" x14ac:dyDescent="0.35">
      <c r="A2">
        <v>1</v>
      </c>
      <c r="B2" t="s">
        <v>13</v>
      </c>
      <c r="C2" t="s">
        <v>70</v>
      </c>
      <c r="D2" t="s">
        <v>71</v>
      </c>
      <c r="E2">
        <v>-37</v>
      </c>
      <c r="F2">
        <v>-38.5</v>
      </c>
      <c r="G2" s="6">
        <f t="shared" ref="G2:G14" si="0">F2-E2</f>
        <v>-1.5</v>
      </c>
      <c r="H2" s="6" t="str">
        <f t="shared" ref="H2:H14" si="1">IF(G2=0,"Pick'em",IF(G2&gt;0,"Home","Away"))</f>
        <v>Away</v>
      </c>
      <c r="I2">
        <v>55.1</v>
      </c>
      <c r="J2">
        <v>60.5</v>
      </c>
      <c r="K2" s="6">
        <f t="shared" ref="K2:K14" si="2">I2-J2</f>
        <v>-5.3999999999999986</v>
      </c>
      <c r="L2" s="6" t="str">
        <f t="shared" ref="L2:L14" si="3">IF(K2=0,"Push",IF(K2&gt;0,"Over","Under"))</f>
        <v>Under</v>
      </c>
      <c r="M2" s="6" t="str">
        <f>IF(ABS(G2)&gt;=Settings!$B$5,H2,"Pass")</f>
        <v>Pass</v>
      </c>
      <c r="N2" s="6" t="str">
        <f>IF(ABS(K2)&gt;=Settings!$B$6,L2,"Pass")</f>
        <v>Under</v>
      </c>
      <c r="O2" s="8"/>
      <c r="P2" s="8"/>
    </row>
    <row r="3" spans="1:18" x14ac:dyDescent="0.35">
      <c r="A3">
        <v>1</v>
      </c>
      <c r="B3" t="s">
        <v>13</v>
      </c>
      <c r="C3" t="s">
        <v>72</v>
      </c>
      <c r="D3" t="s">
        <v>73</v>
      </c>
      <c r="E3">
        <v>-19.899999999999999</v>
      </c>
      <c r="F3">
        <v>-7</v>
      </c>
      <c r="G3" s="6">
        <f t="shared" si="0"/>
        <v>12.899999999999999</v>
      </c>
      <c r="H3" s="6" t="str">
        <f t="shared" si="1"/>
        <v>Home</v>
      </c>
      <c r="I3">
        <v>54.9</v>
      </c>
      <c r="J3">
        <v>46.5</v>
      </c>
      <c r="K3" s="6">
        <f t="shared" si="2"/>
        <v>8.3999999999999986</v>
      </c>
      <c r="L3" s="6" t="str">
        <f t="shared" si="3"/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35">
      <c r="A4">
        <v>1</v>
      </c>
      <c r="B4" t="s">
        <v>13</v>
      </c>
      <c r="C4" t="s">
        <v>74</v>
      </c>
      <c r="D4" t="s">
        <v>75</v>
      </c>
      <c r="E4">
        <v>-2.6</v>
      </c>
      <c r="F4">
        <v>-4</v>
      </c>
      <c r="G4" s="6">
        <f t="shared" si="0"/>
        <v>-1.4</v>
      </c>
      <c r="H4" s="6" t="str">
        <f t="shared" si="1"/>
        <v>Away</v>
      </c>
      <c r="I4">
        <v>53.3</v>
      </c>
      <c r="J4">
        <v>48.8</v>
      </c>
      <c r="K4" s="6">
        <f t="shared" si="2"/>
        <v>4.5</v>
      </c>
      <c r="L4" s="6" t="str">
        <f t="shared" si="3"/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35">
      <c r="A5">
        <v>1</v>
      </c>
      <c r="B5" t="s">
        <v>76</v>
      </c>
      <c r="C5" t="s">
        <v>77</v>
      </c>
      <c r="D5" t="s">
        <v>78</v>
      </c>
      <c r="E5">
        <v>-11.2</v>
      </c>
      <c r="F5">
        <v>-4.2</v>
      </c>
      <c r="G5" s="6">
        <f t="shared" si="0"/>
        <v>6.9999999999999991</v>
      </c>
      <c r="H5" s="6" t="str">
        <f t="shared" si="1"/>
        <v>Home</v>
      </c>
      <c r="I5">
        <v>57.7</v>
      </c>
      <c r="J5">
        <v>56.5</v>
      </c>
      <c r="K5" s="6">
        <f t="shared" si="2"/>
        <v>1.2000000000000028</v>
      </c>
      <c r="L5" s="6" t="str">
        <f t="shared" si="3"/>
        <v>Over</v>
      </c>
      <c r="M5" s="6" t="str">
        <f>IF(ABS(G5)&gt;=Settings!$B$5,H5,"Pass")</f>
        <v>Home</v>
      </c>
      <c r="N5" s="6" t="str">
        <f>IF(ABS(K5)&gt;=Settings!$B$6,L5,"Pass")</f>
        <v>Pass</v>
      </c>
      <c r="R5" s="6" t="s">
        <v>79</v>
      </c>
    </row>
    <row r="6" spans="1:18" x14ac:dyDescent="0.35">
      <c r="A6">
        <v>1</v>
      </c>
      <c r="B6" t="s">
        <v>80</v>
      </c>
      <c r="C6" t="s">
        <v>70</v>
      </c>
      <c r="D6" t="s">
        <v>81</v>
      </c>
      <c r="E6">
        <v>-10.199999999999999</v>
      </c>
      <c r="F6">
        <v>-4.5</v>
      </c>
      <c r="G6" s="6">
        <f t="shared" si="0"/>
        <v>5.6999999999999993</v>
      </c>
      <c r="H6" s="6" t="str">
        <f t="shared" si="1"/>
        <v>Home</v>
      </c>
      <c r="I6">
        <v>56</v>
      </c>
      <c r="J6">
        <v>53.5</v>
      </c>
      <c r="K6" s="6">
        <f t="shared" si="2"/>
        <v>2.5</v>
      </c>
      <c r="L6" s="6" t="str">
        <f t="shared" si="3"/>
        <v>Over</v>
      </c>
      <c r="M6" s="6" t="str">
        <f>IF(ABS(G6)&gt;=Settings!$B$5,H6,"Pass")</f>
        <v>Home</v>
      </c>
      <c r="N6" s="6" t="str">
        <f>IF(ABS(K6)&gt;=Settings!$B$6,L6,"Pass")</f>
        <v>Over</v>
      </c>
      <c r="R6" s="6" t="s">
        <v>74</v>
      </c>
    </row>
    <row r="7" spans="1:18" x14ac:dyDescent="0.35">
      <c r="A7" s="10">
        <v>1</v>
      </c>
      <c r="B7" s="10" t="s">
        <v>82</v>
      </c>
      <c r="C7" s="10" t="s">
        <v>83</v>
      </c>
      <c r="D7" s="10" t="s">
        <v>79</v>
      </c>
      <c r="E7" s="10">
        <v>-16.8</v>
      </c>
      <c r="F7" s="10">
        <v>-30.5</v>
      </c>
      <c r="G7" s="10">
        <f t="shared" si="0"/>
        <v>-13.7</v>
      </c>
      <c r="H7" s="10" t="str">
        <f t="shared" si="1"/>
        <v>Away</v>
      </c>
      <c r="I7" s="10">
        <v>55.2</v>
      </c>
      <c r="J7" s="10">
        <v>58.5</v>
      </c>
      <c r="K7" s="10">
        <f t="shared" si="2"/>
        <v>-3.2999999999999972</v>
      </c>
      <c r="L7" s="10" t="str">
        <f t="shared" si="3"/>
        <v>Under</v>
      </c>
      <c r="M7" s="10" t="str">
        <f>IF(ABS(G7)&gt;=Settings!$B$5,H7,"Pass")</f>
        <v>Away</v>
      </c>
      <c r="N7" s="10" t="str">
        <f>IF(ABS(K7)&gt;=Settings!$B$6,L7,"Pass")</f>
        <v>Under</v>
      </c>
      <c r="R7" s="6" t="s">
        <v>84</v>
      </c>
    </row>
    <row r="8" spans="1:18" x14ac:dyDescent="0.35">
      <c r="A8">
        <v>1</v>
      </c>
      <c r="B8" t="s">
        <v>82</v>
      </c>
      <c r="C8" t="s">
        <v>85</v>
      </c>
      <c r="D8" t="s">
        <v>73</v>
      </c>
      <c r="E8">
        <v>-50.5</v>
      </c>
      <c r="F8">
        <v>-39.5</v>
      </c>
      <c r="G8" s="6">
        <f t="shared" si="0"/>
        <v>11</v>
      </c>
      <c r="H8" s="6" t="str">
        <f t="shared" si="1"/>
        <v>Home</v>
      </c>
      <c r="I8">
        <v>57.6</v>
      </c>
      <c r="J8">
        <v>57.5</v>
      </c>
      <c r="K8" s="6">
        <f t="shared" si="2"/>
        <v>0.10000000000000142</v>
      </c>
      <c r="L8" s="6" t="str">
        <f t="shared" si="3"/>
        <v>Over</v>
      </c>
      <c r="M8" s="6" t="str">
        <f>IF(ABS(G8)&gt;=Settings!$B$5,H8,"Pass")</f>
        <v>Home</v>
      </c>
      <c r="N8" s="6" t="str">
        <f>IF(ABS(K8)&gt;=Settings!$B$6,L8,"Pass")</f>
        <v>Pass</v>
      </c>
      <c r="R8" s="6" t="s">
        <v>86</v>
      </c>
    </row>
    <row r="9" spans="1:18" x14ac:dyDescent="0.35">
      <c r="A9">
        <v>1</v>
      </c>
      <c r="B9" t="s">
        <v>82</v>
      </c>
      <c r="C9" t="s">
        <v>87</v>
      </c>
      <c r="D9" t="s">
        <v>88</v>
      </c>
      <c r="E9">
        <v>-30.8</v>
      </c>
      <c r="F9">
        <v>-31.8</v>
      </c>
      <c r="G9" s="6">
        <f t="shared" si="0"/>
        <v>-1</v>
      </c>
      <c r="H9" s="6" t="str">
        <f t="shared" si="1"/>
        <v>Away</v>
      </c>
      <c r="I9">
        <v>49.7</v>
      </c>
      <c r="J9">
        <v>45.5</v>
      </c>
      <c r="K9" s="6">
        <f t="shared" si="2"/>
        <v>4.2000000000000028</v>
      </c>
      <c r="L9" s="6" t="str">
        <f t="shared" si="3"/>
        <v>Over</v>
      </c>
      <c r="M9" s="6" t="str">
        <f>IF(ABS(G9)&gt;=Settings!$B$5,H9,"Pass")</f>
        <v>Pass</v>
      </c>
      <c r="N9" s="6" t="str">
        <f>IF(ABS(K9)&gt;=Settings!$B$6,L9,"Pass")</f>
        <v>Over</v>
      </c>
      <c r="R9" s="6" t="s">
        <v>73</v>
      </c>
    </row>
    <row r="10" spans="1:18" x14ac:dyDescent="0.35">
      <c r="A10">
        <v>1</v>
      </c>
      <c r="B10" t="s">
        <v>82</v>
      </c>
      <c r="C10" t="s">
        <v>89</v>
      </c>
      <c r="D10" t="s">
        <v>90</v>
      </c>
      <c r="E10">
        <v>-5</v>
      </c>
      <c r="F10">
        <v>-3.5</v>
      </c>
      <c r="G10" s="6">
        <f t="shared" si="0"/>
        <v>1.5</v>
      </c>
      <c r="H10" s="6" t="str">
        <f t="shared" si="1"/>
        <v>Home</v>
      </c>
      <c r="I10">
        <v>51.2</v>
      </c>
      <c r="J10">
        <v>47.8</v>
      </c>
      <c r="K10" s="6">
        <f t="shared" si="2"/>
        <v>3.4000000000000057</v>
      </c>
      <c r="L10" s="6" t="str">
        <f t="shared" si="3"/>
        <v>Over</v>
      </c>
      <c r="M10" s="6" t="str">
        <f>IF(ABS(G10)&gt;=Settings!$B$5,H10,"Pass")</f>
        <v>Pass</v>
      </c>
      <c r="N10" s="6" t="str">
        <f>IF(ABS(K10)&gt;=Settings!$B$6,L10,"Pass")</f>
        <v>Over</v>
      </c>
      <c r="R10" s="6" t="s">
        <v>87</v>
      </c>
    </row>
    <row r="11" spans="1:18" x14ac:dyDescent="0.35">
      <c r="A11">
        <v>1</v>
      </c>
      <c r="B11" t="s">
        <v>82</v>
      </c>
      <c r="C11" t="s">
        <v>91</v>
      </c>
      <c r="D11" t="s">
        <v>92</v>
      </c>
      <c r="E11">
        <v>-35.5</v>
      </c>
      <c r="F11">
        <v>-41</v>
      </c>
      <c r="G11" s="6">
        <f t="shared" si="0"/>
        <v>-5.5</v>
      </c>
      <c r="H11" s="6" t="str">
        <f t="shared" si="1"/>
        <v>Away</v>
      </c>
      <c r="I11">
        <v>53.3</v>
      </c>
      <c r="J11">
        <v>50.5</v>
      </c>
      <c r="K11" s="6">
        <f t="shared" si="2"/>
        <v>2.7999999999999972</v>
      </c>
      <c r="L11" s="6" t="str">
        <f t="shared" si="3"/>
        <v>Over</v>
      </c>
      <c r="M11" s="6" t="str">
        <f>IF(ABS(G11)&gt;=Settings!$B$5,H11,"Pass")</f>
        <v>Away</v>
      </c>
      <c r="N11" s="6" t="str">
        <f>IF(ABS(K11)&gt;=Settings!$B$6,L11,"Pass")</f>
        <v>Over</v>
      </c>
      <c r="R11" s="6" t="s">
        <v>70</v>
      </c>
    </row>
    <row r="12" spans="1:18" x14ac:dyDescent="0.35">
      <c r="A12">
        <v>1</v>
      </c>
      <c r="B12" t="s">
        <v>93</v>
      </c>
      <c r="C12" t="s">
        <v>78</v>
      </c>
      <c r="D12" t="s">
        <v>74</v>
      </c>
      <c r="E12">
        <v>7.3</v>
      </c>
      <c r="F12">
        <v>2.8</v>
      </c>
      <c r="G12" s="6">
        <f t="shared" si="0"/>
        <v>-4.5</v>
      </c>
      <c r="H12" s="6" t="str">
        <f t="shared" si="1"/>
        <v>Away</v>
      </c>
      <c r="I12">
        <v>56.7</v>
      </c>
      <c r="J12">
        <v>58.5</v>
      </c>
      <c r="K12" s="6">
        <f t="shared" si="2"/>
        <v>-1.7999999999999972</v>
      </c>
      <c r="L12" s="6" t="str">
        <f t="shared" si="3"/>
        <v>Under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78</v>
      </c>
    </row>
    <row r="13" spans="1:18" x14ac:dyDescent="0.35">
      <c r="A13">
        <v>1</v>
      </c>
      <c r="B13" t="s">
        <v>93</v>
      </c>
      <c r="C13" t="s">
        <v>94</v>
      </c>
      <c r="D13" t="s">
        <v>86</v>
      </c>
      <c r="E13">
        <v>-15.9</v>
      </c>
      <c r="F13">
        <v>-11.5</v>
      </c>
      <c r="G13" s="6">
        <f t="shared" si="0"/>
        <v>4.4000000000000004</v>
      </c>
      <c r="H13" s="6" t="str">
        <f t="shared" si="1"/>
        <v>Home</v>
      </c>
      <c r="I13">
        <v>51.6</v>
      </c>
      <c r="J13">
        <v>47.5</v>
      </c>
      <c r="K13" s="6">
        <f t="shared" si="2"/>
        <v>4.1000000000000014</v>
      </c>
      <c r="L13" s="6" t="str">
        <f t="shared" si="3"/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35">
      <c r="A14">
        <v>1</v>
      </c>
      <c r="B14" t="s">
        <v>93</v>
      </c>
      <c r="C14" t="s">
        <v>95</v>
      </c>
      <c r="D14" t="s">
        <v>84</v>
      </c>
      <c r="E14">
        <v>5.3</v>
      </c>
      <c r="F14">
        <v>2.5</v>
      </c>
      <c r="G14" s="6">
        <f t="shared" si="0"/>
        <v>-2.8</v>
      </c>
      <c r="H14" s="6" t="str">
        <f t="shared" si="1"/>
        <v>Away</v>
      </c>
      <c r="I14">
        <v>53</v>
      </c>
      <c r="J14">
        <v>53.2</v>
      </c>
      <c r="K14" s="6">
        <f t="shared" si="2"/>
        <v>-0.20000000000000284</v>
      </c>
      <c r="L14" s="6" t="str">
        <f t="shared" si="3"/>
        <v>Under</v>
      </c>
      <c r="M14" s="6" t="str">
        <f>IF(ABS(G14)&gt;=Settings!$B$5,H14,"Pass")</f>
        <v>Away</v>
      </c>
      <c r="N14" s="6" t="str">
        <f>IF(ABS(K14)&gt;=Settings!$B$6,L14,"Pass")</f>
        <v>Pass</v>
      </c>
    </row>
    <row r="15" spans="1:18" x14ac:dyDescent="0.35">
      <c r="G15" s="6"/>
      <c r="H15" s="6"/>
      <c r="K15" s="6"/>
      <c r="L15" s="6"/>
      <c r="M15" s="6"/>
      <c r="N15" s="6"/>
    </row>
    <row r="16" spans="1:18" x14ac:dyDescent="0.35">
      <c r="G16" s="6"/>
      <c r="H16" s="6"/>
      <c r="K16" s="6"/>
      <c r="L16" s="6"/>
      <c r="M16" s="6"/>
      <c r="N16" s="6"/>
    </row>
    <row r="17" spans="7:14" x14ac:dyDescent="0.35">
      <c r="G17" s="6"/>
      <c r="H17" s="6"/>
      <c r="K17" s="6"/>
      <c r="L17" s="6"/>
      <c r="M17" s="6"/>
      <c r="N17" s="6"/>
    </row>
    <row r="18" spans="7:14" x14ac:dyDescent="0.35">
      <c r="G18" s="6"/>
      <c r="H18" s="6"/>
      <c r="K18" s="6"/>
      <c r="L18" s="6"/>
      <c r="M18" s="6"/>
      <c r="N18" s="6"/>
    </row>
    <row r="19" spans="7:14" x14ac:dyDescent="0.35">
      <c r="G19" s="6"/>
      <c r="H19" s="6"/>
      <c r="K19" s="6"/>
      <c r="L19" s="6"/>
      <c r="M19" s="6"/>
      <c r="N19" s="6"/>
    </row>
    <row r="20" spans="7:14" x14ac:dyDescent="0.35">
      <c r="G20" s="6"/>
      <c r="H20" s="6"/>
      <c r="K20" s="6"/>
      <c r="L20" s="6"/>
      <c r="M20" s="6"/>
      <c r="N20" s="6"/>
    </row>
    <row r="21" spans="7:14" x14ac:dyDescent="0.35">
      <c r="G21" s="6"/>
      <c r="H21" s="6"/>
      <c r="K21" s="6"/>
      <c r="L21" s="6"/>
      <c r="M21" s="6"/>
      <c r="N21" s="6"/>
    </row>
    <row r="22" spans="7:14" x14ac:dyDescent="0.35">
      <c r="G22" s="6"/>
      <c r="H22" s="6"/>
      <c r="K22" s="6"/>
      <c r="L22" s="6"/>
      <c r="M22" s="6"/>
      <c r="N22" s="6"/>
    </row>
    <row r="23" spans="7:14" x14ac:dyDescent="0.35">
      <c r="G23" s="6"/>
      <c r="H23" s="6"/>
      <c r="K23" s="6"/>
      <c r="L23" s="6"/>
      <c r="M23" s="6"/>
      <c r="N23" s="6"/>
    </row>
    <row r="24" spans="7:14" x14ac:dyDescent="0.35">
      <c r="G24" s="6"/>
      <c r="H24" s="6"/>
      <c r="K24" s="6"/>
      <c r="L24" s="6"/>
      <c r="M24" s="6"/>
      <c r="N24" s="6"/>
    </row>
    <row r="25" spans="7:14" x14ac:dyDescent="0.35">
      <c r="G25" s="6"/>
      <c r="H25" s="6"/>
      <c r="K25" s="6"/>
      <c r="L25" s="6"/>
      <c r="M25" s="6"/>
      <c r="N25" s="6"/>
    </row>
    <row r="26" spans="7:14" x14ac:dyDescent="0.35">
      <c r="G26" s="6"/>
      <c r="H26" s="6"/>
      <c r="K26" s="6"/>
      <c r="L26" s="6"/>
      <c r="M26" s="6"/>
      <c r="N26" s="6"/>
    </row>
    <row r="27" spans="7:14" x14ac:dyDescent="0.35">
      <c r="G27" s="6"/>
      <c r="H27" s="6"/>
      <c r="K27" s="6"/>
      <c r="L27" s="6"/>
      <c r="M27" s="6"/>
      <c r="N27" s="6"/>
    </row>
    <row r="28" spans="7:14" x14ac:dyDescent="0.35">
      <c r="G28" s="6"/>
      <c r="H28" s="6"/>
      <c r="K28" s="6"/>
      <c r="L28" s="6"/>
      <c r="M28" s="6"/>
      <c r="N28" s="6"/>
    </row>
    <row r="29" spans="7:14" x14ac:dyDescent="0.35">
      <c r="G29" s="6"/>
      <c r="H29" s="6"/>
      <c r="K29" s="6"/>
      <c r="L29" s="6"/>
      <c r="M29" s="6"/>
      <c r="N29" s="6"/>
    </row>
  </sheetData>
  <conditionalFormatting sqref="C2:C500">
    <cfRule type="expression" dxfId="2" priority="1">
      <formula>AND(OR($G2&lt;=-7,$G2&gt;=7),$H2="Away")</formula>
    </cfRule>
  </conditionalFormatting>
  <conditionalFormatting sqref="D2:D500">
    <cfRule type="expression" dxfId="1" priority="2">
      <formula>AND(OR($G2&lt;=-7,$G2&gt;=7),$H2="Home")</formula>
    </cfRule>
  </conditionalFormatting>
  <conditionalFormatting sqref="E2:F500">
    <cfRule type="expression" dxfId="0" priority="3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K6" sqref="K6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bestFit="1" customWidth="1"/>
    <col min="4" max="4" width="10" customWidth="1"/>
    <col min="5" max="5" width="22.26953125" bestFit="1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119</v>
      </c>
      <c r="L2" s="6">
        <f t="shared" ref="L2:L41" si="0">IF(K2="W",IF(G2&lt;0,H2*100/ABS(G2),H2*G2/100),IF(K2="L",-H2,0))</f>
        <v>1</v>
      </c>
      <c r="M2" s="6">
        <f>Settings!$B$4+SUM(L$2:L2)</f>
        <v>101</v>
      </c>
    </row>
    <row r="3" spans="1:13" x14ac:dyDescent="0.35">
      <c r="A3" t="s">
        <v>13</v>
      </c>
      <c r="B3">
        <v>1</v>
      </c>
      <c r="C3" t="s">
        <v>14</v>
      </c>
      <c r="D3" t="s">
        <v>17</v>
      </c>
      <c r="E3" t="s">
        <v>18</v>
      </c>
      <c r="G3">
        <v>-285</v>
      </c>
      <c r="H3">
        <v>5</v>
      </c>
      <c r="J3" s="6" t="str">
        <f>IF(I3="","",I3-F3)</f>
        <v/>
      </c>
      <c r="K3" t="s">
        <v>119</v>
      </c>
      <c r="L3" s="6">
        <f t="shared" si="0"/>
        <v>1.7543859649122806</v>
      </c>
      <c r="M3" s="6">
        <f>Settings!$B$4+SUM(L$2:L3)</f>
        <v>102.75438596491227</v>
      </c>
    </row>
    <row r="4" spans="1:13" x14ac:dyDescent="0.35">
      <c r="A4" t="s">
        <v>13</v>
      </c>
      <c r="B4">
        <v>1</v>
      </c>
      <c r="C4" t="s">
        <v>19</v>
      </c>
      <c r="D4" t="s">
        <v>17</v>
      </c>
      <c r="E4" t="s">
        <v>20</v>
      </c>
      <c r="G4">
        <v>-178</v>
      </c>
      <c r="H4">
        <v>5</v>
      </c>
      <c r="J4" s="6" t="str">
        <f>IF(I4="","",I4-F5)</f>
        <v/>
      </c>
      <c r="K4" t="s">
        <v>120</v>
      </c>
      <c r="L4" s="6">
        <f t="shared" si="0"/>
        <v>-5</v>
      </c>
      <c r="M4" s="6">
        <f>Settings!$B$4+SUM(L$2:L4)</f>
        <v>97.754385964912274</v>
      </c>
    </row>
    <row r="5" spans="1:13" x14ac:dyDescent="0.35">
      <c r="A5" t="s">
        <v>13</v>
      </c>
      <c r="B5">
        <v>1</v>
      </c>
      <c r="C5" t="s">
        <v>21</v>
      </c>
      <c r="D5" t="s">
        <v>22</v>
      </c>
      <c r="E5" t="s">
        <v>23</v>
      </c>
      <c r="G5">
        <v>110</v>
      </c>
      <c r="H5">
        <v>3</v>
      </c>
      <c r="J5" s="6" t="str">
        <f>IF(I5="","",I5-#REF!)</f>
        <v/>
      </c>
      <c r="K5" t="s">
        <v>120</v>
      </c>
      <c r="L5" s="6">
        <f t="shared" si="0"/>
        <v>-3</v>
      </c>
      <c r="M5" s="6">
        <f>Settings!$B$4+SUM(L$2:L5)</f>
        <v>94.754385964912274</v>
      </c>
    </row>
    <row r="6" spans="1:13" x14ac:dyDescent="0.35">
      <c r="J6" s="6" t="str">
        <f t="shared" ref="J6:J41" si="1">IF(I6="","",I6-F6)</f>
        <v/>
      </c>
      <c r="L6" s="6">
        <f t="shared" si="0"/>
        <v>0</v>
      </c>
      <c r="M6" s="6">
        <f>Settings!$B$4+SUM(L$2:L6)</f>
        <v>94.754385964912274</v>
      </c>
    </row>
    <row r="7" spans="1:13" x14ac:dyDescent="0.35">
      <c r="J7" s="6" t="str">
        <f t="shared" si="1"/>
        <v/>
      </c>
      <c r="L7" s="6">
        <f t="shared" si="0"/>
        <v>0</v>
      </c>
      <c r="M7" s="6">
        <f>Settings!$B$4+SUM(L$2:L7)</f>
        <v>94.754385964912274</v>
      </c>
    </row>
    <row r="8" spans="1:13" x14ac:dyDescent="0.35">
      <c r="J8" s="6" t="str">
        <f t="shared" si="1"/>
        <v/>
      </c>
      <c r="L8" s="6">
        <f t="shared" si="0"/>
        <v>0</v>
      </c>
      <c r="M8" s="6">
        <f>Settings!$B$4+SUM(L$2:L8)</f>
        <v>94.754385964912274</v>
      </c>
    </row>
    <row r="9" spans="1:13" x14ac:dyDescent="0.35">
      <c r="J9" s="6" t="str">
        <f t="shared" si="1"/>
        <v/>
      </c>
      <c r="L9" s="6">
        <f t="shared" si="0"/>
        <v>0</v>
      </c>
      <c r="M9" s="6">
        <f>Settings!$B$4+SUM(L$2:L9)</f>
        <v>94.754385964912274</v>
      </c>
    </row>
    <row r="10" spans="1:13" x14ac:dyDescent="0.35">
      <c r="J10" s="6" t="str">
        <f t="shared" si="1"/>
        <v/>
      </c>
      <c r="L10" s="6">
        <f t="shared" si="0"/>
        <v>0</v>
      </c>
      <c r="M10" s="6">
        <f>Settings!$B$4+SUM(L$2:L10)</f>
        <v>94.754385964912274</v>
      </c>
    </row>
    <row r="11" spans="1:13" x14ac:dyDescent="0.35">
      <c r="J11" s="6" t="str">
        <f t="shared" si="1"/>
        <v/>
      </c>
      <c r="L11" s="6">
        <f t="shared" si="0"/>
        <v>0</v>
      </c>
      <c r="M11" s="6">
        <f>Settings!$B$4+SUM(L$2:L11)</f>
        <v>94.754385964912274</v>
      </c>
    </row>
    <row r="12" spans="1:13" x14ac:dyDescent="0.35">
      <c r="J12" s="6" t="str">
        <f t="shared" si="1"/>
        <v/>
      </c>
      <c r="L12" s="6">
        <f t="shared" si="0"/>
        <v>0</v>
      </c>
      <c r="M12" s="6">
        <f>Settings!$B$4+SUM(L$2:L12)</f>
        <v>94.754385964912274</v>
      </c>
    </row>
    <row r="13" spans="1:13" x14ac:dyDescent="0.35">
      <c r="J13" s="6" t="str">
        <f t="shared" si="1"/>
        <v/>
      </c>
      <c r="L13" s="6">
        <f t="shared" si="0"/>
        <v>0</v>
      </c>
      <c r="M13" s="6">
        <f>Settings!$B$4+SUM(L$2:L13)</f>
        <v>94.754385964912274</v>
      </c>
    </row>
    <row r="14" spans="1:13" x14ac:dyDescent="0.35">
      <c r="J14" s="6" t="str">
        <f t="shared" si="1"/>
        <v/>
      </c>
      <c r="L14" s="6">
        <f t="shared" si="0"/>
        <v>0</v>
      </c>
      <c r="M14" s="6">
        <f>Settings!$B$4+SUM(L$2:L14)</f>
        <v>94.754385964912274</v>
      </c>
    </row>
    <row r="15" spans="1:13" x14ac:dyDescent="0.35">
      <c r="J15" s="6" t="str">
        <f t="shared" si="1"/>
        <v/>
      </c>
      <c r="L15" s="6">
        <f t="shared" si="0"/>
        <v>0</v>
      </c>
      <c r="M15" s="6">
        <f>Settings!$B$4+SUM(L$2:L15)</f>
        <v>94.754385964912274</v>
      </c>
    </row>
    <row r="16" spans="1:13" x14ac:dyDescent="0.35">
      <c r="J16" s="6" t="str">
        <f t="shared" si="1"/>
        <v/>
      </c>
      <c r="L16" s="6">
        <f t="shared" si="0"/>
        <v>0</v>
      </c>
      <c r="M16" s="6">
        <f>Settings!$B$4+SUM(L$2:L16)</f>
        <v>94.754385964912274</v>
      </c>
    </row>
    <row r="17" spans="10:13" x14ac:dyDescent="0.35">
      <c r="J17" s="6" t="str">
        <f t="shared" si="1"/>
        <v/>
      </c>
      <c r="L17" s="6">
        <f t="shared" si="0"/>
        <v>0</v>
      </c>
      <c r="M17" s="6">
        <f>Settings!$B$4+SUM(L$2:L17)</f>
        <v>94.754385964912274</v>
      </c>
    </row>
    <row r="18" spans="10:13" x14ac:dyDescent="0.35">
      <c r="J18" s="6" t="str">
        <f t="shared" si="1"/>
        <v/>
      </c>
      <c r="L18" s="6">
        <f t="shared" si="0"/>
        <v>0</v>
      </c>
      <c r="M18" s="6">
        <f>Settings!$B$4+SUM(L$2:L18)</f>
        <v>94.754385964912274</v>
      </c>
    </row>
    <row r="19" spans="10:13" x14ac:dyDescent="0.35">
      <c r="J19" s="6" t="str">
        <f t="shared" si="1"/>
        <v/>
      </c>
      <c r="L19" s="6">
        <f t="shared" si="0"/>
        <v>0</v>
      </c>
      <c r="M19" s="6">
        <f>Settings!$B$4+SUM(L$2:L19)</f>
        <v>94.754385964912274</v>
      </c>
    </row>
    <row r="20" spans="10:13" x14ac:dyDescent="0.35">
      <c r="J20" s="6" t="str">
        <f t="shared" si="1"/>
        <v/>
      </c>
      <c r="L20" s="6">
        <f t="shared" si="0"/>
        <v>0</v>
      </c>
      <c r="M20" s="6">
        <f>Settings!$B$4+SUM(L$2:L20)</f>
        <v>94.754385964912274</v>
      </c>
    </row>
    <row r="21" spans="10:13" x14ac:dyDescent="0.35">
      <c r="J21" s="6" t="str">
        <f t="shared" si="1"/>
        <v/>
      </c>
      <c r="L21" s="6">
        <f t="shared" si="0"/>
        <v>0</v>
      </c>
      <c r="M21" s="6">
        <f>Settings!$B$4+SUM(L$2:L21)</f>
        <v>94.754385964912274</v>
      </c>
    </row>
    <row r="22" spans="10:13" x14ac:dyDescent="0.35">
      <c r="J22" s="6" t="str">
        <f t="shared" si="1"/>
        <v/>
      </c>
      <c r="L22" s="6">
        <f t="shared" si="0"/>
        <v>0</v>
      </c>
      <c r="M22" s="6">
        <f>Settings!$B$4+SUM(L$2:L22)</f>
        <v>94.754385964912274</v>
      </c>
    </row>
    <row r="23" spans="10:13" x14ac:dyDescent="0.35">
      <c r="J23" s="6" t="str">
        <f t="shared" si="1"/>
        <v/>
      </c>
      <c r="L23" s="6">
        <f t="shared" si="0"/>
        <v>0</v>
      </c>
      <c r="M23" s="6">
        <f>Settings!$B$4+SUM(L$2:L23)</f>
        <v>94.754385964912274</v>
      </c>
    </row>
    <row r="24" spans="10:13" x14ac:dyDescent="0.35">
      <c r="J24" s="6" t="str">
        <f t="shared" si="1"/>
        <v/>
      </c>
      <c r="L24" s="6">
        <f t="shared" si="0"/>
        <v>0</v>
      </c>
      <c r="M24" s="6">
        <f>Settings!$B$4+SUM(L$2:L24)</f>
        <v>94.754385964912274</v>
      </c>
    </row>
    <row r="25" spans="10:13" x14ac:dyDescent="0.35">
      <c r="J25" s="6" t="str">
        <f t="shared" si="1"/>
        <v/>
      </c>
      <c r="L25" s="6">
        <f t="shared" si="0"/>
        <v>0</v>
      </c>
      <c r="M25" s="6">
        <f>Settings!$B$4+SUM(L$2:L25)</f>
        <v>94.754385964912274</v>
      </c>
    </row>
    <row r="26" spans="10:13" x14ac:dyDescent="0.35">
      <c r="J26" s="6" t="str">
        <f t="shared" si="1"/>
        <v/>
      </c>
      <c r="L26" s="6">
        <f t="shared" si="0"/>
        <v>0</v>
      </c>
      <c r="M26" s="6">
        <f>Settings!$B$4+SUM(L$2:L26)</f>
        <v>94.754385964912274</v>
      </c>
    </row>
    <row r="27" spans="10:13" x14ac:dyDescent="0.35">
      <c r="J27" s="6" t="str">
        <f t="shared" si="1"/>
        <v/>
      </c>
      <c r="L27" s="6">
        <f t="shared" si="0"/>
        <v>0</v>
      </c>
      <c r="M27" s="6">
        <f>Settings!$B$4+SUM(L$2:L27)</f>
        <v>94.754385964912274</v>
      </c>
    </row>
    <row r="28" spans="10:13" x14ac:dyDescent="0.35">
      <c r="J28" s="6" t="str">
        <f t="shared" si="1"/>
        <v/>
      </c>
      <c r="L28" s="6">
        <f t="shared" si="0"/>
        <v>0</v>
      </c>
      <c r="M28" s="6">
        <f>Settings!$B$4+SUM(L$2:L28)</f>
        <v>94.754385964912274</v>
      </c>
    </row>
    <row r="29" spans="10:13" x14ac:dyDescent="0.35">
      <c r="J29" s="6" t="str">
        <f t="shared" si="1"/>
        <v/>
      </c>
      <c r="L29" s="6">
        <f t="shared" si="0"/>
        <v>0</v>
      </c>
      <c r="M29" s="6">
        <f>Settings!$B$4+SUM(L$2:L29)</f>
        <v>94.754385964912274</v>
      </c>
    </row>
    <row r="30" spans="10:13" x14ac:dyDescent="0.35">
      <c r="J30" s="6" t="str">
        <f t="shared" si="1"/>
        <v/>
      </c>
      <c r="L30" s="6">
        <f t="shared" si="0"/>
        <v>0</v>
      </c>
      <c r="M30" s="6">
        <f>Settings!$B$4+SUM(L$2:L30)</f>
        <v>94.754385964912274</v>
      </c>
    </row>
    <row r="31" spans="10:13" x14ac:dyDescent="0.35">
      <c r="J31" s="6" t="str">
        <f t="shared" si="1"/>
        <v/>
      </c>
      <c r="L31" s="6">
        <f t="shared" si="0"/>
        <v>0</v>
      </c>
      <c r="M31" s="6">
        <f>Settings!$B$4+SUM(L$2:L31)</f>
        <v>94.754385964912274</v>
      </c>
    </row>
    <row r="32" spans="10:13" x14ac:dyDescent="0.35">
      <c r="J32" s="6" t="str">
        <f t="shared" si="1"/>
        <v/>
      </c>
      <c r="L32" s="6">
        <f t="shared" si="0"/>
        <v>0</v>
      </c>
      <c r="M32" s="6">
        <f>Settings!$B$4+SUM(L$2:L32)</f>
        <v>94.754385964912274</v>
      </c>
    </row>
    <row r="33" spans="1:13" x14ac:dyDescent="0.35">
      <c r="J33" s="6" t="str">
        <f t="shared" si="1"/>
        <v/>
      </c>
      <c r="L33" s="6">
        <f t="shared" si="0"/>
        <v>0</v>
      </c>
      <c r="M33" s="6">
        <f>Settings!$B$4+SUM(L$2:L33)</f>
        <v>94.754385964912274</v>
      </c>
    </row>
    <row r="34" spans="1:13" x14ac:dyDescent="0.35">
      <c r="J34" s="6" t="str">
        <f t="shared" si="1"/>
        <v/>
      </c>
      <c r="L34" s="6">
        <f t="shared" si="0"/>
        <v>0</v>
      </c>
      <c r="M34" s="6">
        <f>Settings!$B$4+SUM(L$2:L34)</f>
        <v>94.754385964912274</v>
      </c>
    </row>
    <row r="35" spans="1:13" x14ac:dyDescent="0.35">
      <c r="J35" s="6" t="str">
        <f t="shared" si="1"/>
        <v/>
      </c>
      <c r="L35" s="6">
        <f t="shared" si="0"/>
        <v>0</v>
      </c>
      <c r="M35" s="6">
        <f>Settings!$B$4+SUM(L$2:L35)</f>
        <v>94.754385964912274</v>
      </c>
    </row>
    <row r="36" spans="1:13" x14ac:dyDescent="0.35">
      <c r="J36" s="6" t="str">
        <f t="shared" si="1"/>
        <v/>
      </c>
      <c r="L36" s="6">
        <f t="shared" si="0"/>
        <v>0</v>
      </c>
      <c r="M36" s="6">
        <f>Settings!$B$4+SUM(L$2:L36)</f>
        <v>94.754385964912274</v>
      </c>
    </row>
    <row r="37" spans="1:13" x14ac:dyDescent="0.35">
      <c r="J37" s="6" t="str">
        <f t="shared" si="1"/>
        <v/>
      </c>
      <c r="L37" s="6">
        <f t="shared" si="0"/>
        <v>0</v>
      </c>
      <c r="M37" s="6">
        <f>Settings!$B$4+SUM(L$2:L37)</f>
        <v>94.754385964912274</v>
      </c>
    </row>
    <row r="38" spans="1:13" x14ac:dyDescent="0.35">
      <c r="J38" s="6" t="str">
        <f t="shared" si="1"/>
        <v/>
      </c>
      <c r="L38" s="6">
        <f t="shared" si="0"/>
        <v>0</v>
      </c>
      <c r="M38" s="6">
        <f>Settings!$B$4+SUM(L$2:L38)</f>
        <v>94.754385964912274</v>
      </c>
    </row>
    <row r="39" spans="1:13" x14ac:dyDescent="0.35">
      <c r="J39" s="6" t="str">
        <f t="shared" si="1"/>
        <v/>
      </c>
      <c r="L39" s="6">
        <f t="shared" si="0"/>
        <v>0</v>
      </c>
      <c r="M39" s="6">
        <f>Settings!$B$4+SUM(L$2:L39)</f>
        <v>94.754385964912274</v>
      </c>
    </row>
    <row r="40" spans="1:13" x14ac:dyDescent="0.35">
      <c r="J40" s="6" t="str">
        <f t="shared" si="1"/>
        <v/>
      </c>
      <c r="L40" s="6">
        <f t="shared" si="0"/>
        <v>0</v>
      </c>
      <c r="M40" s="6">
        <f>Settings!$B$4+SUM(L$2:L40)</f>
        <v>94.754385964912274</v>
      </c>
    </row>
    <row r="41" spans="1:13" x14ac:dyDescent="0.35">
      <c r="J41" s="6" t="str">
        <f t="shared" si="1"/>
        <v/>
      </c>
      <c r="L41" s="6">
        <f t="shared" si="0"/>
        <v>0</v>
      </c>
      <c r="M41" s="6">
        <f>Settings!$B$4+SUM(L$2:L41)</f>
        <v>94.754385964912274</v>
      </c>
    </row>
    <row r="44" spans="1:13" x14ac:dyDescent="0.35">
      <c r="A44" s="2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defaultColWidth="8.7265625" defaultRowHeight="14.5" x14ac:dyDescent="0.35"/>
  <cols>
    <col min="1" max="1" width="16" customWidth="1"/>
    <col min="2" max="2" width="37" bestFit="1" customWidth="1"/>
    <col min="3" max="3" width="7.1796875" bestFit="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96</v>
      </c>
      <c r="B1" s="5" t="s">
        <v>97</v>
      </c>
      <c r="C1" s="5" t="s">
        <v>98</v>
      </c>
      <c r="D1" s="5" t="s">
        <v>99</v>
      </c>
      <c r="E1" s="5" t="s">
        <v>100</v>
      </c>
      <c r="F1" s="5" t="s">
        <v>101</v>
      </c>
      <c r="G1" s="5" t="s">
        <v>102</v>
      </c>
      <c r="H1" s="5" t="s">
        <v>103</v>
      </c>
      <c r="I1" s="5" t="s">
        <v>46</v>
      </c>
    </row>
    <row r="2" spans="1:9" x14ac:dyDescent="0.35">
      <c r="A2" s="6" t="s">
        <v>73</v>
      </c>
      <c r="B2" s="6" t="s">
        <v>104</v>
      </c>
      <c r="C2" s="6" t="s">
        <v>105</v>
      </c>
      <c r="D2" s="8">
        <v>1790.9</v>
      </c>
      <c r="E2" s="8">
        <v>-1.8</v>
      </c>
      <c r="F2" s="8"/>
      <c r="G2" s="8"/>
      <c r="H2" s="8">
        <v>117</v>
      </c>
      <c r="I2" s="2" t="s">
        <v>106</v>
      </c>
    </row>
    <row r="3" spans="1:9" x14ac:dyDescent="0.35">
      <c r="A3" s="6" t="s">
        <v>78</v>
      </c>
      <c r="B3" s="6" t="s">
        <v>107</v>
      </c>
      <c r="C3" s="6" t="s">
        <v>108</v>
      </c>
      <c r="D3" s="8">
        <v>1645.3</v>
      </c>
      <c r="E3" s="8">
        <v>3.6</v>
      </c>
      <c r="F3" s="8">
        <v>0.29786728913377869</v>
      </c>
      <c r="G3" s="8">
        <v>927</v>
      </c>
      <c r="H3" s="8">
        <v>63</v>
      </c>
      <c r="I3" s="2" t="s">
        <v>109</v>
      </c>
    </row>
    <row r="4" spans="1:9" x14ac:dyDescent="0.35">
      <c r="A4" s="6" t="s">
        <v>86</v>
      </c>
      <c r="B4" s="6" t="s">
        <v>107</v>
      </c>
      <c r="C4" s="6" t="s">
        <v>108</v>
      </c>
      <c r="D4" s="8">
        <v>1566.5</v>
      </c>
      <c r="E4" s="8">
        <v>0</v>
      </c>
      <c r="F4" s="8">
        <v>0.16045559996301251</v>
      </c>
      <c r="G4" s="8">
        <v>850</v>
      </c>
      <c r="H4" s="8">
        <v>87</v>
      </c>
      <c r="I4" s="2" t="s">
        <v>110</v>
      </c>
    </row>
    <row r="5" spans="1:9" x14ac:dyDescent="0.35">
      <c r="A5" s="6" t="s">
        <v>74</v>
      </c>
      <c r="B5" s="6" t="s">
        <v>107</v>
      </c>
      <c r="C5" s="6" t="s">
        <v>108</v>
      </c>
      <c r="D5" s="8">
        <v>1561.1</v>
      </c>
      <c r="E5" s="8">
        <v>-2.6</v>
      </c>
      <c r="F5" s="8">
        <v>0.16742017073933849</v>
      </c>
      <c r="G5" s="8">
        <v>916</v>
      </c>
      <c r="H5" s="8">
        <v>124</v>
      </c>
      <c r="I5" s="2" t="s">
        <v>111</v>
      </c>
    </row>
    <row r="6" spans="1:9" x14ac:dyDescent="0.35">
      <c r="A6" s="6" t="s">
        <v>79</v>
      </c>
      <c r="B6" s="6" t="s">
        <v>107</v>
      </c>
      <c r="C6" s="6" t="s">
        <v>108</v>
      </c>
      <c r="D6" s="8">
        <v>1473</v>
      </c>
      <c r="E6" s="8">
        <v>-3.2</v>
      </c>
      <c r="F6" s="8">
        <v>0.28693559822195802</v>
      </c>
      <c r="G6" s="8">
        <v>823</v>
      </c>
      <c r="H6" s="8">
        <v>141</v>
      </c>
      <c r="I6" s="2" t="s">
        <v>112</v>
      </c>
    </row>
    <row r="7" spans="1:9" x14ac:dyDescent="0.35">
      <c r="A7" s="6" t="s">
        <v>89</v>
      </c>
      <c r="B7" s="6" t="s">
        <v>107</v>
      </c>
      <c r="C7" s="6" t="s">
        <v>108</v>
      </c>
      <c r="D7" s="8">
        <v>1399.9</v>
      </c>
      <c r="E7" s="8">
        <v>-10.8</v>
      </c>
      <c r="F7" s="8">
        <v>4.8684119960315561E-2</v>
      </c>
      <c r="G7" s="8">
        <v>811</v>
      </c>
      <c r="H7" s="8">
        <v>114</v>
      </c>
      <c r="I7" s="2" t="s">
        <v>113</v>
      </c>
    </row>
    <row r="8" spans="1:9" x14ac:dyDescent="0.35">
      <c r="A8" s="6" t="s">
        <v>87</v>
      </c>
      <c r="B8" s="6" t="s">
        <v>114</v>
      </c>
      <c r="C8" s="6" t="s">
        <v>105</v>
      </c>
      <c r="D8" s="8">
        <v>1394.5</v>
      </c>
      <c r="E8" s="8">
        <v>-17.2</v>
      </c>
      <c r="F8" s="8">
        <v>4.6892373039206563E-2</v>
      </c>
      <c r="G8" s="8">
        <v>746</v>
      </c>
      <c r="H8" s="8">
        <v>82</v>
      </c>
      <c r="I8" s="2" t="s">
        <v>115</v>
      </c>
    </row>
    <row r="9" spans="1:9" x14ac:dyDescent="0.35">
      <c r="A9" s="6" t="s">
        <v>70</v>
      </c>
      <c r="B9" s="6" t="s">
        <v>107</v>
      </c>
      <c r="C9" s="6" t="s">
        <v>108</v>
      </c>
      <c r="D9" s="8">
        <v>1388.2</v>
      </c>
      <c r="E9" s="8">
        <v>-15.7</v>
      </c>
      <c r="F9" s="8">
        <v>0.1717992412693814</v>
      </c>
      <c r="G9" s="8">
        <v>814</v>
      </c>
      <c r="H9" s="8">
        <v>129</v>
      </c>
      <c r="I9" s="2" t="s">
        <v>110</v>
      </c>
    </row>
    <row r="10" spans="1:9" x14ac:dyDescent="0.35">
      <c r="A10" s="6" t="s">
        <v>84</v>
      </c>
      <c r="B10" s="6" t="s">
        <v>107</v>
      </c>
      <c r="C10" s="6" t="s">
        <v>108</v>
      </c>
      <c r="D10" s="8">
        <v>1361.9</v>
      </c>
      <c r="E10" s="8">
        <v>-11.7</v>
      </c>
      <c r="F10" s="8">
        <v>3.3659666283222478E-2</v>
      </c>
      <c r="G10" s="8">
        <v>728</v>
      </c>
      <c r="H10" s="8">
        <v>98</v>
      </c>
      <c r="I10" s="2" t="s">
        <v>116</v>
      </c>
    </row>
    <row r="11" spans="1:9" x14ac:dyDescent="0.35">
      <c r="A11" s="6" t="s">
        <v>91</v>
      </c>
      <c r="B11" s="6" t="s">
        <v>117</v>
      </c>
      <c r="C11" s="6" t="s">
        <v>105</v>
      </c>
      <c r="D11" s="8">
        <v>1302.8</v>
      </c>
      <c r="E11" s="8">
        <v>-19.3</v>
      </c>
      <c r="F11" s="8">
        <v>1.2784213790767499E-2</v>
      </c>
      <c r="G11" s="8">
        <v>789</v>
      </c>
      <c r="H11" s="8">
        <v>92</v>
      </c>
      <c r="I11" s="2" t="s">
        <v>118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2026-08-31T13:10:56Z</dcterms:modified>
  <dc:language>en-US</dc:language>
</cp:coreProperties>
</file>