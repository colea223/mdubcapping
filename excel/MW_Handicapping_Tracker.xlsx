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tabSelected="1" zoomScaleNormal="100" workbookViewId="0">
      <pane ySplit="1" topLeftCell="A2" activePane="bottomLeft" state="frozen"/>
      <selection pane="bottomLeft" activeCell="E19" sqref="E19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-37</v>
      </c>
      <c r="F2" t="n">
        <v>-38.2</v>
      </c>
      <c r="G2" s="6">
        <f>F2-E2</f>
        <v/>
      </c>
      <c r="H2" s="6">
        <f>IF(G2=0,"Pick'em",IF(G2&gt;0,"Home","Away"))</f>
        <v/>
      </c>
      <c r="I2" t="n">
        <v>55.1</v>
      </c>
      <c r="J2" t="n">
        <v>60.5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-19.9</v>
      </c>
      <c r="F3" t="n">
        <v>-7</v>
      </c>
      <c r="G3" s="6">
        <f>F3-E3</f>
        <v/>
      </c>
      <c r="H3" s="6">
        <f>IF(G3=0,"Pick'em",IF(G3&gt;0,"Home","Away"))</f>
        <v/>
      </c>
      <c r="I3" t="n">
        <v>54.9</v>
      </c>
      <c r="J3" t="n">
        <v>46.2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-2.6</v>
      </c>
      <c r="F4" t="n">
        <v>-4</v>
      </c>
      <c r="G4" s="6">
        <f>F4-E4</f>
        <v/>
      </c>
      <c r="H4" s="6">
        <f>IF(G4=0,"Pick'em",IF(G4&gt;0,"Home","Away"))</f>
        <v/>
      </c>
      <c r="I4" t="n">
        <v>53.3</v>
      </c>
      <c r="J4" t="n">
        <v>48.8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-11.2</v>
      </c>
      <c r="F5" t="n">
        <v>-4.5</v>
      </c>
      <c r="G5" s="6">
        <f>F5-E5</f>
        <v/>
      </c>
      <c r="H5" s="6">
        <f>IF(G5=0,"Pick'em",IF(G5&gt;0,"Home","Away"))</f>
        <v/>
      </c>
      <c r="I5" t="n">
        <v>57.7</v>
      </c>
      <c r="J5" t="n">
        <v>56.5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-10.2</v>
      </c>
      <c r="F6" t="n">
        <v>-5</v>
      </c>
      <c r="G6" s="6">
        <f>F6-E6</f>
        <v/>
      </c>
      <c r="H6" s="6">
        <f>IF(G6=0,"Pick'em",IF(G6&gt;0,"Home","Away"))</f>
        <v/>
      </c>
      <c r="I6" t="n">
        <v>56</v>
      </c>
      <c r="J6" t="n">
        <v>53.5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-16.8</v>
      </c>
      <c r="F7" s="10" t="n">
        <v>-30.5</v>
      </c>
      <c r="G7" s="10">
        <f>F7-E7</f>
        <v/>
      </c>
      <c r="H7" s="10">
        <f>IF(G7=0,"Pick'em",IF(G7&gt;0,"Home","Away"))</f>
        <v/>
      </c>
      <c r="I7" s="10" t="n">
        <v>55.2</v>
      </c>
      <c r="J7" s="10" t="n">
        <v>58.5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-50.5</v>
      </c>
      <c r="F8" t="n">
        <v>-39.5</v>
      </c>
      <c r="G8" s="6">
        <f>F8-E8</f>
        <v/>
      </c>
      <c r="H8" s="6">
        <f>IF(G8=0,"Pick'em",IF(G8&gt;0,"Home","Away"))</f>
        <v/>
      </c>
      <c r="I8" t="n">
        <v>57.6</v>
      </c>
      <c r="J8" t="n">
        <v>57.5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-30.8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49.7</v>
      </c>
      <c r="J9" t="n">
        <v>45.5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-5</v>
      </c>
      <c r="F10" t="n">
        <v>-3.5</v>
      </c>
      <c r="G10" s="6">
        <f>F10-E10</f>
        <v/>
      </c>
      <c r="H10" s="6">
        <f>IF(G10=0,"Pick'em",IF(G10&gt;0,"Home","Away"))</f>
        <v/>
      </c>
      <c r="I10" t="n">
        <v>51.2</v>
      </c>
      <c r="J10" t="n">
        <v>47.8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-35.5</v>
      </c>
      <c r="F11" t="n">
        <v>-41</v>
      </c>
      <c r="G11" s="6">
        <f>F11-E11</f>
        <v/>
      </c>
      <c r="H11" s="6">
        <f>IF(G11=0,"Pick'em",IF(G11&gt;0,"Home","Away"))</f>
        <v/>
      </c>
      <c r="I11" t="n">
        <v>53.3</v>
      </c>
      <c r="J11" t="n">
        <v>50.5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7.3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56.7</v>
      </c>
      <c r="J12" t="n">
        <v>58.5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-15.9</v>
      </c>
      <c r="F13" t="n">
        <v>-11.5</v>
      </c>
      <c r="G13" s="6">
        <f>F13-E13</f>
        <v/>
      </c>
      <c r="H13" s="6">
        <f>IF(G13=0,"Pick'em",IF(G13&gt;0,"Home","Away"))</f>
        <v/>
      </c>
      <c r="I13" t="n">
        <v>51.6</v>
      </c>
      <c r="J13" t="n">
        <v>47.5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5.3</v>
      </c>
      <c r="F14" t="n">
        <v>2.5</v>
      </c>
      <c r="G14" s="6">
        <f>F14-E14</f>
        <v/>
      </c>
      <c r="H14" s="6">
        <f>IF(G14=0,"Pick'em",IF(G14&gt;0,"Home","Away"))</f>
        <v/>
      </c>
      <c r="I14" t="n">
        <v>53</v>
      </c>
      <c r="J14" t="n">
        <v>53.2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  <row r="30"/>
    <row r="31"/>
    <row r="32"/>
    <row r="33"/>
    <row r="34"/>
    <row r="35"/>
    <row r="36"/>
    <row r="37"/>
    <row r="38"/>
    <row r="39"/>
    <row r="40"/>
    <row r="41"/>
    <row r="42"/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" activePane="bottomLeft" state="frozen"/>
      <selection pane="bottomLeft" activeCell="J11" sqref="J11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Jacksonvillie State @ North Dakota State</t>
        </is>
      </c>
      <c r="D2" t="inlineStr">
        <is>
          <t>Spread</t>
        </is>
      </c>
      <c r="E2" t="inlineStr">
        <is>
          <t>North Dakota State -7</t>
        </is>
      </c>
      <c r="F2" t="n">
        <v>-7</v>
      </c>
      <c r="G2" t="n">
        <v>-110</v>
      </c>
      <c r="H2" t="n">
        <v>1</v>
      </c>
      <c r="J2" s="6" t="n"/>
      <c r="L2" s="6">
        <f>IF(K2="W",IF(G2&lt;0,H2*100/ABS(G2),H2*G2/100),IF(K2="L",-H2,0))</f>
        <v/>
      </c>
      <c r="M2" s="6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Jacksonvillie State @ North Dakota State</t>
        </is>
      </c>
      <c r="D3" t="inlineStr">
        <is>
          <t>Moneyline</t>
        </is>
      </c>
      <c r="E3" t="inlineStr">
        <is>
          <t>North Dakota State -265</t>
        </is>
      </c>
      <c r="G3" t="n">
        <v>-265</v>
      </c>
      <c r="H3" t="n">
        <v>5</v>
      </c>
      <c r="J3" s="6">
        <f>IF(I3="","",I3-F3)</f>
        <v/>
      </c>
      <c r="L3" s="6">
        <f>IF(K3="W",IF(G3&lt;0,H3*100/ABS(G3),H3*G3/100),IF(K3="L",-H3,0))</f>
        <v/>
      </c>
      <c r="M3" s="6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 -184</t>
        </is>
      </c>
      <c r="G4" t="n">
        <v>-184</v>
      </c>
      <c r="H4" t="n">
        <v>5</v>
      </c>
      <c r="J4" s="6">
        <f>IF(I4="","",I4-F5)</f>
        <v/>
      </c>
      <c r="L4" s="6">
        <f>IF(K4="W",IF(G4&lt;0,H4*100/ABS(G4),H4*G4/100),IF(K4="L",-H4,0))</f>
        <v/>
      </c>
      <c r="M4" s="6">
        <f>Settings!$B$4+SUM(L$2:L4)</f>
        <v/>
      </c>
    </row>
    <row r="5">
      <c r="A5" s="8" t="n"/>
      <c r="J5" s="6">
        <f>IF(I5="","",I5-#REF!)</f>
        <v/>
      </c>
      <c r="L5" s="6">
        <f>IF(K5="W",IF(G5&lt;0,H5*100/ABS(G5),H5*G5/100),IF(K5="L",-H5,0))</f>
        <v/>
      </c>
      <c r="M5" s="6">
        <f>Settings!$B$4+SUM(L$2:L5)</f>
        <v/>
      </c>
    </row>
    <row r="6"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20" sqref="F20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1790.9</v>
      </c>
      <c r="E2" s="8" t="n">
        <v>-1.8</v>
      </c>
      <c r="F2" s="8" t="n"/>
      <c r="G2" s="8" t="n"/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1645.3</v>
      </c>
      <c r="E3" s="8" t="n">
        <v>3.6</v>
      </c>
      <c r="F3" s="8" t="n">
        <v>0.2978672891337787</v>
      </c>
      <c r="G3" s="8" t="n">
        <v>927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1566.5</v>
      </c>
      <c r="E4" s="8" t="n">
        <v>0</v>
      </c>
      <c r="F4" s="8" t="n">
        <v>0.1604555999630125</v>
      </c>
      <c r="G4" s="8" t="n">
        <v>850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1561.1</v>
      </c>
      <c r="E5" s="8" t="n">
        <v>-2.6</v>
      </c>
      <c r="F5" s="8" t="n">
        <v>0.1674201707393385</v>
      </c>
      <c r="G5" s="8" t="n">
        <v>916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1473</v>
      </c>
      <c r="E6" s="8" t="n">
        <v>-3.2</v>
      </c>
      <c r="F6" s="8" t="n">
        <v>0.286935598221958</v>
      </c>
      <c r="G6" s="8" t="n">
        <v>823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1399.9</v>
      </c>
      <c r="E7" s="8" t="n">
        <v>-10.8</v>
      </c>
      <c r="F7" s="8" t="n">
        <v>0.04868411996031556</v>
      </c>
      <c r="G7" s="8" t="n">
        <v>811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1394.5</v>
      </c>
      <c r="E8" s="8" t="n">
        <v>-17.2</v>
      </c>
      <c r="F8" s="8" t="n">
        <v>0.04689237303920656</v>
      </c>
      <c r="G8" s="8" t="n">
        <v>746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1388.2</v>
      </c>
      <c r="E9" s="8" t="n">
        <v>-15.7</v>
      </c>
      <c r="F9" s="8" t="n">
        <v>0.1717992412693814</v>
      </c>
      <c r="G9" s="8" t="n">
        <v>814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1361.9</v>
      </c>
      <c r="E10" s="8" t="n">
        <v>-11.7</v>
      </c>
      <c r="F10" s="8" t="n">
        <v>0.03365966628322248</v>
      </c>
      <c r="G10" s="8" t="n">
        <v>728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1302.8</v>
      </c>
      <c r="E11" s="8" t="n">
        <v>-19.3</v>
      </c>
      <c r="F11" s="8" t="n">
        <v>0.0127842137907675</v>
      </c>
      <c r="G11" s="8" t="n">
        <v>789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2026-08-26T04:20:47Z</dcterms:modified>
  <cp:lastModifiedBy>Edward Andrewlevich</cp:lastModifiedBy>
  <cp:revision>0</cp:revision>
</cp:coreProperties>
</file>