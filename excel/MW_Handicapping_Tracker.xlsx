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abSelected="1" zoomScaleNormal="100" workbookViewId="0">
      <pane ySplit="1" topLeftCell="A2" activePane="bottomLeft" state="frozen"/>
      <selection pane="bottomLeft" activeCell="E19" sqref="E19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-37</v>
      </c>
      <c r="F2" t="n">
        <v>-38.2</v>
      </c>
      <c r="G2" s="6">
        <f>F2-E2</f>
        <v/>
      </c>
      <c r="H2" s="6">
        <f>IF(G2=0,"Pick'em",IF(G2&gt;0,"Home","Away"))</f>
        <v/>
      </c>
      <c r="I2" t="n">
        <v>55.1</v>
      </c>
      <c r="J2" t="n">
        <v>60.5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-19.9</v>
      </c>
      <c r="F3" t="n">
        <v>-7</v>
      </c>
      <c r="G3" s="6">
        <f>F3-E3</f>
        <v/>
      </c>
      <c r="H3" s="6">
        <f>IF(G3=0,"Pick'em",IF(G3&gt;0,"Home","Away"))</f>
        <v/>
      </c>
      <c r="I3" t="n">
        <v>54.9</v>
      </c>
      <c r="J3" t="n">
        <v>46.2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-2.6</v>
      </c>
      <c r="F4" t="n">
        <v>-4</v>
      </c>
      <c r="G4" s="6">
        <f>F4-E4</f>
        <v/>
      </c>
      <c r="H4" s="6">
        <f>IF(G4=0,"Pick'em",IF(G4&gt;0,"Home","Away"))</f>
        <v/>
      </c>
      <c r="I4" t="n">
        <v>53.3</v>
      </c>
      <c r="J4" t="n">
        <v>48.8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-11.2</v>
      </c>
      <c r="F5" t="n">
        <v>-4.5</v>
      </c>
      <c r="G5" s="6">
        <f>F5-E5</f>
        <v/>
      </c>
      <c r="H5" s="6">
        <f>IF(G5=0,"Pick'em",IF(G5&gt;0,"Home","Away"))</f>
        <v/>
      </c>
      <c r="I5" t="n">
        <v>57.7</v>
      </c>
      <c r="J5" t="n">
        <v>56.5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-10.2</v>
      </c>
      <c r="F6" t="n">
        <v>-5</v>
      </c>
      <c r="G6" s="6">
        <f>F6-E6</f>
        <v/>
      </c>
      <c r="H6" s="6">
        <f>IF(G6=0,"Pick'em",IF(G6&gt;0,"Home","Away"))</f>
        <v/>
      </c>
      <c r="I6" t="n">
        <v>56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-30.5</v>
      </c>
      <c r="G7" s="10">
        <f>F7-E7</f>
        <v/>
      </c>
      <c r="H7" s="10">
        <f>IF(G7=0,"Pick'em",IF(G7&gt;0,"Home","Away"))</f>
        <v/>
      </c>
      <c r="I7" s="10" t="n">
        <v>55.2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-50.5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57.6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49.7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-3.5</v>
      </c>
      <c r="G10" s="6">
        <f>F10-E10</f>
        <v/>
      </c>
      <c r="H10" s="6">
        <f>IF(G10=0,"Pick'em",IF(G10&gt;0,"Home","Away"))</f>
        <v/>
      </c>
      <c r="I10" t="n">
        <v>51.2</v>
      </c>
      <c r="J10" t="n">
        <v>47.8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</v>
      </c>
      <c r="G11" s="6">
        <f>F11-E11</f>
        <v/>
      </c>
      <c r="H11" s="6">
        <f>IF(G11=0,"Pick'em",IF(G11&gt;0,"Home","Away"))</f>
        <v/>
      </c>
      <c r="I11" t="n">
        <v>53.3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7.3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56.7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-11.5</v>
      </c>
      <c r="G13" s="6">
        <f>F13-E13</f>
        <v/>
      </c>
      <c r="H13" s="6">
        <f>IF(G13=0,"Pick'em",IF(G13&gt;0,"Home","Away"))</f>
        <v/>
      </c>
      <c r="I13" t="n">
        <v>51.6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53</v>
      </c>
      <c r="J14" t="n">
        <v>53.2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J11" sqref="J11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</t>
        </is>
      </c>
      <c r="F2" t="n">
        <v>-7</v>
      </c>
      <c r="G2" t="n">
        <v>-110</v>
      </c>
      <c r="H2" t="n">
        <v>1</v>
      </c>
      <c r="J2" s="6" t="n"/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-265</t>
        </is>
      </c>
      <c r="G3" t="n">
        <v>-265</v>
      </c>
      <c r="H3" t="n">
        <v>5</v>
      </c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-184</t>
        </is>
      </c>
      <c r="G4" t="n">
        <v>-184</v>
      </c>
      <c r="H4" t="n">
        <v>5</v>
      </c>
      <c r="J4" s="6">
        <f>IF(I4="","",I4-F5)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A5" s="8" t="n"/>
      <c r="J5" s="6">
        <f>IF(I5="","",I5-#REF!)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1790.9</v>
      </c>
      <c r="E2" s="8" t="n">
        <v>-1.8</v>
      </c>
      <c r="F2" s="8" t="n"/>
      <c r="G2" s="8" t="n"/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1645.3</v>
      </c>
      <c r="E3" s="8" t="n">
        <v>3.6</v>
      </c>
      <c r="F3" s="8" t="n">
        <v>0.2978672891337787</v>
      </c>
      <c r="G3" s="8" t="n">
        <v>927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1561.1</v>
      </c>
      <c r="E5" s="8" t="n">
        <v>-2.6</v>
      </c>
      <c r="F5" s="8" t="n">
        <v>0.1674201707393385</v>
      </c>
      <c r="G5" s="8" t="n">
        <v>916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1388.2</v>
      </c>
      <c r="E9" s="8" t="n">
        <v>-15.7</v>
      </c>
      <c r="F9" s="8" t="n">
        <v>0.1717992412693814</v>
      </c>
      <c r="G9" s="8" t="n">
        <v>814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2026-08-26T05:02:08Z</dcterms:modified>
  <cp:lastModifiedBy>Edward Andrewlevich</cp:lastModifiedBy>
  <cp:revision>0</cp:revision>
</cp:coreProperties>
</file>