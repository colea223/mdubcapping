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-32.2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-16.4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53.2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-4.3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52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-9.9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56.1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-12.8</v>
      </c>
      <c r="F6" t="n">
        <v>-3</v>
      </c>
      <c r="G6" s="6">
        <f>F6-E6</f>
        <v/>
      </c>
      <c r="H6" s="6">
        <f>IF(G6=0,"Pick'em",IF(G6&gt;0,"Home","Away"))</f>
        <v/>
      </c>
      <c r="I6" t="n">
        <v>54.9</v>
      </c>
      <c r="J6" t="n">
        <v>56.2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-22</v>
      </c>
      <c r="F7" s="10" t="n">
        <v>-28.5</v>
      </c>
      <c r="G7" s="10">
        <f>F7-E7</f>
        <v/>
      </c>
      <c r="H7" s="10">
        <f>IF(G7=0,"Pick'em",IF(G7&gt;0,"Home","Away"))</f>
        <v/>
      </c>
      <c r="I7" s="10" t="n">
        <v>53.3</v>
      </c>
      <c r="J7" s="10" t="n">
        <v>58.5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-49.9</v>
      </c>
      <c r="F8" t="n">
        <v>-39.5</v>
      </c>
      <c r="G8" s="6">
        <f>F8-E8</f>
        <v/>
      </c>
      <c r="H8" s="6">
        <f>IF(G8=0,"Pick'em",IF(G8&gt;0,"Home","Away"))</f>
        <v/>
      </c>
      <c r="I8" t="n">
        <v>55.7</v>
      </c>
      <c r="J8" t="n">
        <v>57.5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-30.4</v>
      </c>
      <c r="F9" t="n">
        <v>-31.2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-5.2</v>
      </c>
      <c r="F10" t="n">
        <v>-3</v>
      </c>
      <c r="G10" s="6">
        <f>F10-E10</f>
        <v/>
      </c>
      <c r="H10" s="6">
        <f>IF(G10=0,"Pick'em",IF(G10&gt;0,"Home","Away"))</f>
        <v/>
      </c>
      <c r="I10" t="n">
        <v>49.5</v>
      </c>
      <c r="J10" t="n">
        <v>46.5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-33.9</v>
      </c>
      <c r="F11" t="n">
        <v>-41.5</v>
      </c>
      <c r="G11" s="6">
        <f>F11-E11</f>
        <v/>
      </c>
      <c r="H11" s="6">
        <f>IF(G11=0,"Pick'em",IF(G11&gt;0,"Home","Away"))</f>
        <v/>
      </c>
      <c r="I11" t="n">
        <v>51.3</v>
      </c>
      <c r="J11" t="n">
        <v>51.5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6.5</v>
      </c>
      <c r="F12" t="n">
        <v>3</v>
      </c>
      <c r="G12" s="6">
        <f>F12-E12</f>
        <v/>
      </c>
      <c r="H12" s="6">
        <f>IF(G12=0,"Pick'em",IF(G12&gt;0,"Home","Away"))</f>
        <v/>
      </c>
      <c r="I12" t="n">
        <v>55.4</v>
      </c>
      <c r="J12" t="n">
        <v>56.2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-17.2</v>
      </c>
      <c r="F13" t="n">
        <v>-10</v>
      </c>
      <c r="G13" s="6">
        <f>F13-E13</f>
        <v/>
      </c>
      <c r="H13" s="6">
        <f>IF(G13=0,"Pick'em",IF(G13&gt;0,"Home","Away"))</f>
        <v/>
      </c>
      <c r="I13" t="n">
        <v>50.1</v>
      </c>
      <c r="J13" t="n">
        <v>46.5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5</v>
      </c>
      <c r="F14" t="n">
        <v>2.5</v>
      </c>
      <c r="G14" s="6">
        <f>F14-E14</f>
        <v/>
      </c>
      <c r="H14" s="6">
        <f>IF(G14=0,"Pick'em",IF(G14&gt;0,"Home","Away"))</f>
        <v/>
      </c>
      <c r="I14" t="n">
        <v>51.6</v>
      </c>
      <c r="J14" t="n">
        <v>52.5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" activePane="bottomLeft" state="frozen"/>
      <selection pane="bottomLeft" activeCell="H8" sqref="H8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Jacksonvillie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Jacksonvillie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Jacksonvillie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6">
        <f>IF(K5="W",IF(G5&lt;0,H5*100/ABS(G5),H5*G5/100),IF(K5="L",-H5,0))</f>
        <v/>
      </c>
      <c r="M5" s="6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 -3.5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1731.3</v>
      </c>
      <c r="E2" s="8" t="n">
        <v>-1.8</v>
      </c>
      <c r="F2" s="8" t="n">
        <v>0.2185941394571994</v>
      </c>
      <c r="G2" s="8" t="n">
        <v>69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1585.5</v>
      </c>
      <c r="E3" s="8" t="n">
        <v>3.6</v>
      </c>
      <c r="F3" s="8" t="n">
        <v>0.09147047509478008</v>
      </c>
      <c r="G3" s="8" t="n">
        <v>81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1566.5</v>
      </c>
      <c r="E4" s="8" t="n">
        <v>0</v>
      </c>
      <c r="F4" s="8" t="n">
        <v>0.1604555999630125</v>
      </c>
      <c r="G4" s="8" t="n">
        <v>850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1519.4</v>
      </c>
      <c r="E5" s="8" t="n">
        <v>-2.6</v>
      </c>
      <c r="F5" s="8" t="n">
        <v>0.04894744398560683</v>
      </c>
      <c r="G5" s="8" t="n">
        <v>76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1473</v>
      </c>
      <c r="E6" s="8" t="n">
        <v>-3.2</v>
      </c>
      <c r="F6" s="8" t="n">
        <v>0.286935598221958</v>
      </c>
      <c r="G6" s="8" t="n">
        <v>823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1399.9</v>
      </c>
      <c r="E7" s="8" t="n">
        <v>-10.8</v>
      </c>
      <c r="F7" s="8" t="n">
        <v>0.04868411996031556</v>
      </c>
      <c r="G7" s="8" t="n">
        <v>811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1394.5</v>
      </c>
      <c r="E8" s="8" t="n">
        <v>-17.2</v>
      </c>
      <c r="F8" s="8" t="n">
        <v>0.04689237303920656</v>
      </c>
      <c r="G8" s="8" t="n">
        <v>746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1408.4</v>
      </c>
      <c r="E9" s="8" t="n">
        <v>-15.7</v>
      </c>
      <c r="F9" s="8" t="n">
        <v>0.2163991968944516</v>
      </c>
      <c r="G9" s="8" t="n">
        <v>57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1361.9</v>
      </c>
      <c r="E10" s="8" t="n">
        <v>-11.7</v>
      </c>
      <c r="F10" s="8" t="n">
        <v>0.03365966628322248</v>
      </c>
      <c r="G10" s="8" t="n">
        <v>728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1302.8</v>
      </c>
      <c r="E11" s="8" t="n">
        <v>-19.3</v>
      </c>
      <c r="F11" s="8" t="n">
        <v>0.0127842137907675</v>
      </c>
      <c r="G11" s="8" t="n">
        <v>789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showGridLines="0" tabSelected="1" workbookViewId="0">
      <pane ySplit="21" topLeftCell="A22" activePane="bottomLeft" state="frozen"/>
      <selection pane="bottomLeft" activeCell="A14" sqref="A14"/>
    </sheetView>
  </sheetViews>
  <sheetFormatPr baseColWidth="8" defaultRowHeight="15"/>
  <cols>
    <col width="136" bestFit="1" customWidth="1" min="1" max="1"/>
    <col width="26" customWidth="1" min="2" max="2"/>
    <col width="18" customWidth="1" min="3" max="4"/>
    <col width="12" customWidth="1" min="5" max="6"/>
    <col width="11" customWidth="1" min="7" max="7"/>
    <col width="12" customWidth="1" min="8" max="10"/>
    <col width="11" customWidth="1" min="11" max="11"/>
    <col width="12" customWidth="1" min="12" max="12"/>
    <col width="13" customWidth="1" min="13" max="13"/>
  </cols>
  <sheetData>
    <row r="1" ht="18" customHeight="1">
      <c r="A1" s="11" t="inlineStr">
        <is>
          <t>Ridge vs. XGBoost -- Model Comparison</t>
        </is>
      </c>
    </row>
    <row r="2">
      <c r="A2" s="12" t="inlineStr">
        <is>
          <t>Informational only. Ridge is still the live model everywhere else in this workbook and on the website -- XGBoost is a candidate being evaluated here, not a replacement.</t>
        </is>
      </c>
    </row>
    <row r="4">
      <c r="A4" s="13" t="inlineStr">
        <is>
          <t>All-Time (every season in the backtest)</t>
        </is>
      </c>
    </row>
    <row r="5" ht="25.5" customHeight="1">
      <c r="A5" s="14" t="inlineStr">
        <is>
          <t>Model</t>
        </is>
      </c>
      <c r="B5" s="14" t="inlineStr">
        <is>
          <t>Games Graded</t>
        </is>
      </c>
      <c r="C5" s="14" t="inlineStr">
        <is>
          <t>Bets Made</t>
        </is>
      </c>
      <c r="D5" s="14" t="inlineStr">
        <is>
          <t>Wins</t>
        </is>
      </c>
      <c r="E5" s="14" t="inlineStr">
        <is>
          <t>Losses</t>
        </is>
      </c>
      <c r="F5" s="14" t="inlineStr">
        <is>
          <t>Pushes</t>
        </is>
      </c>
      <c r="G5" s="14" t="inlineStr">
        <is>
          <t>ATS Win %</t>
        </is>
      </c>
      <c r="H5" s="14" t="inlineStr">
        <is>
          <t>ROI (flat stake)</t>
        </is>
      </c>
    </row>
    <row r="6">
      <c r="A6" s="15" t="inlineStr">
        <is>
          <t>Ridge (live model) -- all FBS</t>
        </is>
      </c>
      <c r="B6" s="15" t="n">
        <v>8441</v>
      </c>
      <c r="C6" s="15" t="n">
        <v>6578</v>
      </c>
      <c r="D6" s="15" t="n">
        <v>3264</v>
      </c>
      <c r="E6" s="15" t="n">
        <v>3314</v>
      </c>
      <c r="F6" s="15" t="n">
        <v>59</v>
      </c>
      <c r="G6" s="15" t="inlineStr">
        <is>
          <t>49.6%</t>
        </is>
      </c>
      <c r="H6" s="15" t="inlineStr">
        <is>
          <t>-5.3%</t>
        </is>
      </c>
    </row>
    <row r="7">
      <c r="A7" s="15" t="inlineStr">
        <is>
          <t>Ridge (live model) -- MW-involved</t>
        </is>
      </c>
      <c r="B7" s="15" t="n">
        <v>960</v>
      </c>
      <c r="C7" s="15" t="n">
        <v>756</v>
      </c>
      <c r="D7" s="15" t="n">
        <v>377</v>
      </c>
      <c r="E7" s="15" t="n">
        <v>379</v>
      </c>
      <c r="F7" s="15" t="n">
        <v>12</v>
      </c>
      <c r="G7" s="15" t="inlineStr">
        <is>
          <t>49.9%</t>
        </is>
      </c>
      <c r="H7" s="15" t="inlineStr">
        <is>
          <t>-4.8%</t>
        </is>
      </c>
    </row>
    <row r="8">
      <c r="A8" s="15" t="inlineStr">
        <is>
          <t>XGBoost (candidate) -- all FBS</t>
        </is>
      </c>
      <c r="B8" s="15" t="n">
        <v>8441</v>
      </c>
      <c r="C8" s="15" t="n">
        <v>6519</v>
      </c>
      <c r="D8" s="15" t="n">
        <v>3260</v>
      </c>
      <c r="E8" s="15" t="n">
        <v>3259</v>
      </c>
      <c r="F8" s="15" t="n">
        <v>59</v>
      </c>
      <c r="G8" s="15" t="inlineStr">
        <is>
          <t>50.0%</t>
        </is>
      </c>
      <c r="H8" s="15" t="inlineStr">
        <is>
          <t>-4.5%</t>
        </is>
      </c>
    </row>
    <row r="9">
      <c r="A9" s="15" t="inlineStr">
        <is>
          <t>XGBoost (candidate) -- MW-involved</t>
        </is>
      </c>
      <c r="B9" s="15" t="n">
        <v>960</v>
      </c>
      <c r="C9" s="15" t="n">
        <v>742</v>
      </c>
      <c r="D9" s="15" t="n">
        <v>384</v>
      </c>
      <c r="E9" s="15" t="n">
        <v>358</v>
      </c>
      <c r="F9" s="15" t="n">
        <v>11</v>
      </c>
      <c r="G9" s="15" t="inlineStr">
        <is>
          <t>51.7%</t>
        </is>
      </c>
      <c r="H9" s="15" t="inlineStr">
        <is>
          <t>-1.2%</t>
        </is>
      </c>
    </row>
    <row r="11">
      <c r="A11" s="13" t="inlineStr">
        <is>
          <t>2026 Season Only</t>
        </is>
      </c>
    </row>
    <row r="12" ht="25.5" customHeight="1">
      <c r="A12" s="14" t="inlineStr">
        <is>
          <t>Model</t>
        </is>
      </c>
      <c r="B12" s="14" t="inlineStr">
        <is>
          <t>Games Graded</t>
        </is>
      </c>
      <c r="C12" s="14" t="inlineStr">
        <is>
          <t>Bets Made</t>
        </is>
      </c>
      <c r="D12" s="14" t="inlineStr">
        <is>
          <t>Wins</t>
        </is>
      </c>
      <c r="E12" s="14" t="inlineStr">
        <is>
          <t>Losses</t>
        </is>
      </c>
      <c r="F12" s="14" t="inlineStr">
        <is>
          <t>Pushes</t>
        </is>
      </c>
      <c r="G12" s="14" t="inlineStr">
        <is>
          <t>ATS Win %</t>
        </is>
      </c>
      <c r="H12" s="14" t="inlineStr">
        <is>
          <t>ROI (flat stake)</t>
        </is>
      </c>
    </row>
    <row r="13">
      <c r="A13" s="15" t="inlineStr">
        <is>
          <t>Ridge (live model) -- all FBS</t>
        </is>
      </c>
      <c r="B13" s="15" t="n">
        <v>8</v>
      </c>
      <c r="C13" s="15" t="n">
        <v>7</v>
      </c>
      <c r="D13" s="15" t="n">
        <v>3</v>
      </c>
      <c r="E13" s="15" t="n">
        <v>4</v>
      </c>
      <c r="F13" s="15" t="n">
        <v>0</v>
      </c>
      <c r="G13" s="15" t="inlineStr">
        <is>
          <t>42.9%</t>
        </is>
      </c>
      <c r="H13" s="15" t="inlineStr">
        <is>
          <t>-18.2%</t>
        </is>
      </c>
    </row>
    <row r="14">
      <c r="A14" s="15" t="inlineStr">
        <is>
          <t>Ridge (live model) -- MW-involved</t>
        </is>
      </c>
      <c r="B14" s="15" t="n">
        <v>4</v>
      </c>
      <c r="C14" s="15" t="n">
        <v>3</v>
      </c>
      <c r="D14" s="15" t="n">
        <v>2</v>
      </c>
      <c r="E14" s="15" t="n">
        <v>1</v>
      </c>
      <c r="F14" s="15" t="n">
        <v>0</v>
      </c>
      <c r="G14" s="15" t="inlineStr">
        <is>
          <t>66.7%</t>
        </is>
      </c>
      <c r="H14" s="15" t="inlineStr">
        <is>
          <t>+27.3%</t>
        </is>
      </c>
    </row>
    <row r="15">
      <c r="A15" s="15" t="inlineStr">
        <is>
          <t>XGBoost (candidate) -- all FBS</t>
        </is>
      </c>
      <c r="B15" s="15" t="n">
        <v>8</v>
      </c>
      <c r="C15" s="15" t="n">
        <v>6</v>
      </c>
      <c r="D15" s="15" t="n">
        <v>3</v>
      </c>
      <c r="E15" s="15" t="n">
        <v>3</v>
      </c>
      <c r="F15" s="15" t="n">
        <v>0</v>
      </c>
      <c r="G15" s="15" t="inlineStr">
        <is>
          <t>50.0%</t>
        </is>
      </c>
      <c r="H15" s="15" t="inlineStr">
        <is>
          <t>-4.5%</t>
        </is>
      </c>
    </row>
    <row r="16">
      <c r="A16" s="15" t="inlineStr">
        <is>
          <t>XGBoost (candidate) -- MW-involved</t>
        </is>
      </c>
      <c r="B16" s="15" t="n">
        <v>4</v>
      </c>
      <c r="C16" s="15" t="n">
        <v>3</v>
      </c>
      <c r="D16" s="15" t="n">
        <v>2</v>
      </c>
      <c r="E16" s="15" t="n">
        <v>1</v>
      </c>
      <c r="F16" s="15" t="n">
        <v>0</v>
      </c>
      <c r="G16" s="15" t="inlineStr">
        <is>
          <t>66.7%</t>
        </is>
      </c>
      <c r="H16" s="15" t="inlineStr">
        <is>
          <t>+27.3%</t>
        </is>
      </c>
    </row>
    <row r="18">
      <c r="A18" s="12" t="inlineStr">
        <is>
          <t>Ridge and XGBoost agree on which side to lean in 81.1% of all graded games.</t>
        </is>
      </c>
    </row>
    <row r="20">
      <c r="A20" s="13" t="inlineStr">
        <is>
          <t>2026 Mountain West Games -- Game by Game</t>
        </is>
      </c>
    </row>
    <row r="21" ht="25.5" customHeight="1">
      <c r="A21" s="14" t="inlineStr">
        <is>
          <t>Week</t>
        </is>
      </c>
      <c r="B21" s="14" t="inlineStr">
        <is>
          <t>Matchup</t>
        </is>
      </c>
      <c r="C21" s="14" t="inlineStr">
        <is>
          <t>Vegas Spread (Home)</t>
        </is>
      </c>
      <c r="D21" s="14" t="inlineStr">
        <is>
          <t>Actual Margin (Home)</t>
        </is>
      </c>
      <c r="E21" s="14" t="inlineStr">
        <is>
          <t>Ridge Line</t>
        </is>
      </c>
      <c r="F21" s="14" t="inlineStr">
        <is>
          <t>Ridge Edge</t>
        </is>
      </c>
      <c r="G21" s="14" t="inlineStr">
        <is>
          <t>Ridge Lean</t>
        </is>
      </c>
      <c r="H21" s="14" t="inlineStr">
        <is>
          <t>Ridge Result</t>
        </is>
      </c>
      <c r="I21" s="14" t="inlineStr">
        <is>
          <t>XGBoost Line</t>
        </is>
      </c>
      <c r="J21" s="14" t="inlineStr">
        <is>
          <t>XGBoost Edge</t>
        </is>
      </c>
      <c r="K21" s="14" t="inlineStr">
        <is>
          <t>XGBoost Lean</t>
        </is>
      </c>
      <c r="L21" s="14" t="inlineStr">
        <is>
          <t>XGBoost Result</t>
        </is>
      </c>
      <c r="M21" s="14" t="inlineStr">
        <is>
          <t>Models Agree?</t>
        </is>
      </c>
    </row>
    <row r="22">
      <c r="A22" s="15" t="n">
        <v>1</v>
      </c>
      <c r="B22" s="15" t="inlineStr">
        <is>
          <t>Jacksonville State @ North Dakota State</t>
        </is>
      </c>
      <c r="C22" s="15" t="inlineStr">
        <is>
          <t>-6.8</t>
        </is>
      </c>
      <c r="D22" s="15" t="inlineStr">
        <is>
          <t>+26.0</t>
        </is>
      </c>
      <c r="E22" s="15" t="inlineStr">
        <is>
          <t>-16.3</t>
        </is>
      </c>
      <c r="F22" s="15" t="inlineStr">
        <is>
          <t>+9.6</t>
        </is>
      </c>
      <c r="G22" s="15" t="inlineStr">
        <is>
          <t>Home</t>
        </is>
      </c>
      <c r="H22" s="16" t="inlineStr">
        <is>
          <t>Win</t>
        </is>
      </c>
      <c r="I22" s="15" t="inlineStr">
        <is>
          <t>-15.3</t>
        </is>
      </c>
      <c r="J22" s="15" t="inlineStr">
        <is>
          <t>+8.6</t>
        </is>
      </c>
      <c r="K22" s="15" t="inlineStr">
        <is>
          <t>Home</t>
        </is>
      </c>
      <c r="L22" s="16" t="inlineStr">
        <is>
          <t>Win</t>
        </is>
      </c>
      <c r="M22" s="15" t="inlineStr">
        <is>
          <t>Yes</t>
        </is>
      </c>
    </row>
    <row r="23">
      <c r="A23" s="15" t="n">
        <v>1</v>
      </c>
      <c r="B23" s="15" t="inlineStr">
        <is>
          <t>Hawai'i @ Stanford</t>
        </is>
      </c>
      <c r="C23" s="15" t="inlineStr">
        <is>
          <t>-4.8</t>
        </is>
      </c>
      <c r="D23" s="15" t="inlineStr">
        <is>
          <t>+10.0</t>
        </is>
      </c>
      <c r="E23" s="15" t="inlineStr">
        <is>
          <t>-4.2</t>
        </is>
      </c>
      <c r="F23" s="15" t="inlineStr">
        <is>
          <t>-0.5</t>
        </is>
      </c>
      <c r="G23" s="15" t="inlineStr">
        <is>
          <t>Away</t>
        </is>
      </c>
      <c r="H23" s="15" t="inlineStr">
        <is>
          <t>Lean only</t>
        </is>
      </c>
      <c r="I23" s="15" t="inlineStr">
        <is>
          <t>-0.7</t>
        </is>
      </c>
      <c r="J23" s="15" t="inlineStr">
        <is>
          <t>-4.1</t>
        </is>
      </c>
      <c r="K23" s="15" t="inlineStr">
        <is>
          <t>Away</t>
        </is>
      </c>
      <c r="L23" s="17" t="inlineStr">
        <is>
          <t>Loss</t>
        </is>
      </c>
      <c r="M23" s="15" t="inlineStr">
        <is>
          <t>Yes</t>
        </is>
      </c>
    </row>
    <row r="24">
      <c r="A24" s="15" t="n">
        <v>1</v>
      </c>
      <c r="B24" s="15" t="inlineStr">
        <is>
          <t>Memphis @ UNLV</t>
        </is>
      </c>
      <c r="C24" s="15" t="inlineStr">
        <is>
          <t>-4.8</t>
        </is>
      </c>
      <c r="D24" s="15" t="inlineStr">
        <is>
          <t>-6.0</t>
        </is>
      </c>
      <c r="E24" s="15" t="inlineStr">
        <is>
          <t>-9.8</t>
        </is>
      </c>
      <c r="F24" s="15" t="inlineStr">
        <is>
          <t>+5.1</t>
        </is>
      </c>
      <c r="G24" s="15" t="inlineStr">
        <is>
          <t>Home</t>
        </is>
      </c>
      <c r="H24" s="17" t="inlineStr">
        <is>
          <t>Loss</t>
        </is>
      </c>
      <c r="I24" s="15" t="inlineStr">
        <is>
          <t>-6.5</t>
        </is>
      </c>
      <c r="J24" s="15" t="inlineStr">
        <is>
          <t>+1.8</t>
        </is>
      </c>
      <c r="K24" s="15" t="inlineStr">
        <is>
          <t>Home</t>
        </is>
      </c>
      <c r="L24" s="15" t="inlineStr">
        <is>
          <t>Lean only</t>
        </is>
      </c>
      <c r="M24" s="15" t="inlineStr">
        <is>
          <t>Yes</t>
        </is>
      </c>
    </row>
    <row r="25">
      <c r="A25" s="15" t="n">
        <v>1</v>
      </c>
      <c r="B25" s="15" t="inlineStr">
        <is>
          <t>San José State @ USC</t>
        </is>
      </c>
      <c r="C25" s="15" t="inlineStr">
        <is>
          <t>-37.2</t>
        </is>
      </c>
      <c r="D25" s="15" t="inlineStr">
        <is>
          <t>+16.0</t>
        </is>
      </c>
      <c r="E25" s="15" t="inlineStr">
        <is>
          <t>-32.1</t>
        </is>
      </c>
      <c r="F25" s="15" t="inlineStr">
        <is>
          <t>-5.1</t>
        </is>
      </c>
      <c r="G25" s="15" t="inlineStr">
        <is>
          <t>Away</t>
        </is>
      </c>
      <c r="H25" s="16" t="inlineStr">
        <is>
          <t>Win</t>
        </is>
      </c>
      <c r="I25" s="15" t="inlineStr">
        <is>
          <t>-32.9</t>
        </is>
      </c>
      <c r="J25" s="15" t="inlineStr">
        <is>
          <t>-4.4</t>
        </is>
      </c>
      <c r="K25" s="15" t="inlineStr">
        <is>
          <t>Away</t>
        </is>
      </c>
      <c r="L25" s="16" t="inlineStr">
        <is>
          <t>Win</t>
        </is>
      </c>
      <c r="M25" s="15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2026-09-02T01:25:29Z</dcterms:modified>
  <cp:lastModifiedBy>Cole Andrewlevich</cp:lastModifiedBy>
  <cp:revision>0</cp:revision>
</cp:coreProperties>
</file>