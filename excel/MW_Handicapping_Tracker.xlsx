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-34.9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-1.8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51.4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50.6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K11" sqref="K11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6">
        <f>IF(K7="W",IF(G7&lt;0,H7*100/ABS(G7),H7*G7/100),IF(K7="L",-H7,0))</f>
        <v/>
      </c>
      <c r="M7" s="6">
        <f>Settings!$B$4+SUM(L$2:L7)</f>
        <v/>
      </c>
    </row>
    <row r="8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6">
        <f>IF(K8="W",IF(G8&lt;0,H8*100/ABS(G8),H8*G8/100),IF(K8="L",-H8,0))</f>
        <v/>
      </c>
      <c r="M8" s="6">
        <f>Settings!$B$4+SUM(L$2:L8)</f>
        <v/>
      </c>
    </row>
    <row r="9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6">
        <f>IF(K9="W",IF(G9&lt;0,H9*100/ABS(G9),H9*G9/100),IF(K9="L",-H9,0))</f>
        <v/>
      </c>
      <c r="M9" s="6">
        <f>Settings!$B$4+SUM(L$2:L9)</f>
        <v/>
      </c>
    </row>
    <row r="10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6">
        <f>IF(K10="W",IF(G10&lt;0,H10*100/ABS(G10),H10*G10/100),IF(K10="L",-H10,0))</f>
        <v/>
      </c>
      <c r="M10" s="6">
        <f>Settings!$B$4+SUM(L$2:L10)</f>
        <v/>
      </c>
    </row>
    <row r="11">
      <c r="A11" s="10" t="n"/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1738.7</v>
      </c>
      <c r="E2" s="8" t="n">
        <v>-1.8</v>
      </c>
      <c r="F2" s="8" t="n">
        <v>0.2389024157458295</v>
      </c>
      <c r="G2" s="8" t="n">
        <v>-0.3131041177462083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1613.1</v>
      </c>
      <c r="E3" s="8" t="n">
        <v>3.6</v>
      </c>
      <c r="F3" s="8" t="n">
        <v>0.1200261378324967</v>
      </c>
      <c r="G3" s="8" t="n">
        <v>0.08928513545289066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1569</v>
      </c>
      <c r="E4" s="8" t="n">
        <v>0</v>
      </c>
      <c r="F4" s="8" t="n">
        <v>0.2187107716098359</v>
      </c>
      <c r="G4" s="8" t="n">
        <v>-0.05218195799544816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1491.7</v>
      </c>
      <c r="E5" s="8" t="n">
        <v>-2.6</v>
      </c>
      <c r="F5" s="8" t="n">
        <v>-0.00677990204860647</v>
      </c>
      <c r="G5" s="8" t="n">
        <v>0.246843337573555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1499.4</v>
      </c>
      <c r="E6" s="8" t="n">
        <v>-3.2</v>
      </c>
      <c r="F6" s="8" t="n">
        <v>0.3988945801089721</v>
      </c>
      <c r="G6" s="8" t="n">
        <v>-0.2481185633682991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1396.8</v>
      </c>
      <c r="E7" s="8" t="n">
        <v>-10.8</v>
      </c>
      <c r="F7" s="8" t="n">
        <v>-0.02510769911461149</v>
      </c>
      <c r="G7" s="8" t="n">
        <v>0.3012418203750481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1412.1</v>
      </c>
      <c r="E8" s="8" t="n">
        <v>-17.2</v>
      </c>
      <c r="F8" s="8" t="n">
        <v>-0.3317320736505183</v>
      </c>
      <c r="G8" s="8" t="n">
        <v>0.06131739304185656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1432.7</v>
      </c>
      <c r="E9" s="8" t="n">
        <v>-15.7</v>
      </c>
      <c r="F9" s="8" t="n">
        <v>0.1654454108123683</v>
      </c>
      <c r="G9" s="8" t="n">
        <v>0.1926127829579521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1439.9</v>
      </c>
      <c r="E10" s="8" t="n">
        <v>-11.7</v>
      </c>
      <c r="F10" s="8" t="n">
        <v>0.556278847672138</v>
      </c>
      <c r="G10" s="8" t="n">
        <v>0.06562288621201061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1344.5</v>
      </c>
      <c r="E11" s="8" t="n">
        <v>-19.3</v>
      </c>
      <c r="F11" s="8" t="n">
        <v>-0.2513514097581536</v>
      </c>
      <c r="G11" s="8" t="n">
        <v>0.3871905835315659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workbookViewId="0">
      <pane ySplit="2" topLeftCell="A24" activePane="bottomLeft" state="frozen"/>
      <selection pane="bottomLeft" activeCell="A14" sqref="A14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2" customWidth="1" min="6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7"/>
  </cols>
  <sheetData>
    <row r="1" ht="18" customHeight="1">
      <c r="A1" s="11" t="inlineStr">
        <is>
          <t>Ridge vs. XGBoost -- Model Comparison</t>
        </is>
      </c>
    </row>
    <row r="2">
      <c r="A2" s="12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13" t="inlineStr">
        <is>
          <t>All-Time (every season in the backtest)</t>
        </is>
      </c>
    </row>
    <row r="5" ht="25.5" customHeight="1">
      <c r="A5" s="14" t="inlineStr">
        <is>
          <t>Model</t>
        </is>
      </c>
      <c r="B5" s="14" t="inlineStr">
        <is>
          <t>Games Graded</t>
        </is>
      </c>
      <c r="C5" s="14" t="inlineStr">
        <is>
          <t>Bets Made</t>
        </is>
      </c>
      <c r="D5" s="14" t="inlineStr">
        <is>
          <t>Wins</t>
        </is>
      </c>
      <c r="E5" s="14" t="inlineStr">
        <is>
          <t>Losses</t>
        </is>
      </c>
      <c r="F5" s="14" t="inlineStr">
        <is>
          <t>Pushes</t>
        </is>
      </c>
      <c r="G5" s="14" t="inlineStr">
        <is>
          <t>ATS Win %</t>
        </is>
      </c>
      <c r="H5" s="14" t="inlineStr">
        <is>
          <t>ROI (flat stake)</t>
        </is>
      </c>
      <c r="I5" s="14" t="inlineStr">
        <is>
          <t>Tighter Than Other (CLV)</t>
        </is>
      </c>
      <c r="J5" s="14" t="inlineStr">
        <is>
          <t>CLV Pts (cum.)</t>
        </is>
      </c>
    </row>
    <row r="6">
      <c r="A6" s="15" t="inlineStr">
        <is>
          <t>Ridge (live model) -- all FBS</t>
        </is>
      </c>
      <c r="B6" s="15" t="n">
        <v>8441</v>
      </c>
      <c r="C6" s="15" t="n">
        <v>6578</v>
      </c>
      <c r="D6" s="15" t="n">
        <v>3264</v>
      </c>
      <c r="E6" s="15" t="n">
        <v>3314</v>
      </c>
      <c r="F6" s="15" t="n">
        <v>59</v>
      </c>
      <c r="G6" s="15" t="inlineStr">
        <is>
          <t>49.6%</t>
        </is>
      </c>
      <c r="H6" s="15" t="inlineStr">
        <is>
          <t>-5.3%</t>
        </is>
      </c>
      <c r="I6" s="15" t="inlineStr">
        <is>
          <t>4073/8441 (48%)</t>
        </is>
      </c>
      <c r="J6" s="15" t="inlineStr">
        <is>
          <t>+1605.3</t>
        </is>
      </c>
    </row>
    <row r="7">
      <c r="A7" s="15" t="inlineStr">
        <is>
          <t>Ridge (live model) -- MW-involved</t>
        </is>
      </c>
      <c r="B7" s="15" t="n">
        <v>960</v>
      </c>
      <c r="C7" s="15" t="n">
        <v>756</v>
      </c>
      <c r="D7" s="15" t="n">
        <v>377</v>
      </c>
      <c r="E7" s="15" t="n">
        <v>379</v>
      </c>
      <c r="F7" s="15" t="n">
        <v>12</v>
      </c>
      <c r="G7" s="15" t="inlineStr">
        <is>
          <t>49.9%</t>
        </is>
      </c>
      <c r="H7" s="15" t="inlineStr">
        <is>
          <t>-4.8%</t>
        </is>
      </c>
      <c r="I7" s="15" t="inlineStr">
        <is>
          <t>464/960 (48%)</t>
        </is>
      </c>
      <c r="J7" s="15" t="inlineStr">
        <is>
          <t>+377.9</t>
        </is>
      </c>
    </row>
    <row r="8">
      <c r="A8" s="15" t="inlineStr">
        <is>
          <t>XGBoost (candidate) -- all FBS</t>
        </is>
      </c>
      <c r="B8" s="15" t="n">
        <v>8441</v>
      </c>
      <c r="C8" s="15" t="n">
        <v>6518</v>
      </c>
      <c r="D8" s="15" t="n">
        <v>3259</v>
      </c>
      <c r="E8" s="15" t="n">
        <v>3259</v>
      </c>
      <c r="F8" s="15" t="n">
        <v>59</v>
      </c>
      <c r="G8" s="15" t="inlineStr">
        <is>
          <t>50.0%</t>
        </is>
      </c>
      <c r="H8" s="15" t="inlineStr">
        <is>
          <t>-4.5%</t>
        </is>
      </c>
      <c r="I8" s="15" t="inlineStr">
        <is>
          <t>4368/8441 (52%)</t>
        </is>
      </c>
      <c r="J8" s="15" t="inlineStr">
        <is>
          <t>+191.6</t>
        </is>
      </c>
    </row>
    <row r="9">
      <c r="A9" s="15" t="inlineStr">
        <is>
          <t>XGBoost (candidate) -- MW-involved</t>
        </is>
      </c>
      <c r="B9" s="15" t="n">
        <v>960</v>
      </c>
      <c r="C9" s="15" t="n">
        <v>742</v>
      </c>
      <c r="D9" s="15" t="n">
        <v>384</v>
      </c>
      <c r="E9" s="15" t="n">
        <v>358</v>
      </c>
      <c r="F9" s="15" t="n">
        <v>11</v>
      </c>
      <c r="G9" s="15" t="inlineStr">
        <is>
          <t>51.7%</t>
        </is>
      </c>
      <c r="H9" s="15" t="inlineStr">
        <is>
          <t>-1.2%</t>
        </is>
      </c>
      <c r="I9" s="15" t="inlineStr">
        <is>
          <t>496/960 (52%)</t>
        </is>
      </c>
      <c r="J9" s="15" t="inlineStr">
        <is>
          <t>+764.5</t>
        </is>
      </c>
    </row>
    <row r="11">
      <c r="A11" s="13" t="inlineStr">
        <is>
          <t>2026 Season Only</t>
        </is>
      </c>
    </row>
    <row r="12" ht="25.5" customHeight="1">
      <c r="A12" s="14" t="inlineStr">
        <is>
          <t>Model</t>
        </is>
      </c>
      <c r="B12" s="14" t="inlineStr">
        <is>
          <t>Games Graded</t>
        </is>
      </c>
      <c r="C12" s="14" t="inlineStr">
        <is>
          <t>Bets Made</t>
        </is>
      </c>
      <c r="D12" s="14" t="inlineStr">
        <is>
          <t>Wins</t>
        </is>
      </c>
      <c r="E12" s="14" t="inlineStr">
        <is>
          <t>Losses</t>
        </is>
      </c>
      <c r="F12" s="14" t="inlineStr">
        <is>
          <t>Pushes</t>
        </is>
      </c>
      <c r="G12" s="14" t="inlineStr">
        <is>
          <t>ATS Win %</t>
        </is>
      </c>
      <c r="H12" s="14" t="inlineStr">
        <is>
          <t>ROI (flat stake)</t>
        </is>
      </c>
      <c r="I12" s="14" t="inlineStr">
        <is>
          <t>Tighter Than Other (CLV)</t>
        </is>
      </c>
      <c r="J12" s="14" t="inlineStr">
        <is>
          <t>CLV Pts (cum.)</t>
        </is>
      </c>
    </row>
    <row r="13">
      <c r="A13" s="15" t="inlineStr">
        <is>
          <t>Ridge (live model) -- all FBS</t>
        </is>
      </c>
      <c r="B13" s="15" t="n">
        <v>8</v>
      </c>
      <c r="C13" s="15" t="n">
        <v>7</v>
      </c>
      <c r="D13" s="15" t="n">
        <v>3</v>
      </c>
      <c r="E13" s="15" t="n">
        <v>4</v>
      </c>
      <c r="F13" s="15" t="n">
        <v>0</v>
      </c>
      <c r="G13" s="15" t="inlineStr">
        <is>
          <t>42.9%</t>
        </is>
      </c>
      <c r="H13" s="15" t="inlineStr">
        <is>
          <t>-18.2%</t>
        </is>
      </c>
      <c r="I13" s="15" t="inlineStr">
        <is>
          <t>2/8 (25%)</t>
        </is>
      </c>
      <c r="J13" s="15" t="inlineStr">
        <is>
          <t>-2.5</t>
        </is>
      </c>
    </row>
    <row r="14">
      <c r="A14" s="15" t="inlineStr">
        <is>
          <t>Ridge (live model) -- MW-involved</t>
        </is>
      </c>
      <c r="B14" s="15" t="n">
        <v>4</v>
      </c>
      <c r="C14" s="15" t="n">
        <v>3</v>
      </c>
      <c r="D14" s="15" t="n">
        <v>2</v>
      </c>
      <c r="E14" s="15" t="n">
        <v>1</v>
      </c>
      <c r="F14" s="15" t="n">
        <v>0</v>
      </c>
      <c r="G14" s="15" t="inlineStr">
        <is>
          <t>66.7%</t>
        </is>
      </c>
      <c r="H14" s="15" t="inlineStr">
        <is>
          <t>+27.3%</t>
        </is>
      </c>
      <c r="I14" s="15" t="inlineStr">
        <is>
          <t>1/4 (25%)</t>
        </is>
      </c>
      <c r="J14" s="15" t="inlineStr">
        <is>
          <t>+9.0</t>
        </is>
      </c>
    </row>
    <row r="15">
      <c r="A15" s="15" t="inlineStr">
        <is>
          <t>XGBoost (candidate) -- all FBS</t>
        </is>
      </c>
      <c r="B15" s="15" t="n">
        <v>8</v>
      </c>
      <c r="C15" s="15" t="n">
        <v>6</v>
      </c>
      <c r="D15" s="15" t="n">
        <v>3</v>
      </c>
      <c r="E15" s="15" t="n">
        <v>3</v>
      </c>
      <c r="F15" s="15" t="n">
        <v>0</v>
      </c>
      <c r="G15" s="15" t="inlineStr">
        <is>
          <t>50.0%</t>
        </is>
      </c>
      <c r="H15" s="15" t="inlineStr">
        <is>
          <t>-4.5%</t>
        </is>
      </c>
      <c r="I15" s="15" t="inlineStr">
        <is>
          <t>6/8 (75%)</t>
        </is>
      </c>
      <c r="J15" s="15" t="inlineStr">
        <is>
          <t>-6.3</t>
        </is>
      </c>
    </row>
    <row r="16">
      <c r="A16" s="15" t="inlineStr">
        <is>
          <t>XGBoost (candidate) -- MW-involved</t>
        </is>
      </c>
      <c r="B16" s="15" t="n">
        <v>4</v>
      </c>
      <c r="C16" s="15" t="n">
        <v>3</v>
      </c>
      <c r="D16" s="15" t="n">
        <v>2</v>
      </c>
      <c r="E16" s="15" t="n">
        <v>1</v>
      </c>
      <c r="F16" s="15" t="n">
        <v>0</v>
      </c>
      <c r="G16" s="15" t="inlineStr">
        <is>
          <t>66.7%</t>
        </is>
      </c>
      <c r="H16" s="15" t="inlineStr">
        <is>
          <t>+27.3%</t>
        </is>
      </c>
      <c r="I16" s="15" t="inlineStr">
        <is>
          <t>3/4 (75%)</t>
        </is>
      </c>
      <c r="J16" s="15" t="inlineStr">
        <is>
          <t>+1.9</t>
        </is>
      </c>
    </row>
    <row r="18">
      <c r="A18" s="12" t="inlineStr">
        <is>
          <t>Ridge and XGBoost agree on which side to lean in 81.1% of all graded games.</t>
        </is>
      </c>
    </row>
    <row r="20">
      <c r="A20" s="13" t="inlineStr">
        <is>
          <t>Upcoming Games -- Ridge vs. XGBoost (Not Yet Graded)</t>
        </is>
      </c>
    </row>
    <row r="21" ht="25.5" customHeight="1">
      <c r="A21" s="14" t="inlineStr">
        <is>
          <t>Week</t>
        </is>
      </c>
      <c r="B21" s="14" t="inlineStr">
        <is>
          <t>Matchup</t>
        </is>
      </c>
      <c r="C21" s="14" t="inlineStr">
        <is>
          <t>Market Line (Home)</t>
        </is>
      </c>
      <c r="D21" s="14" t="inlineStr">
        <is>
          <t>Ridge Line</t>
        </is>
      </c>
      <c r="E21" s="14" t="inlineStr">
        <is>
          <t>XGBoost Line</t>
        </is>
      </c>
      <c r="F21" s="14" t="inlineStr">
        <is>
          <t>Ridge Lean</t>
        </is>
      </c>
      <c r="G21" s="14" t="inlineStr">
        <is>
          <t>XGBoost Lean</t>
        </is>
      </c>
      <c r="H21" s="14" t="inlineStr">
        <is>
          <t>Models Agree?</t>
        </is>
      </c>
      <c r="I21" s="14" t="inlineStr">
        <is>
          <t>Tighter (Live)*</t>
        </is>
      </c>
    </row>
    <row r="22">
      <c r="A22" s="15" t="n">
        <v>1</v>
      </c>
      <c r="B22" s="15" t="inlineStr">
        <is>
          <t>San José State @ USC</t>
        </is>
      </c>
      <c r="C22" s="15" t="inlineStr">
        <is>
          <t>-37.2</t>
        </is>
      </c>
      <c r="D22" s="15" t="inlineStr">
        <is>
          <t>-32.2</t>
        </is>
      </c>
      <c r="E22" s="15" t="inlineStr">
        <is>
          <t>-31.0</t>
        </is>
      </c>
      <c r="F22" s="15" t="inlineStr">
        <is>
          <t>Away</t>
        </is>
      </c>
      <c r="G22" s="15" t="inlineStr">
        <is>
          <t>Away</t>
        </is>
      </c>
      <c r="H22" s="15" t="inlineStr">
        <is>
          <t>Yes</t>
        </is>
      </c>
      <c r="I22" s="16" t="inlineStr">
        <is>
          <t>Ridge</t>
        </is>
      </c>
    </row>
    <row r="23">
      <c r="A23" s="15" t="n">
        <v>1</v>
      </c>
      <c r="B23" s="15" t="inlineStr">
        <is>
          <t>Jacksonville State @ North Dakota State</t>
        </is>
      </c>
      <c r="C23" s="15" t="inlineStr">
        <is>
          <t>-6.8</t>
        </is>
      </c>
      <c r="D23" s="15" t="inlineStr">
        <is>
          <t>-16.4</t>
        </is>
      </c>
      <c r="E23" s="15" t="inlineStr">
        <is>
          <t>-16.7</t>
        </is>
      </c>
      <c r="F23" s="15" t="inlineStr">
        <is>
          <t>Home</t>
        </is>
      </c>
      <c r="G23" s="15" t="inlineStr">
        <is>
          <t>Home</t>
        </is>
      </c>
      <c r="H23" s="15" t="inlineStr">
        <is>
          <t>Yes</t>
        </is>
      </c>
      <c r="I23" s="16" t="inlineStr">
        <is>
          <t>Ridge</t>
        </is>
      </c>
    </row>
    <row r="24">
      <c r="A24" s="15" t="n">
        <v>1</v>
      </c>
      <c r="B24" s="15" t="inlineStr">
        <is>
          <t>Hawai'i @ Stanford</t>
        </is>
      </c>
      <c r="C24" s="15" t="inlineStr">
        <is>
          <t>-4.8</t>
        </is>
      </c>
      <c r="D24" s="15" t="inlineStr">
        <is>
          <t>-4.3</t>
        </is>
      </c>
      <c r="E24" s="15" t="inlineStr">
        <is>
          <t>-1.8</t>
        </is>
      </c>
      <c r="F24" s="15" t="inlineStr">
        <is>
          <t>Away</t>
        </is>
      </c>
      <c r="G24" s="15" t="inlineStr">
        <is>
          <t>Away</t>
        </is>
      </c>
      <c r="H24" s="15" t="inlineStr">
        <is>
          <t>Yes</t>
        </is>
      </c>
      <c r="I24" s="16" t="inlineStr">
        <is>
          <t>Ridge</t>
        </is>
      </c>
    </row>
    <row r="25">
      <c r="A25" s="15" t="n">
        <v>1</v>
      </c>
      <c r="B25" s="15" t="inlineStr">
        <is>
          <t>Memphis @ UNLV</t>
        </is>
      </c>
      <c r="C25" s="15" t="inlineStr">
        <is>
          <t>-4.8</t>
        </is>
      </c>
      <c r="D25" s="15" t="inlineStr">
        <is>
          <t>-9.9</t>
        </is>
      </c>
      <c r="E25" s="15" t="inlineStr">
        <is>
          <t>-5.7</t>
        </is>
      </c>
      <c r="F25" s="15" t="inlineStr">
        <is>
          <t>Home</t>
        </is>
      </c>
      <c r="G25" s="15" t="inlineStr">
        <is>
          <t>Home</t>
        </is>
      </c>
      <c r="H25" s="15" t="inlineStr">
        <is>
          <t>Yes</t>
        </is>
      </c>
      <c r="I25" s="16" t="inlineStr">
        <is>
          <t>XGBoost</t>
        </is>
      </c>
    </row>
    <row r="26">
      <c r="A26" s="15" t="n">
        <v>1</v>
      </c>
      <c r="B26" s="15" t="inlineStr">
        <is>
          <t>San José State @ Eastern Michigan</t>
        </is>
      </c>
      <c r="C26" s="15" t="inlineStr">
        <is>
          <t>-3.0</t>
        </is>
      </c>
      <c r="D26" s="15" t="inlineStr">
        <is>
          <t>-12.8</t>
        </is>
      </c>
      <c r="E26" s="15" t="inlineStr">
        <is>
          <t>-11.3</t>
        </is>
      </c>
      <c r="F26" s="15" t="inlineStr">
        <is>
          <t>Home</t>
        </is>
      </c>
      <c r="G26" s="15" t="inlineStr">
        <is>
          <t>Home</t>
        </is>
      </c>
      <c r="H26" s="15" t="inlineStr">
        <is>
          <t>Yes</t>
        </is>
      </c>
      <c r="I26" s="16" t="inlineStr">
        <is>
          <t>XGBoost</t>
        </is>
      </c>
    </row>
    <row r="27">
      <c r="A27" s="15" t="n">
        <v>1</v>
      </c>
      <c r="B27" s="15" t="inlineStr">
        <is>
          <t>UTEP @ Oklahoma</t>
        </is>
      </c>
      <c r="C27" s="15" t="inlineStr">
        <is>
          <t>-41.5</t>
        </is>
      </c>
      <c r="D27" s="15" t="inlineStr">
        <is>
          <t>-33.9</t>
        </is>
      </c>
      <c r="E27" s="15" t="inlineStr">
        <is>
          <t>-33.5</t>
        </is>
      </c>
      <c r="F27" s="15" t="inlineStr">
        <is>
          <t>Away</t>
        </is>
      </c>
      <c r="G27" s="15" t="inlineStr">
        <is>
          <t>Away</t>
        </is>
      </c>
      <c r="H27" s="15" t="inlineStr">
        <is>
          <t>Yes</t>
        </is>
      </c>
      <c r="I27" s="16" t="inlineStr">
        <is>
          <t>Ridge</t>
        </is>
      </c>
    </row>
    <row r="28">
      <c r="A28" s="15" t="n">
        <v>1</v>
      </c>
      <c r="B28" s="15" t="inlineStr">
        <is>
          <t>Duquesne @ Air Force</t>
        </is>
      </c>
      <c r="C28" s="15" t="inlineStr">
        <is>
          <t>-28.5</t>
        </is>
      </c>
      <c r="D28" s="15" t="inlineStr">
        <is>
          <t>-22.0</t>
        </is>
      </c>
      <c r="E28" s="15" t="inlineStr">
        <is>
          <t>-33.5</t>
        </is>
      </c>
      <c r="F28" s="15" t="inlineStr">
        <is>
          <t>Away</t>
        </is>
      </c>
      <c r="G28" s="15" t="inlineStr">
        <is>
          <t>Home</t>
        </is>
      </c>
      <c r="H28" s="15" t="inlineStr">
        <is>
          <t>No</t>
        </is>
      </c>
      <c r="I28" s="16" t="inlineStr">
        <is>
          <t>XGBoost</t>
        </is>
      </c>
    </row>
    <row r="29">
      <c r="A29" s="15" t="n">
        <v>1</v>
      </c>
      <c r="B29" s="15" t="inlineStr">
        <is>
          <t>Fordham @ North Dakota State</t>
        </is>
      </c>
      <c r="C29" s="15" t="inlineStr">
        <is>
          <t>-39.5</t>
        </is>
      </c>
      <c r="D29" s="15" t="inlineStr">
        <is>
          <t>-49.9</t>
        </is>
      </c>
      <c r="E29" s="15" t="inlineStr">
        <is>
          <t>-36.7</t>
        </is>
      </c>
      <c r="F29" s="15" t="inlineStr">
        <is>
          <t>Home</t>
        </is>
      </c>
      <c r="G29" s="15" t="inlineStr">
        <is>
          <t>Away</t>
        </is>
      </c>
      <c r="H29" s="15" t="inlineStr">
        <is>
          <t>No</t>
        </is>
      </c>
      <c r="I29" s="16" t="inlineStr">
        <is>
          <t>XGBoost</t>
        </is>
      </c>
    </row>
    <row r="30">
      <c r="A30" s="15" t="n">
        <v>1</v>
      </c>
      <c r="B30" s="15" t="inlineStr">
        <is>
          <t>Northern Illinois @ Iowa</t>
        </is>
      </c>
      <c r="C30" s="15" t="inlineStr">
        <is>
          <t>-31.2</t>
        </is>
      </c>
      <c r="D30" s="15" t="inlineStr">
        <is>
          <t>-30.4</t>
        </is>
      </c>
      <c r="E30" s="15" t="inlineStr">
        <is>
          <t>-27.0</t>
        </is>
      </c>
      <c r="F30" s="15" t="inlineStr">
        <is>
          <t>Away</t>
        </is>
      </c>
      <c r="G30" s="15" t="inlineStr">
        <is>
          <t>Away</t>
        </is>
      </c>
      <c r="H30" s="15" t="inlineStr">
        <is>
          <t>Yes</t>
        </is>
      </c>
      <c r="I30" s="16" t="inlineStr">
        <is>
          <t>Ridge</t>
        </is>
      </c>
    </row>
    <row r="31">
      <c r="A31" s="15" t="n">
        <v>1</v>
      </c>
      <c r="B31" s="15" t="inlineStr">
        <is>
          <t>Wyoming @ Colorado State</t>
        </is>
      </c>
      <c r="C31" s="15" t="inlineStr">
        <is>
          <t>-3.0</t>
        </is>
      </c>
      <c r="D31" s="15" t="inlineStr">
        <is>
          <t>-5.2</t>
        </is>
      </c>
      <c r="E31" s="15" t="inlineStr">
        <is>
          <t>-1.6</t>
        </is>
      </c>
      <c r="F31" s="15" t="inlineStr">
        <is>
          <t>Home</t>
        </is>
      </c>
      <c r="G31" s="15" t="inlineStr">
        <is>
          <t>Away</t>
        </is>
      </c>
      <c r="H31" s="15" t="inlineStr">
        <is>
          <t>No</t>
        </is>
      </c>
      <c r="I31" s="16" t="inlineStr">
        <is>
          <t>XGBoost</t>
        </is>
      </c>
    </row>
    <row r="32">
      <c r="A32" s="15" t="n">
        <v>1</v>
      </c>
      <c r="B32" s="15" t="inlineStr">
        <is>
          <t>Central Michigan @ New Mexico</t>
        </is>
      </c>
      <c r="C32" s="15" t="inlineStr">
        <is>
          <t>-10.0</t>
        </is>
      </c>
      <c r="D32" s="15" t="inlineStr">
        <is>
          <t>-17.2</t>
        </is>
      </c>
      <c r="E32" s="15" t="inlineStr">
        <is>
          <t>-10.7</t>
        </is>
      </c>
      <c r="F32" s="15" t="inlineStr">
        <is>
          <t>Home</t>
        </is>
      </c>
      <c r="G32" s="15" t="inlineStr">
        <is>
          <t>Home</t>
        </is>
      </c>
      <c r="H32" s="15" t="inlineStr">
        <is>
          <t>Yes</t>
        </is>
      </c>
      <c r="I32" s="16" t="inlineStr">
        <is>
          <t>XGBoost</t>
        </is>
      </c>
    </row>
    <row r="33">
      <c r="A33" s="15" t="n">
        <v>1</v>
      </c>
      <c r="B33" s="15" t="inlineStr">
        <is>
          <t>UNLV @ Hawai'i</t>
        </is>
      </c>
      <c r="C33" s="15" t="inlineStr">
        <is>
          <t>+3.0</t>
        </is>
      </c>
      <c r="D33" s="15" t="inlineStr">
        <is>
          <t>+6.5</t>
        </is>
      </c>
      <c r="E33" s="15" t="inlineStr">
        <is>
          <t>+0.1</t>
        </is>
      </c>
      <c r="F33" s="15" t="inlineStr">
        <is>
          <t>Away</t>
        </is>
      </c>
      <c r="G33" s="15" t="inlineStr">
        <is>
          <t>Home</t>
        </is>
      </c>
      <c r="H33" s="15" t="inlineStr">
        <is>
          <t>No</t>
        </is>
      </c>
      <c r="I33" s="16" t="inlineStr">
        <is>
          <t>XGBoost</t>
        </is>
      </c>
    </row>
    <row r="34">
      <c r="A34" s="15" t="n">
        <v>1</v>
      </c>
      <c r="B34" s="15" t="inlineStr">
        <is>
          <t>Western Kentucky @ Nevada</t>
        </is>
      </c>
      <c r="C34" s="15" t="inlineStr">
        <is>
          <t>+2.5</t>
        </is>
      </c>
      <c r="D34" s="15" t="inlineStr">
        <is>
          <t>+5.0</t>
        </is>
      </c>
      <c r="E34" s="15" t="inlineStr">
        <is>
          <t>+10.7</t>
        </is>
      </c>
      <c r="F34" s="15" t="inlineStr">
        <is>
          <t>Away</t>
        </is>
      </c>
      <c r="G34" s="15" t="inlineStr">
        <is>
          <t>Away</t>
        </is>
      </c>
      <c r="H34" s="15" t="inlineStr">
        <is>
          <t>Yes</t>
        </is>
      </c>
      <c r="I34" s="16" t="inlineStr">
        <is>
          <t>Ridge</t>
        </is>
      </c>
    </row>
    <row r="35">
      <c r="A35" s="12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3" t="inlineStr">
        <is>
          <t>2026 Mountain West Games -- Game by Game</t>
        </is>
      </c>
    </row>
    <row r="39" ht="25.5" customHeight="1">
      <c r="A39" s="14" t="inlineStr">
        <is>
          <t>Week</t>
        </is>
      </c>
      <c r="B39" s="14" t="inlineStr">
        <is>
          <t>Matchup</t>
        </is>
      </c>
      <c r="C39" s="14" t="inlineStr">
        <is>
          <t>Final Score</t>
        </is>
      </c>
      <c r="D39" s="14" t="inlineStr">
        <is>
          <t>Vegas Spread (Home)</t>
        </is>
      </c>
      <c r="E39" s="14" t="inlineStr">
        <is>
          <t>Actual Margin (Home)</t>
        </is>
      </c>
      <c r="F39" s="14" t="inlineStr">
        <is>
          <t>Ridge Line</t>
        </is>
      </c>
      <c r="G39" s="14" t="inlineStr">
        <is>
          <t>Ridge Edge</t>
        </is>
      </c>
      <c r="H39" s="14" t="inlineStr">
        <is>
          <t>Ridge Lean</t>
        </is>
      </c>
      <c r="I39" s="14" t="inlineStr">
        <is>
          <t>Ridge Result</t>
        </is>
      </c>
      <c r="J39" s="14" t="inlineStr">
        <is>
          <t>XGBoost Line</t>
        </is>
      </c>
      <c r="K39" s="14" t="inlineStr">
        <is>
          <t>XGBoost Edge</t>
        </is>
      </c>
      <c r="L39" s="14" t="inlineStr">
        <is>
          <t>XGBoost Lean</t>
        </is>
      </c>
      <c r="M39" s="14" t="inlineStr">
        <is>
          <t>XGBoost Result</t>
        </is>
      </c>
      <c r="N39" s="14" t="inlineStr">
        <is>
          <t>Models Agree?</t>
        </is>
      </c>
      <c r="O39" s="14" t="inlineStr">
        <is>
          <t>Tighter CLV Line</t>
        </is>
      </c>
      <c r="P39" s="14" t="inlineStr">
        <is>
          <t>Ridge CLV Pts (Cum.)</t>
        </is>
      </c>
      <c r="Q39" s="14" t="inlineStr">
        <is>
          <t>XGBoost CLV Pts (Cum.)</t>
        </is>
      </c>
    </row>
    <row r="40">
      <c r="A40" s="15" t="n">
        <v>1</v>
      </c>
      <c r="B40" s="15" t="inlineStr">
        <is>
          <t>Jacksonville State @ North Dakota State</t>
        </is>
      </c>
      <c r="C40" s="15" t="inlineStr">
        <is>
          <t>7-33</t>
        </is>
      </c>
      <c r="D40" s="15" t="inlineStr">
        <is>
          <t>-6.8</t>
        </is>
      </c>
      <c r="E40" s="15" t="inlineStr">
        <is>
          <t>+26.0</t>
        </is>
      </c>
      <c r="F40" s="15" t="inlineStr">
        <is>
          <t>-16.3</t>
        </is>
      </c>
      <c r="G40" s="15" t="inlineStr">
        <is>
          <t>+9.6</t>
        </is>
      </c>
      <c r="H40" s="15" t="inlineStr">
        <is>
          <t>Home</t>
        </is>
      </c>
      <c r="I40" s="16" t="inlineStr">
        <is>
          <t>Win</t>
        </is>
      </c>
      <c r="J40" s="15" t="inlineStr">
        <is>
          <t>-15.3</t>
        </is>
      </c>
      <c r="K40" s="15" t="inlineStr">
        <is>
          <t>+8.6</t>
        </is>
      </c>
      <c r="L40" s="15" t="inlineStr">
        <is>
          <t>Home</t>
        </is>
      </c>
      <c r="M40" s="16" t="inlineStr">
        <is>
          <t>Win</t>
        </is>
      </c>
      <c r="N40" s="15" t="inlineStr">
        <is>
          <t>Yes</t>
        </is>
      </c>
      <c r="O40" s="16" t="inlineStr">
        <is>
          <t>XGBoost</t>
        </is>
      </c>
      <c r="P40" s="15" t="inlineStr">
        <is>
          <t>+9.6</t>
        </is>
      </c>
      <c r="Q40" s="15" t="inlineStr">
        <is>
          <t>+8.6</t>
        </is>
      </c>
    </row>
    <row r="41">
      <c r="A41" s="15" t="n">
        <v>1</v>
      </c>
      <c r="B41" s="15" t="inlineStr">
        <is>
          <t>Hawai'i @ Stanford</t>
        </is>
      </c>
      <c r="C41" s="15" t="inlineStr">
        <is>
          <t>27-37</t>
        </is>
      </c>
      <c r="D41" s="15" t="inlineStr">
        <is>
          <t>-4.8</t>
        </is>
      </c>
      <c r="E41" s="15" t="inlineStr">
        <is>
          <t>+10.0</t>
        </is>
      </c>
      <c r="F41" s="15" t="inlineStr">
        <is>
          <t>-4.2</t>
        </is>
      </c>
      <c r="G41" s="15" t="inlineStr">
        <is>
          <t>-0.5</t>
        </is>
      </c>
      <c r="H41" s="15" t="inlineStr">
        <is>
          <t>Away</t>
        </is>
      </c>
      <c r="I41" s="15" t="inlineStr">
        <is>
          <t>Lean only</t>
        </is>
      </c>
      <c r="J41" s="15" t="inlineStr">
        <is>
          <t>-0.7</t>
        </is>
      </c>
      <c r="K41" s="15" t="inlineStr">
        <is>
          <t>-4.1</t>
        </is>
      </c>
      <c r="L41" s="15" t="inlineStr">
        <is>
          <t>Away</t>
        </is>
      </c>
      <c r="M41" s="17" t="inlineStr">
        <is>
          <t>Loss</t>
        </is>
      </c>
      <c r="N41" s="15" t="inlineStr">
        <is>
          <t>Yes</t>
        </is>
      </c>
      <c r="O41" s="16" t="inlineStr">
        <is>
          <t>Ridge</t>
        </is>
      </c>
      <c r="P41" s="15" t="inlineStr">
        <is>
          <t>+9.0</t>
        </is>
      </c>
      <c r="Q41" s="15" t="inlineStr">
        <is>
          <t>+4.5</t>
        </is>
      </c>
    </row>
    <row r="42">
      <c r="A42" s="15" t="n">
        <v>1</v>
      </c>
      <c r="B42" s="15" t="inlineStr">
        <is>
          <t>Memphis @ UNLV</t>
        </is>
      </c>
      <c r="C42" s="15" t="inlineStr">
        <is>
          <t>27-21</t>
        </is>
      </c>
      <c r="D42" s="15" t="inlineStr">
        <is>
          <t>-4.8</t>
        </is>
      </c>
      <c r="E42" s="15" t="inlineStr">
        <is>
          <t>-6.0</t>
        </is>
      </c>
      <c r="F42" s="15" t="inlineStr">
        <is>
          <t>-9.8</t>
        </is>
      </c>
      <c r="G42" s="15" t="inlineStr">
        <is>
          <t>+5.1</t>
        </is>
      </c>
      <c r="H42" s="15" t="inlineStr">
        <is>
          <t>Home</t>
        </is>
      </c>
      <c r="I42" s="17" t="inlineStr">
        <is>
          <t>Loss</t>
        </is>
      </c>
      <c r="J42" s="15" t="inlineStr">
        <is>
          <t>-6.5</t>
        </is>
      </c>
      <c r="K42" s="15" t="inlineStr">
        <is>
          <t>+1.8</t>
        </is>
      </c>
      <c r="L42" s="15" t="inlineStr">
        <is>
          <t>Home</t>
        </is>
      </c>
      <c r="M42" s="15" t="inlineStr">
        <is>
          <t>Lean only</t>
        </is>
      </c>
      <c r="N42" s="15" t="inlineStr">
        <is>
          <t>Yes</t>
        </is>
      </c>
      <c r="O42" s="16" t="inlineStr">
        <is>
          <t>XGBoost</t>
        </is>
      </c>
      <c r="P42" s="15" t="inlineStr">
        <is>
          <t>+14.1</t>
        </is>
      </c>
      <c r="Q42" s="15" t="inlineStr">
        <is>
          <t>+6.3</t>
        </is>
      </c>
    </row>
    <row r="43">
      <c r="A43" s="15" t="n">
        <v>1</v>
      </c>
      <c r="B43" s="15" t="inlineStr">
        <is>
          <t>San José State @ USC</t>
        </is>
      </c>
      <c r="C43" s="15" t="inlineStr">
        <is>
          <t>26-42</t>
        </is>
      </c>
      <c r="D43" s="15" t="inlineStr">
        <is>
          <t>-37.2</t>
        </is>
      </c>
      <c r="E43" s="15" t="inlineStr">
        <is>
          <t>+16.0</t>
        </is>
      </c>
      <c r="F43" s="15" t="inlineStr">
        <is>
          <t>-32.1</t>
        </is>
      </c>
      <c r="G43" s="15" t="inlineStr">
        <is>
          <t>-5.1</t>
        </is>
      </c>
      <c r="H43" s="15" t="inlineStr">
        <is>
          <t>Away</t>
        </is>
      </c>
      <c r="I43" s="16" t="inlineStr">
        <is>
          <t>Win</t>
        </is>
      </c>
      <c r="J43" s="15" t="inlineStr">
        <is>
          <t>-32.9</t>
        </is>
      </c>
      <c r="K43" s="15" t="inlineStr">
        <is>
          <t>-4.4</t>
        </is>
      </c>
      <c r="L43" s="15" t="inlineStr">
        <is>
          <t>Away</t>
        </is>
      </c>
      <c r="M43" s="16" t="inlineStr">
        <is>
          <t>Win</t>
        </is>
      </c>
      <c r="N43" s="15" t="inlineStr">
        <is>
          <t>Yes</t>
        </is>
      </c>
      <c r="O43" s="16" t="inlineStr">
        <is>
          <t>XGBoost</t>
        </is>
      </c>
      <c r="P43" s="15" t="inlineStr">
        <is>
          <t>+9.0</t>
        </is>
      </c>
      <c r="Q43" s="15" t="inlineStr">
        <is>
          <t>+1.9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2026-09-06T20:39:24Z</dcterms:modified>
  <cp:lastModifiedBy>Cole Andrewlevich</cp:lastModifiedBy>
  <cp:revision>0</cp:revision>
</cp:coreProperties>
</file>