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1" activeTab="5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Model Comparison" sheetId="6" state="visible" r:id="rId6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14">
    <font>
      <name val="Calibri"/>
      <charset val="1"/>
      <family val="2"/>
      <color theme="1"/>
      <sz val="11"/>
    </font>
    <font>
      <name val="Arial"/>
      <family val="2"/>
      <b val="1"/>
      <sz val="14"/>
    </font>
    <font>
      <name val="Arial"/>
      <family val="2"/>
      <i val="1"/>
      <color rgb="FF666666"/>
      <sz val="9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color rgb="FF0000FF"/>
      <sz val="10"/>
    </font>
    <font>
      <name val="Calibri"/>
      <family val="2"/>
      <sz val="11"/>
      <scheme val="minor"/>
    </font>
    <font>
      <name val="Arial"/>
      <family val="2"/>
      <b val="1"/>
      <sz val="14"/>
    </font>
    <font>
      <name val="Arial"/>
      <family val="2"/>
      <i val="1"/>
      <color rgb="FF666666"/>
      <sz val="9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</fonts>
  <fills count="7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7" fillId="0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3" applyAlignment="1" pivotButton="0" quotePrefix="0" xfId="0">
      <alignment horizontal="center" vertical="center" wrapText="1"/>
    </xf>
    <xf numFmtId="0" fontId="13" fillId="0" borderId="0" pivotButton="0" quotePrefix="0" xfId="0"/>
    <xf numFmtId="0" fontId="13" fillId="5" borderId="0" pivotButton="0" quotePrefix="0" xfId="0"/>
    <xf numFmtId="0" fontId="13" fillId="6" borderId="0" pivotButton="0" quotePrefix="0" xfId="0"/>
  </cellXfs>
  <cellStyles count="1">
    <cellStyle name="Normal" xfId="0" builtinId="0"/>
  </cellStyles>
  <dxfs count="3">
    <dxf>
      <fill>
        <patternFill patternType="solid">
          <fgColor indexed="64"/>
          <bgColor rgb="FF00B050"/>
        </patternFill>
      </fill>
    </dxf>
    <dxf>
      <fill>
        <patternFill patternType="solid">
          <fgColor indexed="64"/>
          <bgColor rgb="FF00B050"/>
        </patternFill>
      </fill>
    </dxf>
    <dxf>
      <fill>
        <patternFill patternType="solid">
          <fgColor indexed="64"/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>
      <c r="A2" s="2" t="inlineStr">
        <is>
          <t>2026 Season</t>
        </is>
      </c>
    </row>
    <row r="3">
      <c r="A3" s="3" t="n"/>
    </row>
    <row r="4">
      <c r="A4" s="4" t="inlineStr">
        <is>
          <t>How this workbook is meant to be used</t>
        </is>
      </c>
    </row>
    <row r="5">
      <c r="A5" s="3" t="inlineStr">
        <is>
          <t>This workbook is the review/tracking cockpit -- the model itself runs in Python (see the</t>
        </is>
      </c>
    </row>
    <row r="6">
      <c r="A6" s="3" t="inlineStr">
        <is>
          <t>attack plan and the src/ scripts). Each week, paste that week's model output into the blue</t>
        </is>
      </c>
    </row>
    <row r="7">
      <c r="A7" s="3" t="inlineStr">
        <is>
          <t>cells on the Weekly Slate tab; everything else on that tab recalculates automatically.</t>
        </is>
      </c>
    </row>
    <row r="8">
      <c r="A8" s="3" t="n"/>
    </row>
    <row r="9">
      <c r="A9" s="4" t="inlineStr">
        <is>
          <t>Color legend</t>
        </is>
      </c>
    </row>
    <row r="10">
      <c r="A10" s="3" t="inlineStr">
        <is>
          <t xml:space="preserve">  Blue text      = cells you fill in by hand (model output, market lines, bet results)</t>
        </is>
      </c>
    </row>
    <row r="11">
      <c r="A11" s="3" t="inlineStr">
        <is>
          <t xml:space="preserve">  Black text      = formulas -- don't type over these, they recalculate from the blue cells</t>
        </is>
      </c>
    </row>
    <row r="12">
      <c r="A12" s="3" t="inlineStr">
        <is>
          <t xml:space="preserve">  Yellow fill     = key assumptions on the Settings tab (edit these once, not weekly)</t>
        </is>
      </c>
    </row>
    <row r="13">
      <c r="A13" s="3" t="n"/>
    </row>
    <row r="14">
      <c r="A14" s="4" t="inlineStr">
        <is>
          <t>Tabs</t>
        </is>
      </c>
    </row>
    <row r="15">
      <c r="A15" s="3" t="inlineStr">
        <is>
          <t xml:space="preserve">  Settings        = bankroll, edge thresholds, and other assumptions used across the workbook</t>
        </is>
      </c>
    </row>
    <row r="16">
      <c r="A16" s="3" t="inlineStr">
        <is>
          <t xml:space="preserve">  Weekly Slate    = this week's matchups: model line vs. market line, edge, and a suggested lean</t>
        </is>
      </c>
    </row>
    <row r="17">
      <c r="A17" s="3" t="inlineStr">
        <is>
          <t xml:space="preserve">  Bet Log         = every bet placed -- stake, line, closing line (for CLV), result, running bankroll</t>
        </is>
      </c>
    </row>
    <row r="18">
      <c r="A18" s="3" t="inlineStr">
        <is>
          <t xml:space="preserve">  Team Profiles   = one row per 2026 Mountain West team, pre-filled with conference history;</t>
        </is>
      </c>
    </row>
    <row r="19">
      <c r="A19" s="3" t="inlineStr">
        <is>
          <t xml:space="preserve">                    paste in power ratings / PPA / talent rank weekly as your pipeline produces them</t>
        </is>
      </c>
    </row>
    <row r="20">
      <c r="A20" s="3" t="n"/>
    </row>
    <row r="21">
      <c r="A21" s="3" t="inlineStr">
        <is>
          <t>This is a tracking tool, not a guarantee of profit -- see the attack plan's closing note on</t>
        </is>
      </c>
    </row>
    <row r="22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109375" defaultRowHeight="1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>
      <c r="A4" s="6" t="inlineStr">
        <is>
          <t>Starting bankroll (units)</t>
        </is>
      </c>
      <c r="B4" s="7" t="n">
        <v>100</v>
      </c>
      <c r="C4" s="2" t="inlineStr">
        <is>
          <t>Example: 100 units. 1 unit = whatever flat stake you choose in real currency.</t>
        </is>
      </c>
    </row>
    <row r="5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2"/>
  <sheetViews>
    <sheetView showGridLines="0" topLeftCell="K1" zoomScaleNormal="100" workbookViewId="0">
      <pane ySplit="1" topLeftCell="A2" activePane="bottomLeft" state="frozen"/>
      <selection pane="bottomLeft" activeCell="C6" sqref="C6"/>
    </sheetView>
  </sheetViews>
  <sheetFormatPr baseColWidth="8" defaultColWidth="8.7109375" defaultRowHeight="15"/>
  <cols>
    <col width="6" customWidth="1" min="1" max="1"/>
    <col width="11" customWidth="1" min="2" max="2"/>
    <col width="20.5703125" bestFit="1" customWidth="1" min="3" max="3"/>
    <col width="18" bestFit="1" customWidth="1" min="4" max="4"/>
    <col width="16" customWidth="1" min="5" max="6"/>
    <col width="12.7109375" bestFit="1" customWidth="1" min="7" max="7"/>
    <col width="7.5703125" bestFit="1" customWidth="1" min="8" max="8"/>
    <col width="11" customWidth="1" min="9" max="10"/>
    <col width="12" customWidth="1" min="11" max="11"/>
    <col width="5.5703125" bestFit="1" customWidth="1" min="12" max="12"/>
    <col width="14.28515625" bestFit="1" customWidth="1" min="13" max="14"/>
    <col width="30" customWidth="1" min="15" max="15"/>
    <col width="16" customWidth="1" min="16" max="16"/>
    <col width="17" bestFit="1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9" t="inlineStr">
        <is>
          <t>MW WEST Teams</t>
        </is>
      </c>
    </row>
    <row r="2">
      <c r="A2" t="n">
        <v>1</v>
      </c>
      <c r="B2" t="inlineStr">
        <is>
          <t>2026-08-29</t>
        </is>
      </c>
      <c r="C2" t="inlineStr">
        <is>
          <t>San José State</t>
        </is>
      </c>
      <c r="D2" t="inlineStr">
        <is>
          <t>USC</t>
        </is>
      </c>
      <c r="E2" t="n">
        <v>-30.7</v>
      </c>
      <c r="F2" t="n">
        <v>-37.2</v>
      </c>
      <c r="G2" s="6">
        <f>F2-E2</f>
        <v/>
      </c>
      <c r="H2" s="6">
        <f>IF(G2=0,"Pick'em",IF(G2&gt;0,"Home","Away"))</f>
        <v/>
      </c>
      <c r="I2" t="n">
        <v>53.3</v>
      </c>
      <c r="J2" t="n">
        <v>61</v>
      </c>
      <c r="K2" s="6">
        <f>I2-J2</f>
        <v/>
      </c>
      <c r="L2" s="6">
        <f>IF(K2=0,"Push",IF(K2&gt;0,"Over","Under"))</f>
        <v/>
      </c>
      <c r="M2" s="6">
        <f>IF(ABS(G2)&gt;=Settings!$B$5,H2,"Pass")</f>
        <v/>
      </c>
      <c r="N2" s="6">
        <f>IF(ABS(K2)&gt;=Settings!$B$6,L2,"Pass")</f>
        <v/>
      </c>
      <c r="O2" s="8" t="n"/>
      <c r="P2" s="8" t="n"/>
    </row>
    <row r="3">
      <c r="A3" t="n">
        <v>1</v>
      </c>
      <c r="B3" t="inlineStr">
        <is>
          <t>2026-08-29</t>
        </is>
      </c>
      <c r="C3" t="inlineStr">
        <is>
          <t>Jacksonville State</t>
        </is>
      </c>
      <c r="D3" t="inlineStr">
        <is>
          <t>North Dakota State</t>
        </is>
      </c>
      <c r="E3" t="n">
        <v>-19.7</v>
      </c>
      <c r="F3" t="n">
        <v>-6.8</v>
      </c>
      <c r="G3" s="6">
        <f>F3-E3</f>
        <v/>
      </c>
      <c r="H3" s="6">
        <f>IF(G3=0,"Pick'em",IF(G3&gt;0,"Home","Away"))</f>
        <v/>
      </c>
      <c r="I3" t="n">
        <v>52.9</v>
      </c>
      <c r="J3" t="n">
        <v>46.5</v>
      </c>
      <c r="K3" s="6">
        <f>I3-J3</f>
        <v/>
      </c>
      <c r="L3" s="6">
        <f>IF(K3=0,"Push",IF(K3&gt;0,"Over","Under"))</f>
        <v/>
      </c>
      <c r="M3" s="6">
        <f>IF(ABS(G3)&gt;=Settings!$B$5,H3,"Pass")</f>
        <v/>
      </c>
      <c r="N3" s="6">
        <f>IF(ABS(K3)&gt;=Settings!$B$6,L3,"Pass")</f>
        <v/>
      </c>
    </row>
    <row r="4">
      <c r="A4" t="n">
        <v>1</v>
      </c>
      <c r="B4" t="inlineStr">
        <is>
          <t>2026-08-29</t>
        </is>
      </c>
      <c r="C4" t="inlineStr">
        <is>
          <t>Hawai'i</t>
        </is>
      </c>
      <c r="D4" t="inlineStr">
        <is>
          <t>Stanford</t>
        </is>
      </c>
      <c r="E4" t="n">
        <v>-3.1</v>
      </c>
      <c r="F4" t="n">
        <v>-4.8</v>
      </c>
      <c r="G4" s="6">
        <f>F4-E4</f>
        <v/>
      </c>
      <c r="H4" s="6">
        <f>IF(G4=0,"Pick'em",IF(G4&gt;0,"Home","Away"))</f>
        <v/>
      </c>
      <c r="I4" t="n">
        <v>51.4</v>
      </c>
      <c r="J4" t="n">
        <v>48.5</v>
      </c>
      <c r="K4" s="6">
        <f>I4-J4</f>
        <v/>
      </c>
      <c r="L4" s="6">
        <f>IF(K4=0,"Push",IF(K4&gt;0,"Over","Under"))</f>
        <v/>
      </c>
      <c r="M4" s="6">
        <f>IF(ABS(G4)&gt;=Settings!$B$5,H4,"Pass")</f>
        <v/>
      </c>
      <c r="N4" s="6">
        <f>IF(ABS(K4)&gt;=Settings!$B$6,L4,"Pass")</f>
        <v/>
      </c>
    </row>
    <row r="5">
      <c r="A5" t="n">
        <v>1</v>
      </c>
      <c r="B5" t="inlineStr">
        <is>
          <t>2026-08-30</t>
        </is>
      </c>
      <c r="C5" t="inlineStr">
        <is>
          <t>Memphis</t>
        </is>
      </c>
      <c r="D5" t="inlineStr">
        <is>
          <t>UNLV</t>
        </is>
      </c>
      <c r="E5" t="n">
        <v>-8.199999999999999</v>
      </c>
      <c r="F5" t="n">
        <v>-4.8</v>
      </c>
      <c r="G5" s="6">
        <f>F5-E5</f>
        <v/>
      </c>
      <c r="H5" s="6">
        <f>IF(G5=0,"Pick'em",IF(G5&gt;0,"Home","Away"))</f>
        <v/>
      </c>
      <c r="I5" t="n">
        <v>55.5</v>
      </c>
      <c r="J5" t="n">
        <v>55.5</v>
      </c>
      <c r="K5" s="6">
        <f>I5-J5</f>
        <v/>
      </c>
      <c r="L5" s="6">
        <f>IF(K5=0,"Push",IF(K5&gt;0,"Over","Under"))</f>
        <v/>
      </c>
      <c r="M5" s="6">
        <f>IF(ABS(G5)&gt;=Settings!$B$5,H5,"Pass")</f>
        <v/>
      </c>
      <c r="N5" s="6">
        <f>IF(ABS(K5)&gt;=Settings!$B$6,L5,"Pass")</f>
        <v/>
      </c>
      <c r="R5" s="6" t="inlineStr">
        <is>
          <t>Air Force</t>
        </is>
      </c>
    </row>
    <row r="6">
      <c r="A6" t="n">
        <v>1</v>
      </c>
      <c r="B6" t="inlineStr">
        <is>
          <t>2026-09-04</t>
        </is>
      </c>
      <c r="C6" t="inlineStr">
        <is>
          <t>San José State</t>
        </is>
      </c>
      <c r="D6" t="inlineStr">
        <is>
          <t>Eastern Michigan</t>
        </is>
      </c>
      <c r="E6" t="n">
        <v>-11.6</v>
      </c>
      <c r="F6" t="n">
        <v>-3</v>
      </c>
      <c r="G6" s="6">
        <f>F6-E6</f>
        <v/>
      </c>
      <c r="H6" s="6">
        <f>IF(G6=0,"Pick'em",IF(G6&gt;0,"Home","Away"))</f>
        <v/>
      </c>
      <c r="I6" t="n">
        <v>54.3</v>
      </c>
      <c r="J6" t="n">
        <v>56.2</v>
      </c>
      <c r="K6" s="6">
        <f>I6-J6</f>
        <v/>
      </c>
      <c r="L6" s="6">
        <f>IF(K6=0,"Push",IF(K6&gt;0,"Over","Under"))</f>
        <v/>
      </c>
      <c r="M6" s="6">
        <f>IF(ABS(G6)&gt;=Settings!$B$5,H6,"Pass")</f>
        <v/>
      </c>
      <c r="N6" s="6">
        <f>IF(ABS(K6)&gt;=Settings!$B$6,L6,"Pass")</f>
        <v/>
      </c>
      <c r="R6" s="6" t="inlineStr">
        <is>
          <t>Hawai'i</t>
        </is>
      </c>
    </row>
    <row r="7">
      <c r="A7" s="10" t="n">
        <v>1</v>
      </c>
      <c r="B7" s="10" t="inlineStr">
        <is>
          <t>2026-09-05</t>
        </is>
      </c>
      <c r="C7" s="10" t="inlineStr">
        <is>
          <t>Duquesne</t>
        </is>
      </c>
      <c r="D7" s="10" t="inlineStr">
        <is>
          <t>Air Force</t>
        </is>
      </c>
      <c r="E7" s="10" t="n">
        <v>-21.5</v>
      </c>
      <c r="F7" s="10" t="n">
        <v>-28.5</v>
      </c>
      <c r="G7" s="10">
        <f>F7-E7</f>
        <v/>
      </c>
      <c r="H7" s="10">
        <f>IF(G7=0,"Pick'em",IF(G7&gt;0,"Home","Away"))</f>
        <v/>
      </c>
      <c r="I7" s="10" t="n">
        <v>53</v>
      </c>
      <c r="J7" s="10" t="n">
        <v>58.5</v>
      </c>
      <c r="K7" s="10">
        <f>I7-J7</f>
        <v/>
      </c>
      <c r="L7" s="10">
        <f>IF(K7=0,"Push",IF(K7&gt;0,"Over","Under"))</f>
        <v/>
      </c>
      <c r="M7" s="10">
        <f>IF(ABS(G7)&gt;=Settings!$B$5,H7,"Pass")</f>
        <v/>
      </c>
      <c r="N7" s="10">
        <f>IF(ABS(K7)&gt;=Settings!$B$6,L7,"Pass")</f>
        <v/>
      </c>
      <c r="R7" s="6" t="inlineStr">
        <is>
          <t>Nevada</t>
        </is>
      </c>
    </row>
    <row r="8">
      <c r="A8" t="n">
        <v>1</v>
      </c>
      <c r="B8" t="inlineStr">
        <is>
          <t>2026-09-05</t>
        </is>
      </c>
      <c r="C8" t="inlineStr">
        <is>
          <t>Fordham</t>
        </is>
      </c>
      <c r="D8" t="inlineStr">
        <is>
          <t>North Dakota State</t>
        </is>
      </c>
      <c r="E8" t="n">
        <v>-57.2</v>
      </c>
      <c r="F8" t="n">
        <v>-41.5</v>
      </c>
      <c r="G8" s="6">
        <f>F8-E8</f>
        <v/>
      </c>
      <c r="H8" s="6">
        <f>IF(G8=0,"Pick'em",IF(G8&gt;0,"Home","Away"))</f>
        <v/>
      </c>
      <c r="I8" t="n">
        <v>55.4</v>
      </c>
      <c r="J8" t="n">
        <v>56.5</v>
      </c>
      <c r="K8" s="6">
        <f>I8-J8</f>
        <v/>
      </c>
      <c r="L8" s="6">
        <f>IF(K8=0,"Push",IF(K8&gt;0,"Over","Under"))</f>
        <v/>
      </c>
      <c r="M8" s="6">
        <f>IF(ABS(G8)&gt;=Settings!$B$5,H8,"Pass")</f>
        <v/>
      </c>
      <c r="N8" s="6">
        <f>IF(ABS(K8)&gt;=Settings!$B$6,L8,"Pass")</f>
        <v/>
      </c>
      <c r="R8" s="6" t="inlineStr">
        <is>
          <t>New Mexico</t>
        </is>
      </c>
    </row>
    <row r="9">
      <c r="A9" t="n">
        <v>1</v>
      </c>
      <c r="B9" t="inlineStr">
        <is>
          <t>2026-09-05</t>
        </is>
      </c>
      <c r="C9" t="inlineStr">
        <is>
          <t>Northern Illinois</t>
        </is>
      </c>
      <c r="D9" t="inlineStr">
        <is>
          <t>Iowa</t>
        </is>
      </c>
      <c r="E9" t="n">
        <v>-30.3</v>
      </c>
      <c r="F9" t="n">
        <v>-31.8</v>
      </c>
      <c r="G9" s="6">
        <f>F9-E9</f>
        <v/>
      </c>
      <c r="H9" s="6">
        <f>IF(G9=0,"Pick'em",IF(G9&gt;0,"Home","Away"))</f>
        <v/>
      </c>
      <c r="I9" t="n">
        <v>47.7</v>
      </c>
      <c r="J9" t="n">
        <v>44.5</v>
      </c>
      <c r="K9" s="6">
        <f>I9-J9</f>
        <v/>
      </c>
      <c r="L9" s="6">
        <f>IF(K9=0,"Push",IF(K9&gt;0,"Over","Under"))</f>
        <v/>
      </c>
      <c r="M9" s="6">
        <f>IF(ABS(G9)&gt;=Settings!$B$5,H9,"Pass")</f>
        <v/>
      </c>
      <c r="N9" s="6">
        <f>IF(ABS(K9)&gt;=Settings!$B$6,L9,"Pass")</f>
        <v/>
      </c>
      <c r="R9" s="6" t="inlineStr">
        <is>
          <t>North Dakota State</t>
        </is>
      </c>
    </row>
    <row r="10">
      <c r="A10" t="n">
        <v>1</v>
      </c>
      <c r="B10" t="inlineStr">
        <is>
          <t>2026-09-05</t>
        </is>
      </c>
      <c r="C10" t="inlineStr">
        <is>
          <t>Wyoming</t>
        </is>
      </c>
      <c r="D10" t="inlineStr">
        <is>
          <t>Colorado State</t>
        </is>
      </c>
      <c r="E10" t="n">
        <v>-2.9</v>
      </c>
      <c r="F10" t="n">
        <v>-3</v>
      </c>
      <c r="G10" s="6">
        <f>F10-E10</f>
        <v/>
      </c>
      <c r="H10" s="6">
        <f>IF(G10=0,"Pick'em",IF(G10&gt;0,"Home","Away"))</f>
        <v/>
      </c>
      <c r="I10" t="n">
        <v>49.3</v>
      </c>
      <c r="J10" t="n">
        <v>46.5</v>
      </c>
      <c r="K10" s="6">
        <f>I10-J10</f>
        <v/>
      </c>
      <c r="L10" s="6">
        <f>IF(K10=0,"Push",IF(K10&gt;0,"Over","Under"))</f>
        <v/>
      </c>
      <c r="M10" s="6">
        <f>IF(ABS(G10)&gt;=Settings!$B$5,H10,"Pass")</f>
        <v/>
      </c>
      <c r="N10" s="6">
        <f>IF(ABS(K10)&gt;=Settings!$B$6,L10,"Pass")</f>
        <v/>
      </c>
      <c r="R10" s="6" t="inlineStr">
        <is>
          <t>Northern Illinois</t>
        </is>
      </c>
    </row>
    <row r="11">
      <c r="A11" t="n">
        <v>1</v>
      </c>
      <c r="B11" t="inlineStr">
        <is>
          <t>2026-09-05</t>
        </is>
      </c>
      <c r="C11" t="inlineStr">
        <is>
          <t>UTEP</t>
        </is>
      </c>
      <c r="D11" t="inlineStr">
        <is>
          <t>Oklahoma</t>
        </is>
      </c>
      <c r="E11" t="n">
        <v>-34.9</v>
      </c>
      <c r="F11" t="n">
        <v>-41</v>
      </c>
      <c r="G11" s="6">
        <f>F11-E11</f>
        <v/>
      </c>
      <c r="H11" s="6">
        <f>IF(G11=0,"Pick'em",IF(G11&gt;0,"Home","Away"))</f>
        <v/>
      </c>
      <c r="I11" t="n">
        <v>52.5</v>
      </c>
      <c r="J11" t="n">
        <v>51.5</v>
      </c>
      <c r="K11" s="6">
        <f>I11-J11</f>
        <v/>
      </c>
      <c r="L11" s="6">
        <f>IF(K11=0,"Push",IF(K11&gt;0,"Over","Under"))</f>
        <v/>
      </c>
      <c r="M11" s="6">
        <f>IF(ABS(G11)&gt;=Settings!$B$5,H11,"Pass")</f>
        <v/>
      </c>
      <c r="N11" s="6">
        <f>IF(ABS(K11)&gt;=Settings!$B$6,L11,"Pass")</f>
        <v/>
      </c>
      <c r="R11" s="6" t="inlineStr">
        <is>
          <t>San José State</t>
        </is>
      </c>
    </row>
    <row r="12">
      <c r="A12" t="n">
        <v>1</v>
      </c>
      <c r="B12" t="inlineStr">
        <is>
          <t>2026-09-06</t>
        </is>
      </c>
      <c r="C12" t="inlineStr">
        <is>
          <t>UNLV</t>
        </is>
      </c>
      <c r="D12" t="inlineStr">
        <is>
          <t>Hawai'i</t>
        </is>
      </c>
      <c r="E12" t="n">
        <v>4</v>
      </c>
      <c r="F12" t="n">
        <v>3</v>
      </c>
      <c r="G12" s="6">
        <f>F12-E12</f>
        <v/>
      </c>
      <c r="H12" s="6">
        <f>IF(G12=0,"Pick'em",IF(G12&gt;0,"Home","Away"))</f>
        <v/>
      </c>
      <c r="I12" t="n">
        <v>54.5</v>
      </c>
      <c r="J12" t="n">
        <v>55.8</v>
      </c>
      <c r="K12" s="6">
        <f>I12-J12</f>
        <v/>
      </c>
      <c r="L12" s="6">
        <f>IF(K12=0,"Push",IF(K12&gt;0,"Over","Under"))</f>
        <v/>
      </c>
      <c r="M12" s="6">
        <f>IF(ABS(G12)&gt;=Settings!$B$5,H12,"Pass")</f>
        <v/>
      </c>
      <c r="N12" s="6">
        <f>IF(ABS(K12)&gt;=Settings!$B$6,L12,"Pass")</f>
        <v/>
      </c>
      <c r="R12" s="6" t="inlineStr">
        <is>
          <t>UNLV</t>
        </is>
      </c>
    </row>
    <row r="13">
      <c r="A13" t="n">
        <v>1</v>
      </c>
      <c r="B13" t="inlineStr">
        <is>
          <t>2026-09-06</t>
        </is>
      </c>
      <c r="C13" t="inlineStr">
        <is>
          <t>Central Michigan</t>
        </is>
      </c>
      <c r="D13" t="inlineStr">
        <is>
          <t>New Mexico</t>
        </is>
      </c>
      <c r="E13" t="n">
        <v>-17.9</v>
      </c>
      <c r="F13" t="n">
        <v>-10.2</v>
      </c>
      <c r="G13" s="6">
        <f>F13-E13</f>
        <v/>
      </c>
      <c r="H13" s="6">
        <f>IF(G13=0,"Pick'em",IF(G13&gt;0,"Home","Away"))</f>
        <v/>
      </c>
      <c r="I13" t="n">
        <v>50.6</v>
      </c>
      <c r="J13" t="n">
        <v>46.5</v>
      </c>
      <c r="K13" s="6">
        <f>I13-J13</f>
        <v/>
      </c>
      <c r="L13" s="6">
        <f>IF(K13=0,"Push",IF(K13&gt;0,"Over","Under"))</f>
        <v/>
      </c>
      <c r="M13" s="6">
        <f>IF(ABS(G13)&gt;=Settings!$B$5,H13,"Pass")</f>
        <v/>
      </c>
      <c r="N13" s="6">
        <f>IF(ABS(K13)&gt;=Settings!$B$6,L13,"Pass")</f>
        <v/>
      </c>
    </row>
    <row r="14">
      <c r="A14" t="n">
        <v>1</v>
      </c>
      <c r="B14" t="inlineStr">
        <is>
          <t>2026-09-06</t>
        </is>
      </c>
      <c r="C14" t="inlineStr">
        <is>
          <t>Western Kentucky</t>
        </is>
      </c>
      <c r="D14" t="inlineStr">
        <is>
          <t>Nevada</t>
        </is>
      </c>
      <c r="E14" t="n">
        <v>4.3</v>
      </c>
      <c r="F14" t="n">
        <v>1.2</v>
      </c>
      <c r="G14" s="6">
        <f>F14-E14</f>
        <v/>
      </c>
      <c r="H14" s="6">
        <f>IF(G14=0,"Pick'em",IF(G14&gt;0,"Home","Away"))</f>
        <v/>
      </c>
      <c r="I14" t="n">
        <v>51.7</v>
      </c>
      <c r="J14" t="n">
        <v>52.5</v>
      </c>
      <c r="K14" s="6">
        <f>I14-J14</f>
        <v/>
      </c>
      <c r="L14" s="6">
        <f>IF(K14=0,"Push",IF(K14&gt;0,"Over","Under"))</f>
        <v/>
      </c>
      <c r="M14" s="6">
        <f>IF(ABS(G14)&gt;=Settings!$B$5,H14,"Pass")</f>
        <v/>
      </c>
      <c r="N14" s="6">
        <f>IF(ABS(K14)&gt;=Settings!$B$6,L14,"Pass")</f>
        <v/>
      </c>
    </row>
    <row r="15">
      <c r="G15" s="6" t="n"/>
      <c r="H15" s="6" t="n"/>
      <c r="K15" s="6" t="n"/>
      <c r="L15" s="6" t="n"/>
      <c r="M15" s="6" t="n"/>
      <c r="N15" s="6" t="n"/>
    </row>
    <row r="16">
      <c r="G16" s="6" t="n"/>
      <c r="H16" s="6" t="n"/>
      <c r="K16" s="6" t="n"/>
      <c r="L16" s="6" t="n"/>
      <c r="M16" s="6" t="n"/>
      <c r="N16" s="6" t="n"/>
    </row>
    <row r="17">
      <c r="G17" s="6" t="n"/>
      <c r="H17" s="6" t="n"/>
      <c r="K17" s="6" t="n"/>
      <c r="L17" s="6" t="n"/>
      <c r="M17" s="6" t="n"/>
      <c r="N17" s="6" t="n"/>
    </row>
    <row r="18">
      <c r="G18" s="6" t="n"/>
      <c r="H18" s="6" t="n"/>
      <c r="K18" s="6" t="n"/>
      <c r="L18" s="6" t="n"/>
      <c r="M18" s="6" t="n"/>
      <c r="N18" s="6" t="n"/>
    </row>
    <row r="19">
      <c r="G19" s="6" t="n"/>
      <c r="H19" s="6" t="n"/>
      <c r="K19" s="6" t="n"/>
      <c r="L19" s="6" t="n"/>
      <c r="M19" s="6" t="n"/>
      <c r="N19" s="6" t="n"/>
    </row>
    <row r="20">
      <c r="G20" s="6" t="n"/>
      <c r="H20" s="6" t="n"/>
      <c r="K20" s="6" t="n"/>
      <c r="L20" s="6" t="n"/>
      <c r="M20" s="6" t="n"/>
      <c r="N20" s="6" t="n"/>
    </row>
    <row r="21">
      <c r="G21" s="6" t="n"/>
      <c r="H21" s="6" t="n"/>
      <c r="K21" s="6" t="n"/>
      <c r="L21" s="6" t="n"/>
      <c r="M21" s="6" t="n"/>
      <c r="N21" s="6" t="n"/>
    </row>
    <row r="22">
      <c r="G22" s="6" t="n"/>
      <c r="H22" s="6" t="n"/>
      <c r="K22" s="6" t="n"/>
      <c r="L22" s="6" t="n"/>
      <c r="M22" s="6" t="n"/>
      <c r="N22" s="6" t="n"/>
    </row>
    <row r="23">
      <c r="G23" s="6" t="n"/>
      <c r="H23" s="6" t="n"/>
      <c r="K23" s="6" t="n"/>
      <c r="L23" s="6" t="n"/>
      <c r="M23" s="6" t="n"/>
      <c r="N23" s="6" t="n"/>
    </row>
    <row r="24">
      <c r="G24" s="6" t="n"/>
      <c r="H24" s="6" t="n"/>
      <c r="K24" s="6" t="n"/>
      <c r="L24" s="6" t="n"/>
      <c r="M24" s="6" t="n"/>
      <c r="N24" s="6" t="n"/>
    </row>
    <row r="25">
      <c r="G25" s="6" t="n"/>
      <c r="H25" s="6" t="n"/>
      <c r="K25" s="6" t="n"/>
      <c r="L25" s="6" t="n"/>
      <c r="M25" s="6" t="n"/>
      <c r="N25" s="6" t="n"/>
    </row>
    <row r="26">
      <c r="G26" s="6" t="n"/>
      <c r="H26" s="6" t="n"/>
      <c r="K26" s="6" t="n"/>
      <c r="L26" s="6" t="n"/>
      <c r="M26" s="6" t="n"/>
      <c r="N26" s="6" t="n"/>
    </row>
    <row r="27">
      <c r="G27" s="6" t="n"/>
      <c r="H27" s="6" t="n"/>
      <c r="K27" s="6" t="n"/>
      <c r="L27" s="6" t="n"/>
      <c r="M27" s="6" t="n"/>
      <c r="N27" s="6" t="n"/>
    </row>
    <row r="28">
      <c r="G28" s="6" t="n"/>
      <c r="H28" s="6" t="n"/>
      <c r="K28" s="6" t="n"/>
      <c r="L28" s="6" t="n"/>
      <c r="M28" s="6" t="n"/>
      <c r="N28" s="6" t="n"/>
    </row>
    <row r="29">
      <c r="G29" s="6" t="n"/>
      <c r="H29" s="6" t="n"/>
      <c r="K29" s="6" t="n"/>
      <c r="L29" s="6" t="n"/>
      <c r="M29" s="6" t="n"/>
      <c r="N29" s="6" t="n"/>
    </row>
    <row r="30"/>
    <row r="31"/>
    <row r="32"/>
    <row r="33"/>
    <row r="34"/>
    <row r="35"/>
    <row r="36"/>
    <row r="37"/>
    <row r="38"/>
    <row r="39"/>
    <row r="40"/>
    <row r="41"/>
    <row r="42"/>
  </sheetData>
  <conditionalFormatting sqref="C2:C500">
    <cfRule type="expression" priority="1" dxfId="0">
      <formula>AND(OR($G2&lt;=-7,$G2&gt;=7),$H2="Away")</formula>
    </cfRule>
  </conditionalFormatting>
  <conditionalFormatting sqref="D2:D500">
    <cfRule type="expression" priority="2" dxfId="0">
      <formula>AND(OR($G2&lt;=-7,$G2&gt;=7),$H2="Home")</formula>
    </cfRule>
  </conditionalFormatting>
  <conditionalFormatting sqref="E2:F500">
    <cfRule type="expression" priority="3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4"/>
  <sheetViews>
    <sheetView showGridLines="0" zoomScaleNormal="100" workbookViewId="0">
      <pane ySplit="1" topLeftCell="A2" activePane="bottomLeft" state="frozen"/>
      <selection pane="bottomLeft" activeCell="C3" sqref="C3"/>
    </sheetView>
  </sheetViews>
  <sheetFormatPr baseColWidth="8" defaultColWidth="8.7109375" defaultRowHeight="15"/>
  <cols>
    <col width="11" customWidth="1" min="1" max="1"/>
    <col width="6" customWidth="1" min="2" max="2"/>
    <col width="37.42578125" bestFit="1" customWidth="1" min="3" max="3"/>
    <col width="10" customWidth="1" min="4" max="4"/>
    <col width="22.28515625" bestFit="1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 -7.5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6">
        <f>IF(K2="W",IF(G2&lt;0,H2*100/ABS(G2),H2*G2/100),IF(K2="L",-H2,0))</f>
        <v/>
      </c>
      <c r="M2" s="6">
        <f>Settings!$B$4+SUM(L$2:L2)</f>
        <v/>
      </c>
    </row>
    <row r="3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 -285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6">
        <f>IF(K3="W",IF(G3&lt;0,H3*100/ABS(G3),H3*G3/100),IF(K3="L",-H3,0))</f>
        <v/>
      </c>
      <c r="M3" s="6">
        <f>Settings!$B$4+SUM(L$2:L3)</f>
        <v/>
      </c>
    </row>
    <row r="4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 -178</t>
        </is>
      </c>
      <c r="G4" t="n">
        <v>-178</v>
      </c>
      <c r="H4" t="n">
        <v>5</v>
      </c>
      <c r="J4" s="6">
        <f>IF(I4="","",I4-F5)</f>
        <v/>
      </c>
      <c r="K4" t="inlineStr">
        <is>
          <t>L</t>
        </is>
      </c>
      <c r="L4" s="6">
        <f>IF(K4="W",IF(G4&lt;0,H4*100/ABS(G4),H4*G4/100),IF(K4="L",-H4,0))</f>
        <v/>
      </c>
      <c r="M4" s="6">
        <f>Settings!$B$4+SUM(L$2:L4)</f>
        <v/>
      </c>
    </row>
    <row r="5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IF(I5="","",I5-#REF!)</f>
        <v/>
      </c>
      <c r="K5" t="inlineStr">
        <is>
          <t>L</t>
        </is>
      </c>
      <c r="L5" s="6">
        <f>IF(K5="W",IF(G5&lt;0,H5*100/ABS(G5),H5*G5/100),IF(K5="L",-H5,0))</f>
        <v/>
      </c>
      <c r="M5" s="6">
        <f>Settings!$B$4+SUM(L$2:L5)</f>
        <v/>
      </c>
    </row>
    <row r="6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 -3.5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L6" s="6">
        <f>IF(K6="W",IF(G6&lt;0,H6*100/ABS(G6),H6*G6/100),IF(K6="L",-H6,0))</f>
        <v/>
      </c>
      <c r="M6" s="6">
        <f>Settings!$B$4+SUM(L$2:L6)</f>
        <v/>
      </c>
    </row>
    <row r="7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L7" s="6">
        <f>IF(K7="W",IF(G7&lt;0,H7*100/ABS(G7),H7*G7/100),IF(K7="L",-H7,0))</f>
        <v/>
      </c>
      <c r="M7" s="6">
        <f>Settings!$B$4+SUM(L$2:L7)</f>
        <v/>
      </c>
    </row>
    <row r="8">
      <c r="J8" s="6">
        <f>IF(I8="","",I8-F8)</f>
        <v/>
      </c>
      <c r="L8" s="6">
        <f>IF(K8="W",IF(G8&lt;0,H8*100/ABS(G8),H8*G8/100),IF(K8="L",-H8,0))</f>
        <v/>
      </c>
      <c r="M8" s="6">
        <f>Settings!$B$4+SUM(L$2:L8)</f>
        <v/>
      </c>
    </row>
    <row r="9">
      <c r="J9" s="6">
        <f>IF(I9="","",I9-F9)</f>
        <v/>
      </c>
      <c r="L9" s="6">
        <f>IF(K9="W",IF(G9&lt;0,H9*100/ABS(G9),H9*G9/100),IF(K9="L",-H9,0))</f>
        <v/>
      </c>
      <c r="M9" s="6">
        <f>Settings!$B$4+SUM(L$2:L9)</f>
        <v/>
      </c>
    </row>
    <row r="10">
      <c r="J10" s="6">
        <f>IF(I10="","",I10-F10)</f>
        <v/>
      </c>
      <c r="L10" s="6">
        <f>IF(K10="W",IF(G10&lt;0,H10*100/ABS(G10),H10*G10/100),IF(K10="L",-H10,0))</f>
        <v/>
      </c>
      <c r="M10" s="6">
        <f>Settings!$B$4+SUM(L$2:L10)</f>
        <v/>
      </c>
    </row>
    <row r="11">
      <c r="J11" s="6">
        <f>IF(I11="","",I11-F11)</f>
        <v/>
      </c>
      <c r="L11" s="6">
        <f>IF(K11="W",IF(G11&lt;0,H11*100/ABS(G11),H11*G11/100),IF(K11="L",-H11,0))</f>
        <v/>
      </c>
      <c r="M11" s="6">
        <f>Settings!$B$4+SUM(L$2:L11)</f>
        <v/>
      </c>
    </row>
    <row r="12">
      <c r="J12" s="6">
        <f>IF(I12="","",I12-F12)</f>
        <v/>
      </c>
      <c r="L12" s="6">
        <f>IF(K12="W",IF(G12&lt;0,H12*100/ABS(G12),H12*G12/100),IF(K12="L",-H12,0))</f>
        <v/>
      </c>
      <c r="M12" s="6">
        <f>Settings!$B$4+SUM(L$2:L12)</f>
        <v/>
      </c>
    </row>
    <row r="13">
      <c r="J13" s="6">
        <f>IF(I13="","",I13-F13)</f>
        <v/>
      </c>
      <c r="L13" s="6">
        <f>IF(K13="W",IF(G13&lt;0,H13*100/ABS(G13),H13*G13/100),IF(K13="L",-H13,0))</f>
        <v/>
      </c>
      <c r="M13" s="6">
        <f>Settings!$B$4+SUM(L$2:L13)</f>
        <v/>
      </c>
    </row>
    <row r="14">
      <c r="J14" s="6">
        <f>IF(I14="","",I14-F14)</f>
        <v/>
      </c>
      <c r="L14" s="6">
        <f>IF(K14="W",IF(G14&lt;0,H14*100/ABS(G14),H14*G14/100),IF(K14="L",-H14,0))</f>
        <v/>
      </c>
      <c r="M14" s="6">
        <f>Settings!$B$4+SUM(L$2:L14)</f>
        <v/>
      </c>
    </row>
    <row r="15">
      <c r="J15" s="6">
        <f>IF(I15="","",I15-F15)</f>
        <v/>
      </c>
      <c r="L15" s="6">
        <f>IF(K15="W",IF(G15&lt;0,H15*100/ABS(G15),H15*G15/100),IF(K15="L",-H15,0))</f>
        <v/>
      </c>
      <c r="M15" s="6">
        <f>Settings!$B$4+SUM(L$2:L15)</f>
        <v/>
      </c>
    </row>
    <row r="16">
      <c r="J16" s="6">
        <f>IF(I16="","",I16-F16)</f>
        <v/>
      </c>
      <c r="L16" s="6">
        <f>IF(K16="W",IF(G16&lt;0,H16*100/ABS(G16),H16*G16/100),IF(K16="L",-H16,0))</f>
        <v/>
      </c>
      <c r="M16" s="6">
        <f>Settings!$B$4+SUM(L$2:L16)</f>
        <v/>
      </c>
    </row>
    <row r="17">
      <c r="J17" s="6">
        <f>IF(I17="","",I17-F17)</f>
        <v/>
      </c>
      <c r="L17" s="6">
        <f>IF(K17="W",IF(G17&lt;0,H17*100/ABS(G17),H17*G17/100),IF(K17="L",-H17,0))</f>
        <v/>
      </c>
      <c r="M17" s="6">
        <f>Settings!$B$4+SUM(L$2:L17)</f>
        <v/>
      </c>
    </row>
    <row r="18">
      <c r="J18" s="6">
        <f>IF(I18="","",I18-F18)</f>
        <v/>
      </c>
      <c r="L18" s="6">
        <f>IF(K18="W",IF(G18&lt;0,H18*100/ABS(G18),H18*G18/100),IF(K18="L",-H18,0))</f>
        <v/>
      </c>
      <c r="M18" s="6">
        <f>Settings!$B$4+SUM(L$2:L18)</f>
        <v/>
      </c>
    </row>
    <row r="19">
      <c r="J19" s="6">
        <f>IF(I19="","",I19-F19)</f>
        <v/>
      </c>
      <c r="L19" s="6">
        <f>IF(K19="W",IF(G19&lt;0,H19*100/ABS(G19),H19*G19/100),IF(K19="L",-H19,0))</f>
        <v/>
      </c>
      <c r="M19" s="6">
        <f>Settings!$B$4+SUM(L$2:L19)</f>
        <v/>
      </c>
    </row>
    <row r="20">
      <c r="J20" s="6">
        <f>IF(I20="","",I20-F20)</f>
        <v/>
      </c>
      <c r="L20" s="6">
        <f>IF(K20="W",IF(G20&lt;0,H20*100/ABS(G20),H20*G20/100),IF(K20="L",-H20,0))</f>
        <v/>
      </c>
      <c r="M20" s="6">
        <f>Settings!$B$4+SUM(L$2:L20)</f>
        <v/>
      </c>
    </row>
    <row r="21">
      <c r="J21" s="6">
        <f>IF(I21="","",I21-F21)</f>
        <v/>
      </c>
      <c r="L21" s="6">
        <f>IF(K21="W",IF(G21&lt;0,H21*100/ABS(G21),H21*G21/100),IF(K21="L",-H21,0))</f>
        <v/>
      </c>
      <c r="M21" s="6">
        <f>Settings!$B$4+SUM(L$2:L21)</f>
        <v/>
      </c>
    </row>
    <row r="22">
      <c r="J22" s="6">
        <f>IF(I22="","",I22-F22)</f>
        <v/>
      </c>
      <c r="L22" s="6">
        <f>IF(K22="W",IF(G22&lt;0,H22*100/ABS(G22),H22*G22/100),IF(K22="L",-H22,0))</f>
        <v/>
      </c>
      <c r="M22" s="6">
        <f>Settings!$B$4+SUM(L$2:L22)</f>
        <v/>
      </c>
    </row>
    <row r="23">
      <c r="J23" s="6">
        <f>IF(I23="","",I23-F23)</f>
        <v/>
      </c>
      <c r="L23" s="6">
        <f>IF(K23="W",IF(G23&lt;0,H23*100/ABS(G23),H23*G23/100),IF(K23="L",-H23,0))</f>
        <v/>
      </c>
      <c r="M23" s="6">
        <f>Settings!$B$4+SUM(L$2:L23)</f>
        <v/>
      </c>
    </row>
    <row r="24">
      <c r="J24" s="6">
        <f>IF(I24="","",I24-F24)</f>
        <v/>
      </c>
      <c r="L24" s="6">
        <f>IF(K24="W",IF(G24&lt;0,H24*100/ABS(G24),H24*G24/100),IF(K24="L",-H24,0))</f>
        <v/>
      </c>
      <c r="M24" s="6">
        <f>Settings!$B$4+SUM(L$2:L24)</f>
        <v/>
      </c>
    </row>
    <row r="25">
      <c r="J25" s="6">
        <f>IF(I25="","",I25-F25)</f>
        <v/>
      </c>
      <c r="L25" s="6">
        <f>IF(K25="W",IF(G25&lt;0,H25*100/ABS(G25),H25*G25/100),IF(K25="L",-H25,0))</f>
        <v/>
      </c>
      <c r="M25" s="6">
        <f>Settings!$B$4+SUM(L$2:L25)</f>
        <v/>
      </c>
    </row>
    <row r="26">
      <c r="J26" s="6">
        <f>IF(I26="","",I26-F26)</f>
        <v/>
      </c>
      <c r="L26" s="6">
        <f>IF(K26="W",IF(G26&lt;0,H26*100/ABS(G26),H26*G26/100),IF(K26="L",-H26,0))</f>
        <v/>
      </c>
      <c r="M26" s="6">
        <f>Settings!$B$4+SUM(L$2:L26)</f>
        <v/>
      </c>
    </row>
    <row r="27">
      <c r="J27" s="6">
        <f>IF(I27="","",I27-F27)</f>
        <v/>
      </c>
      <c r="L27" s="6">
        <f>IF(K27="W",IF(G27&lt;0,H27*100/ABS(G27),H27*G27/100),IF(K27="L",-H27,0))</f>
        <v/>
      </c>
      <c r="M27" s="6">
        <f>Settings!$B$4+SUM(L$2:L27)</f>
        <v/>
      </c>
    </row>
    <row r="28">
      <c r="J28" s="6">
        <f>IF(I28="","",I28-F28)</f>
        <v/>
      </c>
      <c r="L28" s="6">
        <f>IF(K28="W",IF(G28&lt;0,H28*100/ABS(G28),H28*G28/100),IF(K28="L",-H28,0))</f>
        <v/>
      </c>
      <c r="M28" s="6">
        <f>Settings!$B$4+SUM(L$2:L28)</f>
        <v/>
      </c>
    </row>
    <row r="29">
      <c r="J29" s="6">
        <f>IF(I29="","",I29-F29)</f>
        <v/>
      </c>
      <c r="L29" s="6">
        <f>IF(K29="W",IF(G29&lt;0,H29*100/ABS(G29),H29*G29/100),IF(K29="L",-H29,0))</f>
        <v/>
      </c>
      <c r="M29" s="6">
        <f>Settings!$B$4+SUM(L$2:L29)</f>
        <v/>
      </c>
    </row>
    <row r="30">
      <c r="J30" s="6">
        <f>IF(I30="","",I30-F30)</f>
        <v/>
      </c>
      <c r="L30" s="6">
        <f>IF(K30="W",IF(G30&lt;0,H30*100/ABS(G30),H30*G30/100),IF(K30="L",-H30,0))</f>
        <v/>
      </c>
      <c r="M30" s="6">
        <f>Settings!$B$4+SUM(L$2:L30)</f>
        <v/>
      </c>
    </row>
    <row r="31">
      <c r="J31" s="6">
        <f>IF(I31="","",I31-F31)</f>
        <v/>
      </c>
      <c r="L31" s="6">
        <f>IF(K31="W",IF(G31&lt;0,H31*100/ABS(G31),H31*G31/100),IF(K31="L",-H31,0))</f>
        <v/>
      </c>
      <c r="M31" s="6">
        <f>Settings!$B$4+SUM(L$2:L31)</f>
        <v/>
      </c>
    </row>
    <row r="32">
      <c r="J32" s="6">
        <f>IF(I32="","",I32-F32)</f>
        <v/>
      </c>
      <c r="L32" s="6">
        <f>IF(K32="W",IF(G32&lt;0,H32*100/ABS(G32),H32*G32/100),IF(K32="L",-H32,0))</f>
        <v/>
      </c>
      <c r="M32" s="6">
        <f>Settings!$B$4+SUM(L$2:L32)</f>
        <v/>
      </c>
    </row>
    <row r="33">
      <c r="J33" s="6">
        <f>IF(I33="","",I33-F33)</f>
        <v/>
      </c>
      <c r="L33" s="6">
        <f>IF(K33="W",IF(G33&lt;0,H33*100/ABS(G33),H33*G33/100),IF(K33="L",-H33,0))</f>
        <v/>
      </c>
      <c r="M33" s="6">
        <f>Settings!$B$4+SUM(L$2:L33)</f>
        <v/>
      </c>
    </row>
    <row r="34">
      <c r="J34" s="6">
        <f>IF(I34="","",I34-F34)</f>
        <v/>
      </c>
      <c r="L34" s="6">
        <f>IF(K34="W",IF(G34&lt;0,H34*100/ABS(G34),H34*G34/100),IF(K34="L",-H34,0))</f>
        <v/>
      </c>
      <c r="M34" s="6">
        <f>Settings!$B$4+SUM(L$2:L34)</f>
        <v/>
      </c>
    </row>
    <row r="35">
      <c r="J35" s="6">
        <f>IF(I35="","",I35-F35)</f>
        <v/>
      </c>
      <c r="L35" s="6">
        <f>IF(K35="W",IF(G35&lt;0,H35*100/ABS(G35),H35*G35/100),IF(K35="L",-H35,0))</f>
        <v/>
      </c>
      <c r="M35" s="6">
        <f>Settings!$B$4+SUM(L$2:L35)</f>
        <v/>
      </c>
    </row>
    <row r="36">
      <c r="J36" s="6">
        <f>IF(I36="","",I36-F36)</f>
        <v/>
      </c>
      <c r="L36" s="6">
        <f>IF(K36="W",IF(G36&lt;0,H36*100/ABS(G36),H36*G36/100),IF(K36="L",-H36,0))</f>
        <v/>
      </c>
      <c r="M36" s="6">
        <f>Settings!$B$4+SUM(L$2:L36)</f>
        <v/>
      </c>
    </row>
    <row r="37">
      <c r="J37" s="6">
        <f>IF(I37="","",I37-F37)</f>
        <v/>
      </c>
      <c r="L37" s="6">
        <f>IF(K37="W",IF(G37&lt;0,H37*100/ABS(G37),H37*G37/100),IF(K37="L",-H37,0))</f>
        <v/>
      </c>
      <c r="M37" s="6">
        <f>Settings!$B$4+SUM(L$2:L37)</f>
        <v/>
      </c>
    </row>
    <row r="38">
      <c r="J38" s="6">
        <f>IF(I38="","",I38-F38)</f>
        <v/>
      </c>
      <c r="L38" s="6">
        <f>IF(K38="W",IF(G38&lt;0,H38*100/ABS(G38),H38*G38/100),IF(K38="L",-H38,0))</f>
        <v/>
      </c>
      <c r="M38" s="6">
        <f>Settings!$B$4+SUM(L$2:L38)</f>
        <v/>
      </c>
    </row>
    <row r="39">
      <c r="J39" s="6">
        <f>IF(I39="","",I39-F39)</f>
        <v/>
      </c>
      <c r="L39" s="6">
        <f>IF(K39="W",IF(G39&lt;0,H39*100/ABS(G39),H39*G39/100),IF(K39="L",-H39,0))</f>
        <v/>
      </c>
      <c r="M39" s="6">
        <f>Settings!$B$4+SUM(L$2:L39)</f>
        <v/>
      </c>
    </row>
    <row r="40">
      <c r="J40" s="6">
        <f>IF(I40="","",I40-F40)</f>
        <v/>
      </c>
      <c r="L40" s="6">
        <f>IF(K40="W",IF(G40&lt;0,H40*100/ABS(G40),H40*G40/100),IF(K40="L",-H40,0))</f>
        <v/>
      </c>
      <c r="M40" s="6">
        <f>Settings!$B$4+SUM(L$2:L40)</f>
        <v/>
      </c>
    </row>
    <row r="41">
      <c r="J41" s="6">
        <f>IF(I41="","",I41-F41)</f>
        <v/>
      </c>
      <c r="L41" s="6">
        <f>IF(K41="W",IF(G41&lt;0,H41*100/ABS(G41),H41*G41/100),IF(K41="L",-H41,0))</f>
        <v/>
      </c>
      <c r="M41" s="6">
        <f>Settings!$B$4+SUM(L$2:L41)</f>
        <v/>
      </c>
    </row>
    <row r="44">
      <c r="A44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pane ySplit="1" topLeftCell="A2" activePane="bottomLeft" state="frozen"/>
      <selection pane="bottomLeft" activeCell="F1" sqref="F1"/>
    </sheetView>
  </sheetViews>
  <sheetFormatPr baseColWidth="8" defaultColWidth="8.7109375" defaultRowHeight="15"/>
  <cols>
    <col width="16" customWidth="1" min="1" max="1"/>
    <col width="37" bestFit="1" customWidth="1" min="2" max="2"/>
    <col width="7.140625" bestFit="1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8" t="n">
        <v>1731.3</v>
      </c>
      <c r="E2" s="8" t="n">
        <v>-1.8</v>
      </c>
      <c r="F2" s="8" t="n">
        <v>0.2185941394571994</v>
      </c>
      <c r="G2" s="8" t="n">
        <v>-0.323923778153237</v>
      </c>
      <c r="H2" s="8" t="n">
        <v>117</v>
      </c>
      <c r="I2" s="2" t="inlineStr">
        <is>
          <t>Full MW history available. Option offense; home elevation ~6,621 ft.</t>
        </is>
      </c>
    </row>
    <row r="3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8" t="n">
        <v>1585.5</v>
      </c>
      <c r="E3" s="8" t="n">
        <v>3.6</v>
      </c>
      <c r="F3" s="8" t="n">
        <v>0.09147047509478008</v>
      </c>
      <c r="G3" s="8" t="n">
        <v>0.2880707494141955</v>
      </c>
      <c r="H3" s="8" t="n">
        <v>63</v>
      </c>
      <c r="I3" s="2" t="inlineStr">
        <is>
          <t>Full history. Travel distance/time-zone is a real situational factor for every road game.</t>
        </is>
      </c>
    </row>
    <row r="4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8" t="n">
        <v>1566.5</v>
      </c>
      <c r="E4" s="8" t="n">
        <v>0</v>
      </c>
      <c r="F4" s="8" t="n">
        <v>0.1604555999630125</v>
      </c>
      <c r="G4" s="8" t="n">
        <v>850</v>
      </c>
      <c r="H4" s="8" t="n">
        <v>87</v>
      </c>
      <c r="I4" s="2" t="inlineStr">
        <is>
          <t>Full history available.</t>
        </is>
      </c>
    </row>
    <row r="5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8" t="n">
        <v>1519.4</v>
      </c>
      <c r="E5" s="8" t="n">
        <v>-2.6</v>
      </c>
      <c r="F5" s="8" t="n">
        <v>0.04894744398560683</v>
      </c>
      <c r="G5" s="8" t="n">
        <v>0.3263404896512631</v>
      </c>
      <c r="H5" s="8" t="n">
        <v>124</v>
      </c>
      <c r="I5" s="2" t="inlineStr">
        <is>
          <t>Full history. Home elevation ~5,000+ ft.</t>
        </is>
      </c>
    </row>
    <row r="6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8" t="n">
        <v>1473</v>
      </c>
      <c r="E6" s="8" t="n">
        <v>-3.2</v>
      </c>
      <c r="F6" s="8" t="n">
        <v>0.286935598221958</v>
      </c>
      <c r="G6" s="8" t="n">
        <v>823</v>
      </c>
      <c r="H6" s="8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8" t="n">
        <v>1399.9</v>
      </c>
      <c r="E7" s="8" t="n">
        <v>-10.8</v>
      </c>
      <c r="F7" s="8" t="n">
        <v>0.04868411996031556</v>
      </c>
      <c r="G7" s="8" t="n">
        <v>811</v>
      </c>
      <c r="H7" s="8" t="n">
        <v>114</v>
      </c>
      <c r="I7" s="2" t="inlineStr">
        <is>
          <t>No MW history; bring its full MAC-era game log (already FBS, so it's in a plain division='fbs' pull).</t>
        </is>
      </c>
    </row>
    <row r="8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8" t="n">
        <v>1394.5</v>
      </c>
      <c r="E8" s="8" t="n">
        <v>-17.2</v>
      </c>
      <c r="F8" s="8" t="n">
        <v>0.04689237303920656</v>
      </c>
      <c r="G8" s="8" t="n">
        <v>746</v>
      </c>
      <c r="H8" s="8" t="n">
        <v>82</v>
      </c>
      <c r="I8" s="2" t="inlineStr">
        <is>
          <t>Full history available. Watch for 'San Jose State' (no accent) in some sources — same team.</t>
        </is>
      </c>
    </row>
    <row r="9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8" t="n">
        <v>1408.4</v>
      </c>
      <c r="E9" s="8" t="n">
        <v>-15.7</v>
      </c>
      <c r="F9" s="8" t="n">
        <v>0.2163991968944516</v>
      </c>
      <c r="G9" s="8" t="n">
        <v>0.3906446780300172</v>
      </c>
      <c r="H9" s="8" t="n">
        <v>129</v>
      </c>
      <c r="I9" s="2" t="inlineStr">
        <is>
          <t>Full history available.</t>
        </is>
      </c>
    </row>
    <row r="10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8" t="n">
        <v>1361.9</v>
      </c>
      <c r="E10" s="8" t="n">
        <v>-11.7</v>
      </c>
      <c r="F10" s="8" t="n">
        <v>0.03365966628322248</v>
      </c>
      <c r="G10" s="8" t="n">
        <v>728</v>
      </c>
      <c r="H10" s="8" t="n">
        <v>98</v>
      </c>
      <c r="I10" s="2" t="inlineStr">
        <is>
          <t>No MW history; bring its full C-USA-era game log (already FBS).</t>
        </is>
      </c>
    </row>
    <row r="1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8" t="n">
        <v>1302.8</v>
      </c>
      <c r="E11" s="8" t="n">
        <v>-19.3</v>
      </c>
      <c r="F11" s="8" t="n">
        <v>0.0127842137907675</v>
      </c>
      <c r="G11" s="8" t="n">
        <v>789</v>
      </c>
      <c r="H11" s="8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43"/>
  <sheetViews>
    <sheetView showGridLines="0" tabSelected="1" workbookViewId="0">
      <pane ySplit="2" topLeftCell="A36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2" customWidth="1" min="3" max="3"/>
    <col width="18" customWidth="1" min="4" max="5"/>
    <col width="12" customWidth="1" min="6" max="7"/>
    <col width="11" customWidth="1" min="8" max="8"/>
    <col width="18" customWidth="1" min="9" max="9"/>
    <col width="16" customWidth="1" min="10" max="10"/>
    <col width="12" customWidth="1" min="11" max="11"/>
    <col width="11" customWidth="1" min="12" max="12"/>
    <col width="12" customWidth="1" min="13" max="13"/>
    <col width="13" customWidth="1" min="14" max="14"/>
    <col width="15" customWidth="1" min="15" max="15"/>
    <col width="17" customWidth="1" min="16" max="17"/>
  </cols>
  <sheetData>
    <row r="1" ht="18" customHeight="1">
      <c r="A1" s="11" t="inlineStr">
        <is>
          <t>Ridge vs. XGBoost -- Model Comparison</t>
        </is>
      </c>
    </row>
    <row r="2">
      <c r="A2" s="12" t="inlineStr">
        <is>
          <t>Informational only. Ridge is still the live model everywhere else in this workbook and on the website -- XGBoost is a candidate being evaluated here, not a replacement.</t>
        </is>
      </c>
    </row>
    <row r="4">
      <c r="A4" s="13" t="inlineStr">
        <is>
          <t>All-Time (every season in the backtest)</t>
        </is>
      </c>
    </row>
    <row r="5" ht="25.5" customHeight="1">
      <c r="A5" s="14" t="inlineStr">
        <is>
          <t>Model</t>
        </is>
      </c>
      <c r="B5" s="14" t="inlineStr">
        <is>
          <t>Games Graded</t>
        </is>
      </c>
      <c r="C5" s="14" t="inlineStr">
        <is>
          <t>Bets Made</t>
        </is>
      </c>
      <c r="D5" s="14" t="inlineStr">
        <is>
          <t>Wins</t>
        </is>
      </c>
      <c r="E5" s="14" t="inlineStr">
        <is>
          <t>Losses</t>
        </is>
      </c>
      <c r="F5" s="14" t="inlineStr">
        <is>
          <t>Pushes</t>
        </is>
      </c>
      <c r="G5" s="14" t="inlineStr">
        <is>
          <t>ATS Win %</t>
        </is>
      </c>
      <c r="H5" s="14" t="inlineStr">
        <is>
          <t>ROI (flat stake)</t>
        </is>
      </c>
      <c r="I5" s="14" t="inlineStr">
        <is>
          <t>Tighter Than Other (CLV)</t>
        </is>
      </c>
      <c r="J5" s="14" t="inlineStr">
        <is>
          <t>CLV Pts (cum.)</t>
        </is>
      </c>
    </row>
    <row r="6">
      <c r="A6" s="15" t="inlineStr">
        <is>
          <t>Ridge (live model) -- all FBS</t>
        </is>
      </c>
      <c r="B6" s="15" t="n">
        <v>8441</v>
      </c>
      <c r="C6" s="15" t="n">
        <v>6578</v>
      </c>
      <c r="D6" s="15" t="n">
        <v>3264</v>
      </c>
      <c r="E6" s="15" t="n">
        <v>3314</v>
      </c>
      <c r="F6" s="15" t="n">
        <v>59</v>
      </c>
      <c r="G6" s="15" t="inlineStr">
        <is>
          <t>49.6%</t>
        </is>
      </c>
      <c r="H6" s="15" t="inlineStr">
        <is>
          <t>-5.3%</t>
        </is>
      </c>
      <c r="I6" s="15" t="inlineStr">
        <is>
          <t>4073/8441 (48%)</t>
        </is>
      </c>
      <c r="J6" s="15" t="inlineStr">
        <is>
          <t>+1605.3</t>
        </is>
      </c>
    </row>
    <row r="7">
      <c r="A7" s="15" t="inlineStr">
        <is>
          <t>Ridge (live model) -- MW-involved</t>
        </is>
      </c>
      <c r="B7" s="15" t="n">
        <v>960</v>
      </c>
      <c r="C7" s="15" t="n">
        <v>756</v>
      </c>
      <c r="D7" s="15" t="n">
        <v>377</v>
      </c>
      <c r="E7" s="15" t="n">
        <v>379</v>
      </c>
      <c r="F7" s="15" t="n">
        <v>12</v>
      </c>
      <c r="G7" s="15" t="inlineStr">
        <is>
          <t>49.9%</t>
        </is>
      </c>
      <c r="H7" s="15" t="inlineStr">
        <is>
          <t>-4.8%</t>
        </is>
      </c>
      <c r="I7" s="15" t="inlineStr">
        <is>
          <t>464/960 (48%)</t>
        </is>
      </c>
      <c r="J7" s="15" t="inlineStr">
        <is>
          <t>+377.9</t>
        </is>
      </c>
    </row>
    <row r="8">
      <c r="A8" s="15" t="inlineStr">
        <is>
          <t>XGBoost (candidate) -- all FBS</t>
        </is>
      </c>
      <c r="B8" s="15" t="n">
        <v>8441</v>
      </c>
      <c r="C8" s="15" t="n">
        <v>6518</v>
      </c>
      <c r="D8" s="15" t="n">
        <v>3259</v>
      </c>
      <c r="E8" s="15" t="n">
        <v>3259</v>
      </c>
      <c r="F8" s="15" t="n">
        <v>59</v>
      </c>
      <c r="G8" s="15" t="inlineStr">
        <is>
          <t>50.0%</t>
        </is>
      </c>
      <c r="H8" s="15" t="inlineStr">
        <is>
          <t>-4.5%</t>
        </is>
      </c>
      <c r="I8" s="15" t="inlineStr">
        <is>
          <t>4368/8441 (52%)</t>
        </is>
      </c>
      <c r="J8" s="15" t="inlineStr">
        <is>
          <t>+191.6</t>
        </is>
      </c>
    </row>
    <row r="9">
      <c r="A9" s="15" t="inlineStr">
        <is>
          <t>XGBoost (candidate) -- MW-involved</t>
        </is>
      </c>
      <c r="B9" s="15" t="n">
        <v>960</v>
      </c>
      <c r="C9" s="15" t="n">
        <v>742</v>
      </c>
      <c r="D9" s="15" t="n">
        <v>384</v>
      </c>
      <c r="E9" s="15" t="n">
        <v>358</v>
      </c>
      <c r="F9" s="15" t="n">
        <v>11</v>
      </c>
      <c r="G9" s="15" t="inlineStr">
        <is>
          <t>51.7%</t>
        </is>
      </c>
      <c r="H9" s="15" t="inlineStr">
        <is>
          <t>-1.2%</t>
        </is>
      </c>
      <c r="I9" s="15" t="inlineStr">
        <is>
          <t>496/960 (52%)</t>
        </is>
      </c>
      <c r="J9" s="15" t="inlineStr">
        <is>
          <t>+764.5</t>
        </is>
      </c>
    </row>
    <row r="11">
      <c r="A11" s="13" t="inlineStr">
        <is>
          <t>2026 Season Only</t>
        </is>
      </c>
    </row>
    <row r="12" ht="25.5" customHeight="1">
      <c r="A12" s="14" t="inlineStr">
        <is>
          <t>Model</t>
        </is>
      </c>
      <c r="B12" s="14" t="inlineStr">
        <is>
          <t>Games Graded</t>
        </is>
      </c>
      <c r="C12" s="14" t="inlineStr">
        <is>
          <t>Bets Made</t>
        </is>
      </c>
      <c r="D12" s="14" t="inlineStr">
        <is>
          <t>Wins</t>
        </is>
      </c>
      <c r="E12" s="14" t="inlineStr">
        <is>
          <t>Losses</t>
        </is>
      </c>
      <c r="F12" s="14" t="inlineStr">
        <is>
          <t>Pushes</t>
        </is>
      </c>
      <c r="G12" s="14" t="inlineStr">
        <is>
          <t>ATS Win %</t>
        </is>
      </c>
      <c r="H12" s="14" t="inlineStr">
        <is>
          <t>ROI (flat stake)</t>
        </is>
      </c>
      <c r="I12" s="14" t="inlineStr">
        <is>
          <t>Tighter Than Other (CLV)</t>
        </is>
      </c>
      <c r="J12" s="14" t="inlineStr">
        <is>
          <t>CLV Pts (cum.)</t>
        </is>
      </c>
    </row>
    <row r="13">
      <c r="A13" s="15" t="inlineStr">
        <is>
          <t>Ridge (live model) -- all FBS</t>
        </is>
      </c>
      <c r="B13" s="15" t="n">
        <v>8</v>
      </c>
      <c r="C13" s="15" t="n">
        <v>7</v>
      </c>
      <c r="D13" s="15" t="n">
        <v>3</v>
      </c>
      <c r="E13" s="15" t="n">
        <v>4</v>
      </c>
      <c r="F13" s="15" t="n">
        <v>0</v>
      </c>
      <c r="G13" s="15" t="inlineStr">
        <is>
          <t>42.9%</t>
        </is>
      </c>
      <c r="H13" s="15" t="inlineStr">
        <is>
          <t>-18.2%</t>
        </is>
      </c>
      <c r="I13" s="15" t="inlineStr">
        <is>
          <t>2/8 (25%)</t>
        </is>
      </c>
      <c r="J13" s="15" t="inlineStr">
        <is>
          <t>-2.5</t>
        </is>
      </c>
    </row>
    <row r="14">
      <c r="A14" s="15" t="inlineStr">
        <is>
          <t>Ridge (live model) -- MW-involved</t>
        </is>
      </c>
      <c r="B14" s="15" t="n">
        <v>4</v>
      </c>
      <c r="C14" s="15" t="n">
        <v>3</v>
      </c>
      <c r="D14" s="15" t="n">
        <v>2</v>
      </c>
      <c r="E14" s="15" t="n">
        <v>1</v>
      </c>
      <c r="F14" s="15" t="n">
        <v>0</v>
      </c>
      <c r="G14" s="15" t="inlineStr">
        <is>
          <t>66.7%</t>
        </is>
      </c>
      <c r="H14" s="15" t="inlineStr">
        <is>
          <t>+27.3%</t>
        </is>
      </c>
      <c r="I14" s="15" t="inlineStr">
        <is>
          <t>1/4 (25%)</t>
        </is>
      </c>
      <c r="J14" s="15" t="inlineStr">
        <is>
          <t>+9.0</t>
        </is>
      </c>
    </row>
    <row r="15">
      <c r="A15" s="15" t="inlineStr">
        <is>
          <t>XGBoost (candidate) -- all FBS</t>
        </is>
      </c>
      <c r="B15" s="15" t="n">
        <v>8</v>
      </c>
      <c r="C15" s="15" t="n">
        <v>6</v>
      </c>
      <c r="D15" s="15" t="n">
        <v>3</v>
      </c>
      <c r="E15" s="15" t="n">
        <v>3</v>
      </c>
      <c r="F15" s="15" t="n">
        <v>0</v>
      </c>
      <c r="G15" s="15" t="inlineStr">
        <is>
          <t>50.0%</t>
        </is>
      </c>
      <c r="H15" s="15" t="inlineStr">
        <is>
          <t>-4.5%</t>
        </is>
      </c>
      <c r="I15" s="15" t="inlineStr">
        <is>
          <t>6/8 (75%)</t>
        </is>
      </c>
      <c r="J15" s="15" t="inlineStr">
        <is>
          <t>-6.3</t>
        </is>
      </c>
    </row>
    <row r="16">
      <c r="A16" s="15" t="inlineStr">
        <is>
          <t>XGBoost (candidate) -- MW-involved</t>
        </is>
      </c>
      <c r="B16" s="15" t="n">
        <v>4</v>
      </c>
      <c r="C16" s="15" t="n">
        <v>3</v>
      </c>
      <c r="D16" s="15" t="n">
        <v>2</v>
      </c>
      <c r="E16" s="15" t="n">
        <v>1</v>
      </c>
      <c r="F16" s="15" t="n">
        <v>0</v>
      </c>
      <c r="G16" s="15" t="inlineStr">
        <is>
          <t>66.7%</t>
        </is>
      </c>
      <c r="H16" s="15" t="inlineStr">
        <is>
          <t>+27.3%</t>
        </is>
      </c>
      <c r="I16" s="15" t="inlineStr">
        <is>
          <t>3/4 (75%)</t>
        </is>
      </c>
      <c r="J16" s="15" t="inlineStr">
        <is>
          <t>+1.9</t>
        </is>
      </c>
    </row>
    <row r="18">
      <c r="A18" s="12" t="inlineStr">
        <is>
          <t>Ridge and XGBoost agree on which side to lean in 81.1% of all graded games.</t>
        </is>
      </c>
    </row>
    <row r="20">
      <c r="A20" s="13" t="inlineStr">
        <is>
          <t>Upcoming Games -- Ridge vs. XGBoost (Not Yet Graded)</t>
        </is>
      </c>
    </row>
    <row r="21" ht="25.5" customHeight="1">
      <c r="A21" s="14" t="inlineStr">
        <is>
          <t>Week</t>
        </is>
      </c>
      <c r="B21" s="14" t="inlineStr">
        <is>
          <t>Matchup</t>
        </is>
      </c>
      <c r="C21" s="14" t="inlineStr">
        <is>
          <t>Market Line (Home)</t>
        </is>
      </c>
      <c r="D21" s="14" t="inlineStr">
        <is>
          <t>Ridge Line</t>
        </is>
      </c>
      <c r="E21" s="14" t="inlineStr">
        <is>
          <t>XGBoost Line</t>
        </is>
      </c>
      <c r="F21" s="14" t="inlineStr">
        <is>
          <t>Ridge Lean</t>
        </is>
      </c>
      <c r="G21" s="14" t="inlineStr">
        <is>
          <t>XGBoost Lean</t>
        </is>
      </c>
      <c r="H21" s="14" t="inlineStr">
        <is>
          <t>Models Agree?</t>
        </is>
      </c>
      <c r="I21" s="14" t="inlineStr">
        <is>
          <t>Tighter (Live)*</t>
        </is>
      </c>
    </row>
    <row r="22">
      <c r="A22" s="15" t="n">
        <v>1</v>
      </c>
      <c r="B22" s="15" t="inlineStr">
        <is>
          <t>San José State @ USC</t>
        </is>
      </c>
      <c r="C22" s="15" t="inlineStr">
        <is>
          <t>-37.2</t>
        </is>
      </c>
      <c r="D22" s="15" t="inlineStr">
        <is>
          <t>-32.2</t>
        </is>
      </c>
      <c r="E22" s="15" t="inlineStr">
        <is>
          <t>-31.0</t>
        </is>
      </c>
      <c r="F22" s="15" t="inlineStr">
        <is>
          <t>Away</t>
        </is>
      </c>
      <c r="G22" s="15" t="inlineStr">
        <is>
          <t>Away</t>
        </is>
      </c>
      <c r="H22" s="15" t="inlineStr">
        <is>
          <t>Yes</t>
        </is>
      </c>
      <c r="I22" s="16" t="inlineStr">
        <is>
          <t>Ridge</t>
        </is>
      </c>
    </row>
    <row r="23">
      <c r="A23" s="15" t="n">
        <v>1</v>
      </c>
      <c r="B23" s="15" t="inlineStr">
        <is>
          <t>Jacksonville State @ North Dakota State</t>
        </is>
      </c>
      <c r="C23" s="15" t="inlineStr">
        <is>
          <t>-6.8</t>
        </is>
      </c>
      <c r="D23" s="15" t="inlineStr">
        <is>
          <t>-16.4</t>
        </is>
      </c>
      <c r="E23" s="15" t="inlineStr">
        <is>
          <t>-16.7</t>
        </is>
      </c>
      <c r="F23" s="15" t="inlineStr">
        <is>
          <t>Home</t>
        </is>
      </c>
      <c r="G23" s="15" t="inlineStr">
        <is>
          <t>Home</t>
        </is>
      </c>
      <c r="H23" s="15" t="inlineStr">
        <is>
          <t>Yes</t>
        </is>
      </c>
      <c r="I23" s="16" t="inlineStr">
        <is>
          <t>Ridge</t>
        </is>
      </c>
    </row>
    <row r="24">
      <c r="A24" s="15" t="n">
        <v>1</v>
      </c>
      <c r="B24" s="15" t="inlineStr">
        <is>
          <t>Hawai'i @ Stanford</t>
        </is>
      </c>
      <c r="C24" s="15" t="inlineStr">
        <is>
          <t>-4.8</t>
        </is>
      </c>
      <c r="D24" s="15" t="inlineStr">
        <is>
          <t>-4.3</t>
        </is>
      </c>
      <c r="E24" s="15" t="inlineStr">
        <is>
          <t>-1.8</t>
        </is>
      </c>
      <c r="F24" s="15" t="inlineStr">
        <is>
          <t>Away</t>
        </is>
      </c>
      <c r="G24" s="15" t="inlineStr">
        <is>
          <t>Away</t>
        </is>
      </c>
      <c r="H24" s="15" t="inlineStr">
        <is>
          <t>Yes</t>
        </is>
      </c>
      <c r="I24" s="16" t="inlineStr">
        <is>
          <t>Ridge</t>
        </is>
      </c>
    </row>
    <row r="25">
      <c r="A25" s="15" t="n">
        <v>1</v>
      </c>
      <c r="B25" s="15" t="inlineStr">
        <is>
          <t>Memphis @ UNLV</t>
        </is>
      </c>
      <c r="C25" s="15" t="inlineStr">
        <is>
          <t>-4.8</t>
        </is>
      </c>
      <c r="D25" s="15" t="inlineStr">
        <is>
          <t>-9.9</t>
        </is>
      </c>
      <c r="E25" s="15" t="inlineStr">
        <is>
          <t>-5.7</t>
        </is>
      </c>
      <c r="F25" s="15" t="inlineStr">
        <is>
          <t>Home</t>
        </is>
      </c>
      <c r="G25" s="15" t="inlineStr">
        <is>
          <t>Home</t>
        </is>
      </c>
      <c r="H25" s="15" t="inlineStr">
        <is>
          <t>Yes</t>
        </is>
      </c>
      <c r="I25" s="16" t="inlineStr">
        <is>
          <t>XGBoost</t>
        </is>
      </c>
    </row>
    <row r="26">
      <c r="A26" s="15" t="n">
        <v>1</v>
      </c>
      <c r="B26" s="15" t="inlineStr">
        <is>
          <t>San José State @ Eastern Michigan</t>
        </is>
      </c>
      <c r="C26" s="15" t="inlineStr">
        <is>
          <t>-3.0</t>
        </is>
      </c>
      <c r="D26" s="15" t="inlineStr">
        <is>
          <t>-12.8</t>
        </is>
      </c>
      <c r="E26" s="15" t="inlineStr">
        <is>
          <t>-11.3</t>
        </is>
      </c>
      <c r="F26" s="15" t="inlineStr">
        <is>
          <t>Home</t>
        </is>
      </c>
      <c r="G26" s="15" t="inlineStr">
        <is>
          <t>Home</t>
        </is>
      </c>
      <c r="H26" s="15" t="inlineStr">
        <is>
          <t>Yes</t>
        </is>
      </c>
      <c r="I26" s="16" t="inlineStr">
        <is>
          <t>XGBoost</t>
        </is>
      </c>
    </row>
    <row r="27">
      <c r="A27" s="15" t="n">
        <v>1</v>
      </c>
      <c r="B27" s="15" t="inlineStr">
        <is>
          <t>UTEP @ Oklahoma</t>
        </is>
      </c>
      <c r="C27" s="15" t="inlineStr">
        <is>
          <t>-41.5</t>
        </is>
      </c>
      <c r="D27" s="15" t="inlineStr">
        <is>
          <t>-33.9</t>
        </is>
      </c>
      <c r="E27" s="15" t="inlineStr">
        <is>
          <t>-33.5</t>
        </is>
      </c>
      <c r="F27" s="15" t="inlineStr">
        <is>
          <t>Away</t>
        </is>
      </c>
      <c r="G27" s="15" t="inlineStr">
        <is>
          <t>Away</t>
        </is>
      </c>
      <c r="H27" s="15" t="inlineStr">
        <is>
          <t>Yes</t>
        </is>
      </c>
      <c r="I27" s="16" t="inlineStr">
        <is>
          <t>Ridge</t>
        </is>
      </c>
    </row>
    <row r="28">
      <c r="A28" s="15" t="n">
        <v>1</v>
      </c>
      <c r="B28" s="15" t="inlineStr">
        <is>
          <t>Duquesne @ Air Force</t>
        </is>
      </c>
      <c r="C28" s="15" t="inlineStr">
        <is>
          <t>-28.5</t>
        </is>
      </c>
      <c r="D28" s="15" t="inlineStr">
        <is>
          <t>-22.0</t>
        </is>
      </c>
      <c r="E28" s="15" t="inlineStr">
        <is>
          <t>-33.5</t>
        </is>
      </c>
      <c r="F28" s="15" t="inlineStr">
        <is>
          <t>Away</t>
        </is>
      </c>
      <c r="G28" s="15" t="inlineStr">
        <is>
          <t>Home</t>
        </is>
      </c>
      <c r="H28" s="15" t="inlineStr">
        <is>
          <t>No</t>
        </is>
      </c>
      <c r="I28" s="16" t="inlineStr">
        <is>
          <t>XGBoost</t>
        </is>
      </c>
    </row>
    <row r="29">
      <c r="A29" s="15" t="n">
        <v>1</v>
      </c>
      <c r="B29" s="15" t="inlineStr">
        <is>
          <t>Fordham @ North Dakota State</t>
        </is>
      </c>
      <c r="C29" s="15" t="inlineStr">
        <is>
          <t>-39.5</t>
        </is>
      </c>
      <c r="D29" s="15" t="inlineStr">
        <is>
          <t>-49.9</t>
        </is>
      </c>
      <c r="E29" s="15" t="inlineStr">
        <is>
          <t>-36.7</t>
        </is>
      </c>
      <c r="F29" s="15" t="inlineStr">
        <is>
          <t>Home</t>
        </is>
      </c>
      <c r="G29" s="15" t="inlineStr">
        <is>
          <t>Away</t>
        </is>
      </c>
      <c r="H29" s="15" t="inlineStr">
        <is>
          <t>No</t>
        </is>
      </c>
      <c r="I29" s="16" t="inlineStr">
        <is>
          <t>XGBoost</t>
        </is>
      </c>
    </row>
    <row r="30">
      <c r="A30" s="15" t="n">
        <v>1</v>
      </c>
      <c r="B30" s="15" t="inlineStr">
        <is>
          <t>Northern Illinois @ Iowa</t>
        </is>
      </c>
      <c r="C30" s="15" t="inlineStr">
        <is>
          <t>-31.2</t>
        </is>
      </c>
      <c r="D30" s="15" t="inlineStr">
        <is>
          <t>-30.4</t>
        </is>
      </c>
      <c r="E30" s="15" t="inlineStr">
        <is>
          <t>-27.0</t>
        </is>
      </c>
      <c r="F30" s="15" t="inlineStr">
        <is>
          <t>Away</t>
        </is>
      </c>
      <c r="G30" s="15" t="inlineStr">
        <is>
          <t>Away</t>
        </is>
      </c>
      <c r="H30" s="15" t="inlineStr">
        <is>
          <t>Yes</t>
        </is>
      </c>
      <c r="I30" s="16" t="inlineStr">
        <is>
          <t>Ridge</t>
        </is>
      </c>
    </row>
    <row r="31">
      <c r="A31" s="15" t="n">
        <v>1</v>
      </c>
      <c r="B31" s="15" t="inlineStr">
        <is>
          <t>Wyoming @ Colorado State</t>
        </is>
      </c>
      <c r="C31" s="15" t="inlineStr">
        <is>
          <t>-3.0</t>
        </is>
      </c>
      <c r="D31" s="15" t="inlineStr">
        <is>
          <t>-5.2</t>
        </is>
      </c>
      <c r="E31" s="15" t="inlineStr">
        <is>
          <t>-1.6</t>
        </is>
      </c>
      <c r="F31" s="15" t="inlineStr">
        <is>
          <t>Home</t>
        </is>
      </c>
      <c r="G31" s="15" t="inlineStr">
        <is>
          <t>Away</t>
        </is>
      </c>
      <c r="H31" s="15" t="inlineStr">
        <is>
          <t>No</t>
        </is>
      </c>
      <c r="I31" s="16" t="inlineStr">
        <is>
          <t>XGBoost</t>
        </is>
      </c>
    </row>
    <row r="32">
      <c r="A32" s="15" t="n">
        <v>1</v>
      </c>
      <c r="B32" s="15" t="inlineStr">
        <is>
          <t>Central Michigan @ New Mexico</t>
        </is>
      </c>
      <c r="C32" s="15" t="inlineStr">
        <is>
          <t>-10.0</t>
        </is>
      </c>
      <c r="D32" s="15" t="inlineStr">
        <is>
          <t>-17.2</t>
        </is>
      </c>
      <c r="E32" s="15" t="inlineStr">
        <is>
          <t>-10.7</t>
        </is>
      </c>
      <c r="F32" s="15" t="inlineStr">
        <is>
          <t>Home</t>
        </is>
      </c>
      <c r="G32" s="15" t="inlineStr">
        <is>
          <t>Home</t>
        </is>
      </c>
      <c r="H32" s="15" t="inlineStr">
        <is>
          <t>Yes</t>
        </is>
      </c>
      <c r="I32" s="16" t="inlineStr">
        <is>
          <t>XGBoost</t>
        </is>
      </c>
    </row>
    <row r="33">
      <c r="A33" s="15" t="n">
        <v>1</v>
      </c>
      <c r="B33" s="15" t="inlineStr">
        <is>
          <t>UNLV @ Hawai'i</t>
        </is>
      </c>
      <c r="C33" s="15" t="inlineStr">
        <is>
          <t>+3.0</t>
        </is>
      </c>
      <c r="D33" s="15" t="inlineStr">
        <is>
          <t>+6.5</t>
        </is>
      </c>
      <c r="E33" s="15" t="inlineStr">
        <is>
          <t>+0.1</t>
        </is>
      </c>
      <c r="F33" s="15" t="inlineStr">
        <is>
          <t>Away</t>
        </is>
      </c>
      <c r="G33" s="15" t="inlineStr">
        <is>
          <t>Home</t>
        </is>
      </c>
      <c r="H33" s="15" t="inlineStr">
        <is>
          <t>No</t>
        </is>
      </c>
      <c r="I33" s="16" t="inlineStr">
        <is>
          <t>XGBoost</t>
        </is>
      </c>
    </row>
    <row r="34">
      <c r="A34" s="15" t="n">
        <v>1</v>
      </c>
      <c r="B34" s="15" t="inlineStr">
        <is>
          <t>Western Kentucky @ Nevada</t>
        </is>
      </c>
      <c r="C34" s="15" t="inlineStr">
        <is>
          <t>+2.5</t>
        </is>
      </c>
      <c r="D34" s="15" t="inlineStr">
        <is>
          <t>+5.0</t>
        </is>
      </c>
      <c r="E34" s="15" t="inlineStr">
        <is>
          <t>+10.7</t>
        </is>
      </c>
      <c r="F34" s="15" t="inlineStr">
        <is>
          <t>Away</t>
        </is>
      </c>
      <c r="G34" s="15" t="inlineStr">
        <is>
          <t>Away</t>
        </is>
      </c>
      <c r="H34" s="15" t="inlineStr">
        <is>
          <t>Yes</t>
        </is>
      </c>
      <c r="I34" s="16" t="inlineStr">
        <is>
          <t>Ridge</t>
        </is>
      </c>
    </row>
    <row r="35">
      <c r="A35" s="12" t="inlineStr">
        <is>
          <t>* Tighter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38">
      <c r="A38" s="13" t="inlineStr">
        <is>
          <t>2026 Mountain West Games -- Game by Game</t>
        </is>
      </c>
    </row>
    <row r="39" ht="25.5" customHeight="1">
      <c r="A39" s="14" t="inlineStr">
        <is>
          <t>Week</t>
        </is>
      </c>
      <c r="B39" s="14" t="inlineStr">
        <is>
          <t>Matchup</t>
        </is>
      </c>
      <c r="C39" s="14" t="inlineStr">
        <is>
          <t>Final Score</t>
        </is>
      </c>
      <c r="D39" s="14" t="inlineStr">
        <is>
          <t>Vegas Spread (Home)</t>
        </is>
      </c>
      <c r="E39" s="14" t="inlineStr">
        <is>
          <t>Actual Margin (Home)</t>
        </is>
      </c>
      <c r="F39" s="14" t="inlineStr">
        <is>
          <t>Ridge Line</t>
        </is>
      </c>
      <c r="G39" s="14" t="inlineStr">
        <is>
          <t>Ridge Edge</t>
        </is>
      </c>
      <c r="H39" s="14" t="inlineStr">
        <is>
          <t>Ridge Lean</t>
        </is>
      </c>
      <c r="I39" s="14" t="inlineStr">
        <is>
          <t>Ridge Result</t>
        </is>
      </c>
      <c r="J39" s="14" t="inlineStr">
        <is>
          <t>XGBoost Line</t>
        </is>
      </c>
      <c r="K39" s="14" t="inlineStr">
        <is>
          <t>XGBoost Edge</t>
        </is>
      </c>
      <c r="L39" s="14" t="inlineStr">
        <is>
          <t>XGBoost Lean</t>
        </is>
      </c>
      <c r="M39" s="14" t="inlineStr">
        <is>
          <t>XGBoost Result</t>
        </is>
      </c>
      <c r="N39" s="14" t="inlineStr">
        <is>
          <t>Models Agree?</t>
        </is>
      </c>
      <c r="O39" s="14" t="inlineStr">
        <is>
          <t>Tighter CLV Line</t>
        </is>
      </c>
      <c r="P39" s="14" t="inlineStr">
        <is>
          <t>Ridge CLV Pts (Cum.)</t>
        </is>
      </c>
      <c r="Q39" s="14" t="inlineStr">
        <is>
          <t>XGBoost CLV Pts (Cum.)</t>
        </is>
      </c>
    </row>
    <row r="40">
      <c r="A40" s="15" t="n">
        <v>1</v>
      </c>
      <c r="B40" s="15" t="inlineStr">
        <is>
          <t>Jacksonville State @ North Dakota State</t>
        </is>
      </c>
      <c r="C40" s="15" t="inlineStr">
        <is>
          <t>7-33</t>
        </is>
      </c>
      <c r="D40" s="15" t="inlineStr">
        <is>
          <t>-6.8</t>
        </is>
      </c>
      <c r="E40" s="15" t="inlineStr">
        <is>
          <t>+26.0</t>
        </is>
      </c>
      <c r="F40" s="15" t="inlineStr">
        <is>
          <t>-16.3</t>
        </is>
      </c>
      <c r="G40" s="15" t="inlineStr">
        <is>
          <t>+9.6</t>
        </is>
      </c>
      <c r="H40" s="15" t="inlineStr">
        <is>
          <t>Home</t>
        </is>
      </c>
      <c r="I40" s="16" t="inlineStr">
        <is>
          <t>Win</t>
        </is>
      </c>
      <c r="J40" s="15" t="inlineStr">
        <is>
          <t>-15.3</t>
        </is>
      </c>
      <c r="K40" s="15" t="inlineStr">
        <is>
          <t>+8.6</t>
        </is>
      </c>
      <c r="L40" s="15" t="inlineStr">
        <is>
          <t>Home</t>
        </is>
      </c>
      <c r="M40" s="16" t="inlineStr">
        <is>
          <t>Win</t>
        </is>
      </c>
      <c r="N40" s="15" t="inlineStr">
        <is>
          <t>Yes</t>
        </is>
      </c>
      <c r="O40" s="16" t="inlineStr">
        <is>
          <t>XGBoost</t>
        </is>
      </c>
      <c r="P40" s="15" t="inlineStr">
        <is>
          <t>+9.6</t>
        </is>
      </c>
      <c r="Q40" s="15" t="inlineStr">
        <is>
          <t>+8.6</t>
        </is>
      </c>
    </row>
    <row r="41">
      <c r="A41" s="15" t="n">
        <v>1</v>
      </c>
      <c r="B41" s="15" t="inlineStr">
        <is>
          <t>Hawai'i @ Stanford</t>
        </is>
      </c>
      <c r="C41" s="15" t="inlineStr">
        <is>
          <t>27-37</t>
        </is>
      </c>
      <c r="D41" s="15" t="inlineStr">
        <is>
          <t>-4.8</t>
        </is>
      </c>
      <c r="E41" s="15" t="inlineStr">
        <is>
          <t>+10.0</t>
        </is>
      </c>
      <c r="F41" s="15" t="inlineStr">
        <is>
          <t>-4.2</t>
        </is>
      </c>
      <c r="G41" s="15" t="inlineStr">
        <is>
          <t>-0.5</t>
        </is>
      </c>
      <c r="H41" s="15" t="inlineStr">
        <is>
          <t>Away</t>
        </is>
      </c>
      <c r="I41" s="15" t="inlineStr">
        <is>
          <t>Lean only</t>
        </is>
      </c>
      <c r="J41" s="15" t="inlineStr">
        <is>
          <t>-0.7</t>
        </is>
      </c>
      <c r="K41" s="15" t="inlineStr">
        <is>
          <t>-4.1</t>
        </is>
      </c>
      <c r="L41" s="15" t="inlineStr">
        <is>
          <t>Away</t>
        </is>
      </c>
      <c r="M41" s="17" t="inlineStr">
        <is>
          <t>Loss</t>
        </is>
      </c>
      <c r="N41" s="15" t="inlineStr">
        <is>
          <t>Yes</t>
        </is>
      </c>
      <c r="O41" s="16" t="inlineStr">
        <is>
          <t>Ridge</t>
        </is>
      </c>
      <c r="P41" s="15" t="inlineStr">
        <is>
          <t>+9.0</t>
        </is>
      </c>
      <c r="Q41" s="15" t="inlineStr">
        <is>
          <t>+4.5</t>
        </is>
      </c>
    </row>
    <row r="42">
      <c r="A42" s="15" t="n">
        <v>1</v>
      </c>
      <c r="B42" s="15" t="inlineStr">
        <is>
          <t>Memphis @ UNLV</t>
        </is>
      </c>
      <c r="C42" s="15" t="inlineStr">
        <is>
          <t>27-21</t>
        </is>
      </c>
      <c r="D42" s="15" t="inlineStr">
        <is>
          <t>-4.8</t>
        </is>
      </c>
      <c r="E42" s="15" t="inlineStr">
        <is>
          <t>-6.0</t>
        </is>
      </c>
      <c r="F42" s="15" t="inlineStr">
        <is>
          <t>-9.8</t>
        </is>
      </c>
      <c r="G42" s="15" t="inlineStr">
        <is>
          <t>+5.1</t>
        </is>
      </c>
      <c r="H42" s="15" t="inlineStr">
        <is>
          <t>Home</t>
        </is>
      </c>
      <c r="I42" s="17" t="inlineStr">
        <is>
          <t>Loss</t>
        </is>
      </c>
      <c r="J42" s="15" t="inlineStr">
        <is>
          <t>-6.5</t>
        </is>
      </c>
      <c r="K42" s="15" t="inlineStr">
        <is>
          <t>+1.8</t>
        </is>
      </c>
      <c r="L42" s="15" t="inlineStr">
        <is>
          <t>Home</t>
        </is>
      </c>
      <c r="M42" s="15" t="inlineStr">
        <is>
          <t>Lean only</t>
        </is>
      </c>
      <c r="N42" s="15" t="inlineStr">
        <is>
          <t>Yes</t>
        </is>
      </c>
      <c r="O42" s="16" t="inlineStr">
        <is>
          <t>XGBoost</t>
        </is>
      </c>
      <c r="P42" s="15" t="inlineStr">
        <is>
          <t>+14.1</t>
        </is>
      </c>
      <c r="Q42" s="15" t="inlineStr">
        <is>
          <t>+6.3</t>
        </is>
      </c>
    </row>
    <row r="43">
      <c r="A43" s="15" t="n">
        <v>1</v>
      </c>
      <c r="B43" s="15" t="inlineStr">
        <is>
          <t>San José State @ USC</t>
        </is>
      </c>
      <c r="C43" s="15" t="inlineStr">
        <is>
          <t>26-42</t>
        </is>
      </c>
      <c r="D43" s="15" t="inlineStr">
        <is>
          <t>-37.2</t>
        </is>
      </c>
      <c r="E43" s="15" t="inlineStr">
        <is>
          <t>+16.0</t>
        </is>
      </c>
      <c r="F43" s="15" t="inlineStr">
        <is>
          <t>-32.1</t>
        </is>
      </c>
      <c r="G43" s="15" t="inlineStr">
        <is>
          <t>-5.1</t>
        </is>
      </c>
      <c r="H43" s="15" t="inlineStr">
        <is>
          <t>Away</t>
        </is>
      </c>
      <c r="I43" s="16" t="inlineStr">
        <is>
          <t>Win</t>
        </is>
      </c>
      <c r="J43" s="15" t="inlineStr">
        <is>
          <t>-32.9</t>
        </is>
      </c>
      <c r="K43" s="15" t="inlineStr">
        <is>
          <t>-4.4</t>
        </is>
      </c>
      <c r="L43" s="15" t="inlineStr">
        <is>
          <t>Away</t>
        </is>
      </c>
      <c r="M43" s="16" t="inlineStr">
        <is>
          <t>Win</t>
        </is>
      </c>
      <c r="N43" s="15" t="inlineStr">
        <is>
          <t>Yes</t>
        </is>
      </c>
      <c r="O43" s="16" t="inlineStr">
        <is>
          <t>XGBoost</t>
        </is>
      </c>
      <c r="P43" s="15" t="inlineStr">
        <is>
          <t>+9.0</t>
        </is>
      </c>
      <c r="Q43" s="15" t="inlineStr">
        <is>
          <t>+1.9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2026-09-03T20:16:33Z</dcterms:modified>
  <cp:lastModifiedBy>Cole Andrewlevich</cp:lastModifiedBy>
  <cp:revision>0</cp:revision>
</cp:coreProperties>
</file>