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11" activeTab="1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Weekly Slate" sheetId="3" state="visible" r:id="rId3"/>
    <sheet xmlns:r="http://schemas.openxmlformats.org/officeDocument/2006/relationships" name="Bet Log" sheetId="4" state="visible" r:id="rId4"/>
    <sheet xmlns:r="http://schemas.openxmlformats.org/officeDocument/2006/relationships" name="Team Profiles" sheetId="5" state="visible" r:id="rId5"/>
    <sheet xmlns:r="http://schemas.openxmlformats.org/officeDocument/2006/relationships" name="Power Ratings" sheetId="6" state="visible" r:id="rId6"/>
    <sheet xmlns:r="http://schemas.openxmlformats.org/officeDocument/2006/relationships" name="MW Team ATS" sheetId="7" state="visible" r:id="rId7"/>
    <sheet xmlns:r="http://schemas.openxmlformats.org/officeDocument/2006/relationships" name="Strength of Record" sheetId="8" state="visible" r:id="rId8"/>
    <sheet xmlns:r="http://schemas.openxmlformats.org/officeDocument/2006/relationships" name="Model Comparison" sheetId="9" state="visible" r:id="rId9"/>
    <sheet xmlns:r="http://schemas.openxmlformats.org/officeDocument/2006/relationships" name="National Slate" sheetId="10" state="visible" r:id="rId10"/>
    <sheet xmlns:r="http://schemas.openxmlformats.org/officeDocument/2006/relationships" name="ACC Slate" sheetId="11" state="visible" r:id="rId11"/>
    <sheet xmlns:r="http://schemas.openxmlformats.org/officeDocument/2006/relationships" name="American Athletic Slate" sheetId="12" state="visible" r:id="rId12"/>
    <sheet xmlns:r="http://schemas.openxmlformats.org/officeDocument/2006/relationships" name="Big 12 Slate" sheetId="13" state="visible" r:id="rId13"/>
    <sheet xmlns:r="http://schemas.openxmlformats.org/officeDocument/2006/relationships" name="Big Ten Slate" sheetId="14" state="visible" r:id="rId14"/>
    <sheet xmlns:r="http://schemas.openxmlformats.org/officeDocument/2006/relationships" name="Conference USA Slate" sheetId="15" state="visible" r:id="rId15"/>
    <sheet xmlns:r="http://schemas.openxmlformats.org/officeDocument/2006/relationships" name="FBS Independents Slate" sheetId="16" state="visible" r:id="rId16"/>
    <sheet xmlns:r="http://schemas.openxmlformats.org/officeDocument/2006/relationships" name="Mid-American Slate" sheetId="17" state="visible" r:id="rId17"/>
    <sheet xmlns:r="http://schemas.openxmlformats.org/officeDocument/2006/relationships" name="Mountain West Slate" sheetId="18" state="visible" r:id="rId18"/>
    <sheet xmlns:r="http://schemas.openxmlformats.org/officeDocument/2006/relationships" name="Pac-12 Slate" sheetId="19" state="visible" r:id="rId19"/>
    <sheet xmlns:r="http://schemas.openxmlformats.org/officeDocument/2006/relationships" name="SEC Slate" sheetId="20" state="visible" r:id="rId20"/>
    <sheet xmlns:r="http://schemas.openxmlformats.org/officeDocument/2006/relationships" name="Sun Belt Slate" sheetId="21" state="visible" r:id="rId21"/>
  </sheets>
  <definedNames>
    <definedName name="_xlnm._FilterDatabase" localSheetId="9" hidden="1">'National Slate'!$A$1:$Q$60</definedName>
    <definedName name="_xlnm._FilterDatabase" localSheetId="10" hidden="1">'ACC Slate'!$A$21:$Q$30</definedName>
    <definedName name="_xlnm._FilterDatabase" localSheetId="11" hidden="1">'American Athletic Slate'!$A$18:$Q$26</definedName>
    <definedName name="_xlnm._FilterDatabase" localSheetId="12" hidden="1">'Big 12 Slate'!$A$20:$Q$27</definedName>
    <definedName name="_xlnm._FilterDatabase" localSheetId="13" hidden="1">'Big Ten Slate'!$A$22:$Q$30</definedName>
    <definedName name="_xlnm._FilterDatabase" localSheetId="14" hidden="1">'Conference USA Slate'!$A$14:$Q$17</definedName>
    <definedName name="_xlnm._FilterDatabase" localSheetId="15" hidden="1">'FBS Independents Slate'!$A$6:$Q$8</definedName>
    <definedName name="_xlnm._FilterDatabase" localSheetId="16" hidden="1">'Mid-American Slate'!$A$17:$Q$23</definedName>
    <definedName name="_xlnm._FilterDatabase" localSheetId="17" hidden="1">'Mountain West Slate'!$A$14:$Q$19</definedName>
    <definedName name="_xlnm._FilterDatabase" localSheetId="18" hidden="1">'Pac-12 Slate'!$A$12:$Q$16</definedName>
    <definedName name="_xlnm._FilterDatabase" localSheetId="19" hidden="1">'SEC Slate'!$A$20:$Q$27</definedName>
    <definedName name="_xlnm._FilterDatabase" localSheetId="20" hidden="1">'Sun Belt Slate'!$A$18:$Q$24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charset val="1"/>
      <family val="2"/>
      <color theme="1"/>
      <sz val="11"/>
    </font>
    <font>
      <name val="Arial"/>
      <charset val="1"/>
      <family val="2"/>
      <b val="1"/>
      <sz val="14"/>
    </font>
    <font>
      <name val="Arial"/>
      <charset val="1"/>
      <family val="2"/>
      <i val="1"/>
      <color rgb="FF666666"/>
      <sz val="9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0000FF"/>
      <sz val="10"/>
    </font>
    <font>
      <name val="Calibri"/>
      <charset val="1"/>
      <family val="2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b val="1"/>
      <sz val="12"/>
    </font>
    <font>
      <name val="Arial"/>
      <family val="2"/>
      <b val="1"/>
      <color rgb="FF000000"/>
      <sz val="11"/>
    </font>
    <font>
      <name val="Arial"/>
      <family val="2"/>
      <i val="1"/>
      <color rgb="FF666666"/>
      <sz val="9"/>
    </font>
    <font>
      <name val="Arial"/>
      <family val="2"/>
      <b val="1"/>
      <sz val="14"/>
    </font>
    <font>
      <name val="Arial"/>
      <family val="2"/>
      <b val="1"/>
      <color rgb="FF1F3864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color rgb="00000000"/>
      <sz val="11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2F5233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F523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2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pivotButton="0" quotePrefix="0" xfId="0"/>
    <xf numFmtId="0" fontId="12" fillId="4" borderId="0" applyAlignment="1" pivotButton="0" quotePrefix="0" xfId="0">
      <alignment horizontal="center"/>
    </xf>
    <xf numFmtId="0" fontId="14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4" fontId="13" fillId="0" borderId="0" pivotButton="0" quotePrefix="0" xfId="0"/>
    <xf numFmtId="0" fontId="12" fillId="4" borderId="0" applyAlignment="1" pivotButton="0" quotePrefix="0" xfId="0">
      <alignment horizontal="center" wrapText="1"/>
    </xf>
    <xf numFmtId="0" fontId="13" fillId="5" borderId="0" pivotButton="0" quotePrefix="0" xfId="0"/>
    <xf numFmtId="0" fontId="13" fillId="6" borderId="0" pivotButton="0" quotePrefix="0" xfId="0"/>
    <xf numFmtId="0" fontId="13" fillId="7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2" fillId="4" borderId="3" applyAlignment="1" pivotButton="0" quotePrefix="0" xfId="0">
      <alignment horizontal="center" vertical="center" wrapText="1"/>
    </xf>
    <xf numFmtId="0" fontId="13" fillId="8" borderId="0" pivotButton="0" quotePrefix="0" xfId="0"/>
    <xf numFmtId="0" fontId="13" fillId="9" borderId="0" pivotButton="0" quotePrefix="0" xfId="0"/>
    <xf numFmtId="0" fontId="12" fillId="10" borderId="0" applyAlignment="1" pivotButton="0" quotePrefix="0" xfId="0">
      <alignment horizontal="center"/>
    </xf>
    <xf numFmtId="0" fontId="19" fillId="11" borderId="0" pivotButton="0" quotePrefix="0" xfId="0"/>
    <xf numFmtId="0" fontId="19" fillId="11" borderId="0" applyAlignment="1" pivotButton="0" quotePrefix="0" xfId="0">
      <alignment horizontal="center"/>
    </xf>
    <xf numFmtId="0" fontId="21" fillId="0" borderId="0" pivotButton="0" quotePrefix="0" xfId="0"/>
    <xf numFmtId="0" fontId="2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164" fontId="20" fillId="0" borderId="0" pivotButton="0" quotePrefix="0" xfId="0"/>
    <xf numFmtId="0" fontId="19" fillId="11" borderId="0" applyAlignment="1" pivotButton="0" quotePrefix="0" xfId="0">
      <alignment horizontal="center" wrapText="1"/>
    </xf>
    <xf numFmtId="0" fontId="20" fillId="12" borderId="0" pivotButton="0" quotePrefix="0" xfId="0"/>
    <xf numFmtId="0" fontId="20" fillId="13" borderId="0" pivotButton="0" quotePrefix="0" xfId="0"/>
    <xf numFmtId="0" fontId="20" fillId="14" borderId="0" pivotButton="0" quotePrefix="0" xfId="0"/>
    <xf numFmtId="0" fontId="19" fillId="15" borderId="0" applyAlignment="1" pivotButton="0" quotePrefix="0" xfId="0">
      <alignment horizont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zoomScaleNormal="100" workbookViewId="0">
      <selection activeCell="A1" sqref="A1"/>
    </sheetView>
  </sheetViews>
  <sheetFormatPr baseColWidth="8" defaultColWidth="8.7265625" defaultRowHeight="14.5"/>
  <cols>
    <col width="110" customWidth="1" min="1" max="1"/>
  </cols>
  <sheetData>
    <row r="1" ht="18" customHeight="1">
      <c r="A1" s="1" t="inlineStr">
        <is>
          <t>Mountain West Handicapping Tracker</t>
        </is>
      </c>
    </row>
    <row r="2" ht="14.25" customHeight="1">
      <c r="A2" s="2" t="inlineStr">
        <is>
          <t>2026 Season</t>
        </is>
      </c>
    </row>
    <row r="3" ht="14.25" customHeight="1">
      <c r="A3" s="3" t="n"/>
    </row>
    <row r="4" ht="14.25" customHeight="1">
      <c r="A4" s="4" t="inlineStr">
        <is>
          <t>How this workbook is meant to be used</t>
        </is>
      </c>
    </row>
    <row r="5" ht="14.25" customHeight="1">
      <c r="A5" s="3" t="inlineStr">
        <is>
          <t>This workbook is the review/tracking cockpit -- the model itself runs in Python (see the</t>
        </is>
      </c>
    </row>
    <row r="6" ht="14.25" customHeight="1">
      <c r="A6" s="3" t="inlineStr">
        <is>
          <t>attack plan and the src/ scripts). Each week, paste that week's model output into the blue</t>
        </is>
      </c>
    </row>
    <row r="7" ht="14.25" customHeight="1">
      <c r="A7" s="3" t="inlineStr">
        <is>
          <t>cells on the Weekly Slate tab; everything else on that tab recalculates automatically.</t>
        </is>
      </c>
    </row>
    <row r="8" ht="14.25" customHeight="1">
      <c r="A8" s="3" t="n"/>
    </row>
    <row r="9" ht="14.25" customHeight="1">
      <c r="A9" s="4" t="inlineStr">
        <is>
          <t>Color legend</t>
        </is>
      </c>
    </row>
    <row r="10" ht="14.25" customHeight="1">
      <c r="A10" s="3" t="inlineStr">
        <is>
          <t xml:space="preserve">  Blue text      = cells you fill in by hand (model output, market lines, bet results)</t>
        </is>
      </c>
    </row>
    <row r="11" ht="14.25" customHeight="1">
      <c r="A11" s="3" t="inlineStr">
        <is>
          <t xml:space="preserve">  Black text      = formulas -- don't type over these, they recalculate from the blue cells</t>
        </is>
      </c>
    </row>
    <row r="12" ht="14.25" customHeight="1">
      <c r="A12" s="3" t="inlineStr">
        <is>
          <t xml:space="preserve">  Yellow fill     = key assumptions on the Settings tab (edit these once, not weekly)</t>
        </is>
      </c>
    </row>
    <row r="13" ht="14.25" customHeight="1">
      <c r="A13" s="3" t="n"/>
    </row>
    <row r="14" ht="14.25" customHeight="1">
      <c r="A14" s="4" t="inlineStr">
        <is>
          <t>Tabs</t>
        </is>
      </c>
    </row>
    <row r="15" ht="14.25" customHeight="1">
      <c r="A15" s="3" t="inlineStr">
        <is>
          <t xml:space="preserve">  Settings        = bankroll, edge thresholds, and other assumptions used across the workbook</t>
        </is>
      </c>
    </row>
    <row r="16" ht="14.25" customHeight="1">
      <c r="A16" s="3" t="inlineStr">
        <is>
          <t xml:space="preserve">  Weekly Slate    = this week's matchups: model line vs. market line, edge, and a suggested lean</t>
        </is>
      </c>
    </row>
    <row r="17" ht="14.25" customHeight="1">
      <c r="A17" s="3" t="inlineStr">
        <is>
          <t xml:space="preserve">  Bet Log         = every bet placed -- stake, line, closing line (for CLV), result, running bankroll</t>
        </is>
      </c>
    </row>
    <row r="18" ht="14.25" customHeight="1">
      <c r="A18" s="3" t="inlineStr">
        <is>
          <t xml:space="preserve">  Team Profiles   = one row per 2026 Mountain West team, pre-filled with conference history;</t>
        </is>
      </c>
    </row>
    <row r="19" ht="14.25" customHeight="1">
      <c r="A19" s="3" t="inlineStr">
        <is>
          <t xml:space="preserve">                    paste in power ratings / PPA / talent rank weekly as your pipeline produces them</t>
        </is>
      </c>
    </row>
    <row r="20" ht="14.25" customHeight="1">
      <c r="A20" s="3" t="n"/>
    </row>
    <row r="21" ht="14.25" customHeight="1">
      <c r="A21" s="3" t="inlineStr">
        <is>
          <t>This is a tracking tool, not a guarantee of profit -- see the attack plan's closing note on</t>
        </is>
      </c>
    </row>
    <row r="22" ht="14.25" customHeight="1">
      <c r="A22" s="3" t="inlineStr">
        <is>
          <t>paper-trading and bankroll discipline before staking real money.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zoomScaleNormal="100" workbookViewId="0">
      <selection activeCell="B6" sqref="B6"/>
    </sheetView>
  </sheetViews>
  <sheetFormatPr baseColWidth="8" defaultColWidth="8.7265625" defaultRowHeight="14.5"/>
  <cols>
    <col width="32" customWidth="1" min="1" max="1"/>
    <col width="12" customWidth="1" min="2" max="2"/>
    <col width="70" customWidth="1" min="3" max="3"/>
  </cols>
  <sheetData>
    <row r="1" ht="18" customHeight="1">
      <c r="A1" s="1" t="inlineStr">
        <is>
          <t>Settings &amp; Assumptions</t>
        </is>
      </c>
    </row>
    <row r="3" ht="14.25" customHeight="1">
      <c r="A3" s="5" t="inlineStr">
        <is>
          <t>Assumption</t>
        </is>
      </c>
      <c r="B3" s="5" t="inlineStr">
        <is>
          <t>Value</t>
        </is>
      </c>
      <c r="C3" s="5" t="inlineStr">
        <is>
          <t>Notes</t>
        </is>
      </c>
    </row>
    <row r="4" ht="14.25" customHeight="1">
      <c r="A4" s="6" t="inlineStr">
        <is>
          <t>Starting bankroll (units)</t>
        </is>
      </c>
      <c r="B4" s="7" t="n">
        <v>50</v>
      </c>
      <c r="C4" s="2" t="inlineStr">
        <is>
          <t>Example: 100 units. 1 unit = whatever flat stake you choose in real currency.</t>
        </is>
      </c>
    </row>
    <row r="5" ht="14.25" customHeight="1">
      <c r="A5" s="6" t="inlineStr">
        <is>
          <t>Spread edge threshold (pts)</t>
        </is>
      </c>
      <c r="B5" s="7" t="n">
        <v>2</v>
      </c>
      <c r="C5" s="2" t="inlineStr">
        <is>
          <t>Minimum |model line - market line| before a spread is flagged as a lean.</t>
        </is>
      </c>
    </row>
    <row r="6" ht="14.25" customHeight="1">
      <c r="A6" s="6" t="inlineStr">
        <is>
          <t>Total edge threshold (pts)</t>
        </is>
      </c>
      <c r="B6" s="7" t="n">
        <v>2</v>
      </c>
      <c r="C6" s="2" t="inlineStr">
        <is>
          <t>Minimum |model total - market total| before a total is flagged as a lean.</t>
        </is>
      </c>
    </row>
    <row r="7" ht="14.25" customHeight="1">
      <c r="A7" s="6" t="inlineStr">
        <is>
          <t>Standard vig odds (American)</t>
        </is>
      </c>
      <c r="B7" s="7" t="n">
        <v>-110</v>
      </c>
      <c r="C7" s="2" t="inlineStr">
        <is>
          <t>Reference only -- breakeven win rate at -110 is 52.4%.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zoomScaleNormal="100" workbookViewId="0">
      <selection activeCell="K1" sqref="K1"/>
      <selection pane="bottomLeft" activeCell="B7" sqref="B7"/>
    </sheetView>
  </sheetViews>
  <sheetFormatPr baseColWidth="8" defaultColWidth="8.7265625" defaultRowHeight="14.5"/>
  <cols>
    <col width="6" customWidth="1" min="1" max="1"/>
    <col width="11" customWidth="1" min="2" max="2"/>
    <col width="20.54296875" customWidth="1" min="3" max="3"/>
    <col width="18" customWidth="1" min="4" max="4"/>
    <col width="16" customWidth="1" min="5" max="6"/>
    <col width="12.7265625" customWidth="1" min="7" max="7"/>
    <col width="7.54296875" customWidth="1" min="8" max="8"/>
    <col width="11" customWidth="1" min="9" max="10"/>
    <col width="12" customWidth="1" min="11" max="11"/>
    <col width="5.54296875" customWidth="1" min="12" max="12"/>
    <col width="14.26953125" customWidth="1" min="13" max="14"/>
    <col width="30" customWidth="1" min="15" max="15"/>
    <col width="16" customWidth="1" min="16" max="16"/>
    <col width="17" customWidth="1" min="18" max="18"/>
  </cols>
  <sheetData>
    <row r="1" ht="25.5" customHeight="1">
      <c r="A1" s="5" t="inlineStr">
        <is>
          <t>Week</t>
        </is>
      </c>
      <c r="B1" s="5" t="inlineStr">
        <is>
          <t>Date</t>
        </is>
      </c>
      <c r="C1" s="5" t="inlineStr">
        <is>
          <t>Away Team</t>
        </is>
      </c>
      <c r="D1" s="5" t="inlineStr">
        <is>
          <t>Home Team</t>
        </is>
      </c>
      <c r="E1" s="5" t="inlineStr">
        <is>
          <t>Model Line (Home)</t>
        </is>
      </c>
      <c r="F1" s="5" t="inlineStr">
        <is>
          <t>Market Line (Home)</t>
        </is>
      </c>
      <c r="G1" s="5" t="inlineStr">
        <is>
          <t>Spread Edge (pts)</t>
        </is>
      </c>
      <c r="H1" s="5" t="inlineStr">
        <is>
          <t>Spread Lean</t>
        </is>
      </c>
      <c r="I1" s="5" t="inlineStr">
        <is>
          <t>Model Total</t>
        </is>
      </c>
      <c r="J1" s="5" t="inlineStr">
        <is>
          <t>Market Total</t>
        </is>
      </c>
      <c r="K1" s="5" t="inlineStr">
        <is>
          <t>Total Edge (pts)</t>
        </is>
      </c>
      <c r="L1" s="5" t="inlineStr">
        <is>
          <t>Total Lean</t>
        </is>
      </c>
      <c r="M1" s="5" t="inlineStr">
        <is>
          <t>Suggested Bet (Spread)</t>
        </is>
      </c>
      <c r="N1" s="5" t="inlineStr">
        <is>
          <t>Suggested Bet (Total)</t>
        </is>
      </c>
      <c r="O1" s="5" t="inlineStr">
        <is>
          <t>Qualitative Notes</t>
        </is>
      </c>
      <c r="P1" s="5" t="inlineStr">
        <is>
          <t>Final Decision</t>
        </is>
      </c>
      <c r="R1" s="8" t="inlineStr">
        <is>
          <t>MW WEST Teams</t>
        </is>
      </c>
    </row>
    <row r="2" ht="14.25" customHeight="1">
      <c r="A2" t="n">
        <v>5</v>
      </c>
      <c r="B2" t="inlineStr">
        <is>
          <t>2026-10-03</t>
        </is>
      </c>
      <c r="C2" t="inlineStr">
        <is>
          <t>Navy</t>
        </is>
      </c>
      <c r="D2" t="inlineStr">
        <is>
          <t>Air Force</t>
        </is>
      </c>
      <c r="E2" t="n">
        <v>3.2</v>
      </c>
      <c r="F2" t="n">
        <v>-3.2</v>
      </c>
      <c r="G2" s="6">
        <f>F2-E2</f>
        <v/>
      </c>
      <c r="H2" s="6">
        <f>IF(G2=0,"Pick'em",IF(G2&gt;0,"Home","Away"))</f>
        <v/>
      </c>
      <c r="I2" t="n">
        <v>54.9</v>
      </c>
      <c r="J2" t="n">
        <v>45.5</v>
      </c>
      <c r="K2" s="6">
        <f>I2-J2</f>
        <v/>
      </c>
      <c r="L2" s="6">
        <f>IF(K2=0,"Push",IF(K2&gt;0,"Over","Under"))</f>
        <v/>
      </c>
      <c r="M2" s="6">
        <f>IF(ABS(G2)&gt;=Settings!$B$5,H2,IF(F2=0,"Pick'em",IF(F2&lt;0,"Home (auto)","Away (auto)")))</f>
        <v/>
      </c>
      <c r="N2" s="6">
        <f>IF(ABS(K2)&gt;=Settings!$B$6,L2,IF(K2=0,"Push",L2&amp;" (auto)"))</f>
        <v/>
      </c>
      <c r="O2" s="9" t="n"/>
      <c r="P2" s="9" t="n"/>
    </row>
    <row r="3" ht="14.25" customHeight="1">
      <c r="A3" t="n">
        <v>5</v>
      </c>
      <c r="B3" t="inlineStr">
        <is>
          <t>2026-10-03</t>
        </is>
      </c>
      <c r="C3" t="inlineStr">
        <is>
          <t>Wyoming</t>
        </is>
      </c>
      <c r="D3" t="inlineStr">
        <is>
          <t>North Dakota State</t>
        </is>
      </c>
      <c r="E3" t="n">
        <v>-30.3</v>
      </c>
      <c r="F3" t="n">
        <v>-17.2</v>
      </c>
      <c r="G3" s="6">
        <f>F3-E3</f>
        <v/>
      </c>
      <c r="H3" s="6">
        <f>IF(G3=0,"Pick'em",IF(G3&gt;0,"Home","Away"))</f>
        <v/>
      </c>
      <c r="I3" t="n">
        <v>46.8</v>
      </c>
      <c r="J3" t="n">
        <v>44.5</v>
      </c>
      <c r="K3" s="6">
        <f>I3-J3</f>
        <v/>
      </c>
      <c r="L3" s="6">
        <f>IF(K3=0,"Push",IF(K3&gt;0,"Over","Under"))</f>
        <v/>
      </c>
      <c r="M3" s="6">
        <f>IF(ABS(G3)&gt;=Settings!$B$5,H3,IF(F3=0,"Pick'em",IF(F3&lt;0,"Home (auto)","Away (auto)")))</f>
        <v/>
      </c>
      <c r="N3" s="6">
        <f>IF(ABS(K3)&gt;=Settings!$B$6,L3,IF(K3=0,"Push",L3&amp;" (auto)"))</f>
        <v/>
      </c>
    </row>
    <row r="4" ht="14.25" customHeight="1">
      <c r="A4" t="n">
        <v>5</v>
      </c>
      <c r="B4" t="inlineStr">
        <is>
          <t>2026-10-03</t>
        </is>
      </c>
      <c r="C4" t="inlineStr">
        <is>
          <t>California</t>
        </is>
      </c>
      <c r="D4" t="inlineStr">
        <is>
          <t>UNLV</t>
        </is>
      </c>
      <c r="E4" t="n">
        <v>-5.3</v>
      </c>
      <c r="F4" t="n">
        <v>-2.8</v>
      </c>
      <c r="G4" s="6">
        <f>F4-E4</f>
        <v/>
      </c>
      <c r="H4" s="6">
        <f>IF(G4=0,"Pick'em",IF(G4&gt;0,"Home","Away"))</f>
        <v/>
      </c>
      <c r="I4" t="n">
        <v>45.5</v>
      </c>
      <c r="J4" t="n">
        <v>53.5</v>
      </c>
      <c r="K4" s="6">
        <f>I4-J4</f>
        <v/>
      </c>
      <c r="L4" s="6">
        <f>IF(K4=0,"Push",IF(K4&gt;0,"Over","Under"))</f>
        <v/>
      </c>
      <c r="M4" s="6">
        <f>IF(ABS(G4)&gt;=Settings!$B$5,H4,IF(F4=0,"Pick'em",IF(F4&lt;0,"Home (auto)","Away (auto)")))</f>
        <v/>
      </c>
      <c r="N4" s="6">
        <f>IF(ABS(K4)&gt;=Settings!$B$6,L4,IF(K4=0,"Push",L4&amp;" (auto)"))</f>
        <v/>
      </c>
    </row>
    <row r="5" ht="14.25" customHeight="1">
      <c r="A5" t="n">
        <v>5</v>
      </c>
      <c r="B5" t="inlineStr">
        <is>
          <t>2026-10-03</t>
        </is>
      </c>
      <c r="C5" t="inlineStr">
        <is>
          <t>UTEP</t>
        </is>
      </c>
      <c r="D5" t="inlineStr">
        <is>
          <t>New Mexico</t>
        </is>
      </c>
      <c r="E5" t="n">
        <v>-31.8</v>
      </c>
      <c r="F5" t="n">
        <v>-22.5</v>
      </c>
      <c r="G5" s="6">
        <f>F5-E5</f>
        <v/>
      </c>
      <c r="H5" s="6">
        <f>IF(G5=0,"Pick'em",IF(G5&gt;0,"Home","Away"))</f>
        <v/>
      </c>
      <c r="I5" t="n">
        <v>43.7</v>
      </c>
      <c r="J5" t="n">
        <v>47.8</v>
      </c>
      <c r="K5" s="6">
        <f>I5-J5</f>
        <v/>
      </c>
      <c r="L5" s="6">
        <f>IF(K5=0,"Push",IF(K5&gt;0,"Over","Under"))</f>
        <v/>
      </c>
      <c r="M5" s="6">
        <f>IF(ABS(G5)&gt;=Settings!$B$5,H5,IF(F5=0,"Pick'em",IF(F5&lt;0,"Home (auto)","Away (auto)")))</f>
        <v/>
      </c>
      <c r="N5" s="6">
        <f>IF(ABS(K5)&gt;=Settings!$B$6,L5,IF(K5=0,"Push",L5&amp;" (auto)"))</f>
        <v/>
      </c>
      <c r="R5" s="6" t="inlineStr">
        <is>
          <t>Air Force</t>
        </is>
      </c>
    </row>
    <row r="6" ht="14.25" customHeight="1">
      <c r="A6" t="n">
        <v>5</v>
      </c>
      <c r="B6" t="inlineStr">
        <is>
          <t>2026-10-04</t>
        </is>
      </c>
      <c r="C6" t="inlineStr">
        <is>
          <t>San José State</t>
        </is>
      </c>
      <c r="D6" t="inlineStr">
        <is>
          <t>Hawai'i</t>
        </is>
      </c>
      <c r="E6" t="n">
        <v>-6.8</v>
      </c>
      <c r="F6" t="n">
        <v>-3</v>
      </c>
      <c r="G6" s="6">
        <f>F6-E6</f>
        <v/>
      </c>
      <c r="H6" s="6">
        <f>IF(G6=0,"Pick'em",IF(G6&gt;0,"Home","Away"))</f>
        <v/>
      </c>
      <c r="I6" t="n">
        <v>48.5</v>
      </c>
      <c r="J6" t="n">
        <v>50.5</v>
      </c>
      <c r="K6" s="6">
        <f>I6-J6</f>
        <v/>
      </c>
      <c r="L6" s="6">
        <f>IF(K6=0,"Push",IF(K6&gt;0,"Over","Under"))</f>
        <v/>
      </c>
      <c r="M6" s="6">
        <f>IF(ABS(G6)&gt;=Settings!$B$5,H6,IF(F6=0,"Pick'em",IF(F6&lt;0,"Home (auto)","Away (auto)")))</f>
        <v/>
      </c>
      <c r="N6" s="6">
        <f>IF(ABS(K6)&gt;=Settings!$B$6,L6,IF(K6=0,"Push",L6&amp;" (auto)"))</f>
        <v/>
      </c>
      <c r="R6" s="6" t="inlineStr">
        <is>
          <t>Hawai'i</t>
        </is>
      </c>
    </row>
    <row r="7" ht="14.25" customHeight="1">
      <c r="A7" s="10" t="n"/>
      <c r="C7" s="10" t="n"/>
      <c r="D7" s="10" t="n"/>
      <c r="E7" s="10" t="n"/>
      <c r="F7" s="10" t="n"/>
      <c r="G7" s="10">
        <f>F7-E7</f>
        <v/>
      </c>
      <c r="H7" s="10">
        <f>IF(G7=0,"Pick'em",IF(G7&gt;0,"Home","Away"))</f>
        <v/>
      </c>
      <c r="I7" s="10" t="n"/>
      <c r="J7" s="10" t="n"/>
      <c r="K7" s="10">
        <f>I7-J7</f>
        <v/>
      </c>
      <c r="L7" s="10">
        <f>IF(K7=0,"Push",IF(K7&gt;0,"Over","Under"))</f>
        <v/>
      </c>
      <c r="M7" s="10">
        <f>IF(ABS(G7)&gt;=Settings!$B$5,H7,IF(F7=0,"Pick'em",IF(F7&lt;0,"Home (auto)","Away (auto)")))</f>
        <v/>
      </c>
      <c r="N7" s="10">
        <f>IF(ABS(K7)&gt;=Settings!$B$6,L7,IF(K7=0,"Push",L7&amp;" (auto)"))</f>
        <v/>
      </c>
      <c r="R7" s="6" t="inlineStr">
        <is>
          <t>Nevada</t>
        </is>
      </c>
    </row>
    <row r="8" ht="14.25" customHeight="1">
      <c r="G8" s="6">
        <f>F8-E8</f>
        <v/>
      </c>
      <c r="H8" s="6">
        <f>IF(G8=0,"Pick'em",IF(G8&gt;0,"Home","Away"))</f>
        <v/>
      </c>
      <c r="K8" s="6">
        <f>I8-J8</f>
        <v/>
      </c>
      <c r="L8" s="6">
        <f>IF(K8=0,"Push",IF(K8&gt;0,"Over","Under"))</f>
        <v/>
      </c>
      <c r="M8" s="6">
        <f>IF(ABS(G8)&gt;=Settings!$B$5,H8,IF(F8=0,"Pick'em",IF(F8&lt;0,"Home (auto)","Away (auto)")))</f>
        <v/>
      </c>
      <c r="N8" s="6">
        <f>IF(ABS(K8)&gt;=Settings!$B$6,L8,IF(K8=0,"Push",L8&amp;" (auto)"))</f>
        <v/>
      </c>
      <c r="R8" s="6" t="inlineStr">
        <is>
          <t>New Mexico</t>
        </is>
      </c>
    </row>
    <row r="9" ht="14.25" customHeight="1">
      <c r="G9" s="6">
        <f>F9-E9</f>
        <v/>
      </c>
      <c r="H9" s="6">
        <f>IF(G9=0,"Pick'em",IF(G9&gt;0,"Home","Away"))</f>
        <v/>
      </c>
      <c r="K9" s="6">
        <f>I9-J9</f>
        <v/>
      </c>
      <c r="L9" s="6">
        <f>IF(K9=0,"Push",IF(K9&gt;0,"Over","Under"))</f>
        <v/>
      </c>
      <c r="M9" s="6">
        <f>IF(ABS(G9)&gt;=Settings!$B$5,H9,IF(F9=0,"Pick'em",IF(F9&lt;0,"Home (auto)","Away (auto)")))</f>
        <v/>
      </c>
      <c r="N9" s="6">
        <f>IF(ABS(K9)&gt;=Settings!$B$6,L9,IF(K9=0,"Push",L9&amp;" (auto)"))</f>
        <v/>
      </c>
      <c r="R9" s="6" t="inlineStr">
        <is>
          <t>North Dakota State</t>
        </is>
      </c>
    </row>
    <row r="10" ht="14.25" customHeight="1">
      <c r="G10" s="6">
        <f>F10-E10</f>
        <v/>
      </c>
      <c r="H10" s="6">
        <f>IF(G10=0,"Pick'em",IF(G10&gt;0,"Home","Away"))</f>
        <v/>
      </c>
      <c r="K10" s="6">
        <f>I10-J10</f>
        <v/>
      </c>
      <c r="L10" s="6">
        <f>IF(K10=0,"Push",IF(K10&gt;0,"Over","Under"))</f>
        <v/>
      </c>
      <c r="M10" s="6">
        <f>IF(ABS(G10)&gt;=Settings!$B$5,H10,IF(F10=0,"Pick'em",IF(F10&lt;0,"Home (auto)","Away (auto)")))</f>
        <v/>
      </c>
      <c r="N10" s="6">
        <f>IF(ABS(K10)&gt;=Settings!$B$6,L10,IF(K10=0,"Push",L10&amp;" (auto)"))</f>
        <v/>
      </c>
      <c r="R10" s="6" t="inlineStr">
        <is>
          <t>Northern Illinois</t>
        </is>
      </c>
    </row>
    <row r="11" ht="14.25" customHeight="1">
      <c r="G11" s="6">
        <f>F11-E11</f>
        <v/>
      </c>
      <c r="H11" s="6">
        <f>IF(G11=0,"Pick'em",IF(G11&gt;0,"Home","Away"))</f>
        <v/>
      </c>
      <c r="K11" s="6">
        <f>I11-J11</f>
        <v/>
      </c>
      <c r="L11" s="6">
        <f>IF(K11=0,"Push",IF(K11&gt;0,"Over","Under"))</f>
        <v/>
      </c>
      <c r="M11" s="6">
        <f>IF(ABS(G11)&gt;=Settings!$B$5,H11,IF(F11=0,"Pick'em",IF(F11&lt;0,"Home (auto)","Away (auto)")))</f>
        <v/>
      </c>
      <c r="N11" s="6">
        <f>IF(ABS(K11)&gt;=Settings!$B$6,L11,IF(K11=0,"Push",L11&amp;" (auto)"))</f>
        <v/>
      </c>
      <c r="R11" s="6" t="inlineStr">
        <is>
          <t>San José State</t>
        </is>
      </c>
    </row>
    <row r="12" ht="14.25" customHeight="1">
      <c r="G12" s="6">
        <f>F12-E12</f>
        <v/>
      </c>
      <c r="H12" s="6">
        <f>IF(G12=0,"Pick'em",IF(G12&gt;0,"Home","Away"))</f>
        <v/>
      </c>
      <c r="K12" s="6">
        <f>I12-J12</f>
        <v/>
      </c>
      <c r="L12" s="6">
        <f>IF(K12=0,"Push",IF(K12&gt;0,"Over","Under"))</f>
        <v/>
      </c>
      <c r="M12" s="6">
        <f>IF(ABS(G12)&gt;=Settings!$B$5,H12,IF(F12=0,"Pick'em",IF(F12&lt;0,"Home (auto)","Away (auto)")))</f>
        <v/>
      </c>
      <c r="N12" s="6">
        <f>IF(ABS(K12)&gt;=Settings!$B$6,L12,IF(K12=0,"Push",L12&amp;" (auto)"))</f>
        <v/>
      </c>
      <c r="R12" s="6" t="inlineStr">
        <is>
          <t>UNLV</t>
        </is>
      </c>
    </row>
    <row r="13" ht="14.25" customHeight="1">
      <c r="G13" s="6">
        <f>F13-E13</f>
        <v/>
      </c>
      <c r="H13" s="6">
        <f>IF(G13=0,"Pick'em",IF(G13&gt;0,"Home","Away"))</f>
        <v/>
      </c>
      <c r="K13" s="6">
        <f>I13-J13</f>
        <v/>
      </c>
      <c r="L13" s="6">
        <f>IF(K13=0,"Push",IF(K13&gt;0,"Over","Under"))</f>
        <v/>
      </c>
      <c r="M13" s="6">
        <f>IF(ABS(G13)&gt;=Settings!$B$5,H13,IF(F13=0,"Pick'em",IF(F13&lt;0,"Home (auto)","Away (auto)")))</f>
        <v/>
      </c>
      <c r="N13" s="6">
        <f>IF(ABS(K13)&gt;=Settings!$B$6,L13,IF(K13=0,"Push",L13&amp;" (auto)"))</f>
        <v/>
      </c>
    </row>
    <row r="14" ht="14.25" customHeight="1">
      <c r="G14" s="6">
        <f>F14-E14</f>
        <v/>
      </c>
      <c r="H14" s="6">
        <f>IF(G14=0,"Pick'em",IF(G14&gt;0,"Home","Away"))</f>
        <v/>
      </c>
      <c r="K14" s="6">
        <f>I14-J14</f>
        <v/>
      </c>
      <c r="L14" s="6">
        <f>IF(K14=0,"Push",IF(K14&gt;0,"Over","Under"))</f>
        <v/>
      </c>
      <c r="M14" s="6">
        <f>IF(ABS(G14)&gt;=Settings!$B$5,H14,IF(F14=0,"Pick'em",IF(F14&lt;0,"Home (auto)","Away (auto)")))</f>
        <v/>
      </c>
      <c r="N14" s="6">
        <f>IF(ABS(K14)&gt;=Settings!$B$6,L14,IF(K14=0,"Push",L14&amp;" (auto)"))</f>
        <v/>
      </c>
    </row>
    <row r="15" ht="14.25" customHeight="1">
      <c r="G15" s="6" t="n"/>
      <c r="H15" s="6" t="n"/>
      <c r="K15" s="6" t="n"/>
      <c r="L15" s="6" t="n"/>
      <c r="M15" s="6" t="n"/>
      <c r="N15" s="6" t="n"/>
    </row>
    <row r="16" ht="14.25" customHeight="1">
      <c r="G16" s="6" t="n"/>
      <c r="H16" s="6" t="n"/>
      <c r="K16" s="6" t="n"/>
      <c r="L16" s="6" t="n"/>
      <c r="M16" s="6" t="n"/>
      <c r="N16" s="6" t="n"/>
    </row>
    <row r="17" ht="14.25" customHeight="1">
      <c r="G17" s="6" t="n"/>
      <c r="H17" s="6" t="n"/>
      <c r="K17" s="6" t="n"/>
      <c r="L17" s="6" t="n"/>
      <c r="M17" s="6" t="n"/>
      <c r="N17" s="6" t="n"/>
    </row>
    <row r="18" ht="14.25" customHeight="1">
      <c r="G18" s="6" t="n"/>
      <c r="H18" s="6" t="n"/>
      <c r="K18" s="6" t="n"/>
      <c r="L18" s="6" t="n"/>
      <c r="M18" s="6" t="n"/>
      <c r="N18" s="6" t="n"/>
    </row>
    <row r="19" ht="14.25" customHeight="1">
      <c r="G19" s="6" t="n"/>
      <c r="H19" s="6" t="n"/>
      <c r="K19" s="6" t="n"/>
      <c r="L19" s="6" t="n"/>
      <c r="M19" s="6" t="n"/>
      <c r="N19" s="6" t="n"/>
    </row>
    <row r="20" ht="14.25" customHeight="1">
      <c r="G20" s="6" t="n"/>
      <c r="H20" s="6" t="n"/>
      <c r="K20" s="6" t="n"/>
      <c r="L20" s="6" t="n"/>
      <c r="M20" s="6" t="n"/>
      <c r="N20" s="6" t="n"/>
    </row>
    <row r="21" ht="14.25" customHeight="1">
      <c r="G21" s="6" t="n"/>
      <c r="H21" s="6" t="n"/>
      <c r="K21" s="6" t="n"/>
      <c r="L21" s="6" t="n"/>
      <c r="M21" s="6" t="n"/>
      <c r="N21" s="6" t="n"/>
    </row>
    <row r="22" ht="14.25" customHeight="1">
      <c r="G22" s="6" t="n"/>
      <c r="H22" s="6" t="n"/>
      <c r="K22" s="6" t="n"/>
      <c r="L22" s="6" t="n"/>
      <c r="M22" s="6" t="n"/>
      <c r="N22" s="6" t="n"/>
    </row>
    <row r="23" ht="14.25" customHeight="1">
      <c r="G23" s="6" t="n"/>
      <c r="H23" s="6" t="n"/>
      <c r="K23" s="6" t="n"/>
      <c r="L23" s="6" t="n"/>
      <c r="M23" s="6" t="n"/>
      <c r="N23" s="6" t="n"/>
    </row>
    <row r="24" ht="14.25" customHeight="1">
      <c r="G24" s="6" t="n"/>
      <c r="H24" s="6" t="n"/>
      <c r="K24" s="6" t="n"/>
      <c r="L24" s="6" t="n"/>
      <c r="M24" s="6" t="n"/>
      <c r="N24" s="6" t="n"/>
    </row>
    <row r="25" ht="14.25" customHeight="1">
      <c r="G25" s="6" t="n"/>
      <c r="H25" s="6" t="n"/>
      <c r="K25" s="6" t="n"/>
      <c r="L25" s="6" t="n"/>
      <c r="M25" s="6" t="n"/>
      <c r="N25" s="6" t="n"/>
    </row>
    <row r="26" ht="14.25" customHeight="1">
      <c r="G26" s="6" t="n"/>
      <c r="H26" s="6" t="n"/>
      <c r="K26" s="6" t="n"/>
      <c r="L26" s="6" t="n"/>
      <c r="M26" s="6" t="n"/>
      <c r="N26" s="6" t="n"/>
    </row>
    <row r="27" ht="14.25" customHeight="1">
      <c r="G27" s="6" t="n"/>
      <c r="H27" s="6" t="n"/>
      <c r="K27" s="6" t="n"/>
      <c r="L27" s="6" t="n"/>
      <c r="M27" s="6" t="n"/>
      <c r="N27" s="6" t="n"/>
    </row>
    <row r="28" ht="14.25" customHeight="1">
      <c r="G28" s="6" t="n"/>
      <c r="H28" s="6" t="n"/>
      <c r="K28" s="6" t="n"/>
      <c r="L28" s="6" t="n"/>
      <c r="M28" s="6" t="n"/>
      <c r="N28" s="6" t="n"/>
    </row>
    <row r="29" ht="14.25" customHeight="1">
      <c r="G29" s="6" t="n"/>
      <c r="H29" s="6" t="n"/>
      <c r="K29" s="6" t="n"/>
      <c r="L29" s="6" t="n"/>
      <c r="M29" s="6" t="n"/>
      <c r="N29" s="6" t="n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</sheetData>
  <conditionalFormatting sqref="C2:C500">
    <cfRule type="expression" priority="2" dxfId="0">
      <formula>AND(OR($G2&lt;=-7,$G2&gt;=7),$H2="Away")</formula>
    </cfRule>
  </conditionalFormatting>
  <conditionalFormatting sqref="D2:D500">
    <cfRule type="expression" priority="3" dxfId="0">
      <formula>AND(OR($G2&lt;=-7,$G2&gt;=7),$H2="Home")</formula>
    </cfRule>
  </conditionalFormatting>
  <conditionalFormatting sqref="E2:F500">
    <cfRule type="expression" priority="4" dxfId="0">
      <formula>OR($G2&lt;=-7,$G2&gt;=7)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3"/>
  <sheetViews>
    <sheetView showGridLines="0" topLeftCell="C1" zoomScaleNormal="100" workbookViewId="0">
      <selection pane="bottomLeft" activeCell="H63" sqref="H63"/>
    </sheetView>
  </sheetViews>
  <sheetFormatPr baseColWidth="8" defaultColWidth="8.7265625" defaultRowHeight="14.5"/>
  <cols>
    <col width="11" customWidth="1" min="1" max="1"/>
    <col width="6" customWidth="1" min="2" max="2"/>
    <col width="37.453125" customWidth="1" min="3" max="3"/>
    <col width="10" customWidth="1" min="4" max="4"/>
    <col width="22.26953125" customWidth="1" min="5" max="5"/>
    <col width="11" customWidth="1" min="6" max="6"/>
    <col width="14" customWidth="1" min="7" max="7"/>
    <col width="12" customWidth="1" min="8" max="9"/>
    <col width="10" customWidth="1" min="10" max="10"/>
    <col width="9" customWidth="1" min="11" max="11"/>
    <col width="14" customWidth="1" min="12" max="12"/>
    <col width="15" customWidth="1" min="13" max="13"/>
  </cols>
  <sheetData>
    <row r="1" ht="25.5" customHeight="1">
      <c r="A1" s="5" t="inlineStr">
        <is>
          <t>Date</t>
        </is>
      </c>
      <c r="B1" s="5" t="inlineStr">
        <is>
          <t>Week</t>
        </is>
      </c>
      <c r="C1" s="5" t="inlineStr">
        <is>
          <t>Matchup</t>
        </is>
      </c>
      <c r="D1" s="5" t="inlineStr">
        <is>
          <t>Bet Type</t>
        </is>
      </c>
      <c r="E1" s="5" t="inlineStr">
        <is>
          <t>Side</t>
        </is>
      </c>
      <c r="F1" s="5" t="inlineStr">
        <is>
          <t>Line Taken</t>
        </is>
      </c>
      <c r="G1" s="5" t="inlineStr">
        <is>
          <t>Odds (American)</t>
        </is>
      </c>
      <c r="H1" s="5" t="inlineStr">
        <is>
          <t>Stake (units)</t>
        </is>
      </c>
      <c r="I1" s="5" t="inlineStr">
        <is>
          <t>Closing Line</t>
        </is>
      </c>
      <c r="J1" s="5" t="inlineStr">
        <is>
          <t>CLV (pts)</t>
        </is>
      </c>
      <c r="K1" s="5" t="inlineStr">
        <is>
          <t>Result</t>
        </is>
      </c>
      <c r="L1" s="5" t="inlineStr">
        <is>
          <t>Units Won/Lost</t>
        </is>
      </c>
      <c r="M1" s="5" t="inlineStr">
        <is>
          <t>Running Bankroll</t>
        </is>
      </c>
    </row>
    <row r="2" ht="14.25" customHeight="1">
      <c r="A2" t="inlineStr">
        <is>
          <t>2026-08-29</t>
        </is>
      </c>
      <c r="B2" t="n">
        <v>1</v>
      </c>
      <c r="C2" t="inlineStr">
        <is>
          <t>Jacksonville State @ North Dakota State</t>
        </is>
      </c>
      <c r="D2" t="inlineStr">
        <is>
          <t>Spread</t>
        </is>
      </c>
      <c r="E2" t="inlineStr">
        <is>
          <t>North Dakota State</t>
        </is>
      </c>
      <c r="F2" t="n">
        <v>-7.5</v>
      </c>
      <c r="G2" t="n">
        <v>100</v>
      </c>
      <c r="H2" t="n">
        <v>1</v>
      </c>
      <c r="I2" t="n">
        <v>-7</v>
      </c>
      <c r="J2" s="6">
        <f>IF(I2="","",I2-F2)</f>
        <v/>
      </c>
      <c r="K2" t="inlineStr">
        <is>
          <t>W</t>
        </is>
      </c>
      <c r="L2" s="11">
        <f>IF(K2="W",IF(G2&lt;0,H2*100/ABS(G2),H2*G2/100),IF(K2="L",-H2,0))</f>
        <v/>
      </c>
      <c r="M2" s="11">
        <f>Settings!$B$4+SUM(L$2:L2)</f>
        <v/>
      </c>
    </row>
    <row r="3" ht="14.25" customHeight="1">
      <c r="A3" t="inlineStr">
        <is>
          <t>2026-08-29</t>
        </is>
      </c>
      <c r="B3" t="n">
        <v>1</v>
      </c>
      <c r="C3" t="inlineStr">
        <is>
          <t>Jacksonville State @ North Dakota State</t>
        </is>
      </c>
      <c r="D3" t="inlineStr">
        <is>
          <t>Moneyline</t>
        </is>
      </c>
      <c r="E3" t="inlineStr">
        <is>
          <t>North Dakota State</t>
        </is>
      </c>
      <c r="G3" t="n">
        <v>-285</v>
      </c>
      <c r="H3" t="n">
        <v>5</v>
      </c>
      <c r="J3" s="6">
        <f>IF(I3="","",I3-F3)</f>
        <v/>
      </c>
      <c r="K3" t="inlineStr">
        <is>
          <t>W</t>
        </is>
      </c>
      <c r="L3" s="11">
        <f>IF(K3="W",IF(G3&lt;0,H3*100/ABS(G3),H3*G3/100),IF(K3="L",-H3,0))</f>
        <v/>
      </c>
      <c r="M3" s="11">
        <f>Settings!$B$4+SUM(L$2:L3)</f>
        <v/>
      </c>
    </row>
    <row r="4" ht="14.25" customHeight="1">
      <c r="A4" t="inlineStr">
        <is>
          <t>2026-08-29</t>
        </is>
      </c>
      <c r="B4" t="n">
        <v>1</v>
      </c>
      <c r="C4" t="inlineStr">
        <is>
          <t>Memphis @ UNLV</t>
        </is>
      </c>
      <c r="D4" t="inlineStr">
        <is>
          <t>Moneyline</t>
        </is>
      </c>
      <c r="E4" t="inlineStr">
        <is>
          <t>UNLV</t>
        </is>
      </c>
      <c r="G4" t="n">
        <v>-178</v>
      </c>
      <c r="H4" t="n">
        <v>5</v>
      </c>
      <c r="J4" s="6">
        <f>IF(I4="","",I4-F4)</f>
        <v/>
      </c>
      <c r="K4" t="inlineStr">
        <is>
          <t>L</t>
        </is>
      </c>
      <c r="L4" s="11">
        <f>IF(K4="W",IF(G4&lt;0,H4*100/ABS(G4),H4*G4/100),IF(K4="L",-H4,0))</f>
        <v/>
      </c>
      <c r="M4" s="11">
        <f>Settings!$B$4+SUM(L$2:L4)</f>
        <v/>
      </c>
    </row>
    <row r="5" ht="14.25" customHeight="1">
      <c r="A5" t="inlineStr">
        <is>
          <t>2026-08-29</t>
        </is>
      </c>
      <c r="B5" t="n">
        <v>1</v>
      </c>
      <c r="C5" t="inlineStr">
        <is>
          <t>Jacksonville State @ North Dakota State,Memphis @ UNLV</t>
        </is>
      </c>
      <c r="D5" t="inlineStr">
        <is>
          <t>ML Parlay</t>
        </is>
      </c>
      <c r="E5" t="inlineStr">
        <is>
          <t>North Dakota State / UNLV</t>
        </is>
      </c>
      <c r="G5" t="n">
        <v>110</v>
      </c>
      <c r="H5" t="n">
        <v>3</v>
      </c>
      <c r="J5" s="6">
        <f>IF(I5="","",I5-F5)</f>
        <v/>
      </c>
      <c r="K5" t="inlineStr">
        <is>
          <t>L</t>
        </is>
      </c>
      <c r="L5" s="11">
        <f>IF(K5="W",IF(G5&lt;0,H5*100/ABS(G5),H5*G5/100),IF(K5="L",-H5,0))</f>
        <v/>
      </c>
      <c r="M5" s="11">
        <f>Settings!$B$4+SUM(L$2:L5)</f>
        <v/>
      </c>
    </row>
    <row r="6" ht="14.25" customHeight="1">
      <c r="A6" t="inlineStr">
        <is>
          <t>2026-09-04</t>
        </is>
      </c>
      <c r="B6" t="n">
        <v>1</v>
      </c>
      <c r="C6" t="inlineStr">
        <is>
          <t>San José State @ Eastern Michigan</t>
        </is>
      </c>
      <c r="D6" t="inlineStr">
        <is>
          <t>Spread</t>
        </is>
      </c>
      <c r="E6" t="inlineStr">
        <is>
          <t>Eastern Michigan</t>
        </is>
      </c>
      <c r="F6" t="n">
        <v>-3.5</v>
      </c>
      <c r="G6" t="n">
        <v>-110</v>
      </c>
      <c r="H6" t="n">
        <v>2</v>
      </c>
      <c r="J6" s="6">
        <f>IF(I6="","",I6-F6)</f>
        <v/>
      </c>
      <c r="K6" t="inlineStr">
        <is>
          <t>L</t>
        </is>
      </c>
      <c r="L6" s="11">
        <f>IF(K6="W",IF(G6&lt;0,H6*100/ABS(G6),H6*G6/100),IF(K6="L",-H6,0))</f>
        <v/>
      </c>
      <c r="M6" s="11">
        <f>Settings!$B$4+SUM(L$2:L6)</f>
        <v/>
      </c>
    </row>
    <row r="7" ht="14.25" customHeight="1">
      <c r="A7" s="10" t="inlineStr">
        <is>
          <t>2026-09-05</t>
        </is>
      </c>
      <c r="B7" t="n">
        <v>1</v>
      </c>
      <c r="C7" t="inlineStr">
        <is>
          <t>San José State @ Eastern Michigan, Wyoming at Colorado State</t>
        </is>
      </c>
      <c r="D7" t="inlineStr">
        <is>
          <t>ML Parlay</t>
        </is>
      </c>
      <c r="E7" t="inlineStr">
        <is>
          <t>Eastern Michigan, Colorado State</t>
        </is>
      </c>
      <c r="G7" t="n">
        <v>149</v>
      </c>
      <c r="H7" t="n">
        <v>2</v>
      </c>
      <c r="J7" s="6">
        <f>IF(I7="","",I7-F7)</f>
        <v/>
      </c>
      <c r="K7" t="inlineStr">
        <is>
          <t>L</t>
        </is>
      </c>
      <c r="L7" s="11">
        <f>IF(K7="W",IF(G7&lt;0,H7*100/ABS(G7),H7*G7/100),IF(K7="L",-H7,0))</f>
        <v/>
      </c>
      <c r="M7" s="11">
        <f>Settings!$B$4+SUM(L$2:L7)</f>
        <v/>
      </c>
    </row>
    <row r="8" ht="14.25" customHeight="1">
      <c r="A8" s="10" t="inlineStr">
        <is>
          <t>2026-09-05</t>
        </is>
      </c>
      <c r="B8" t="n">
        <v>1</v>
      </c>
      <c r="C8" t="inlineStr">
        <is>
          <t>Wyoming @  Colorado State</t>
        </is>
      </c>
      <c r="D8" t="inlineStr">
        <is>
          <t>Spread</t>
        </is>
      </c>
      <c r="E8" t="inlineStr">
        <is>
          <t>Colorado State</t>
        </is>
      </c>
      <c r="F8" t="n">
        <v>-2.5</v>
      </c>
      <c r="G8" t="n">
        <v>-110</v>
      </c>
      <c r="H8" t="n">
        <v>2</v>
      </c>
      <c r="I8" t="n">
        <v>-3</v>
      </c>
      <c r="J8" s="6">
        <f>IF(I8="","",I8-F8)</f>
        <v/>
      </c>
      <c r="K8" t="inlineStr">
        <is>
          <t>W</t>
        </is>
      </c>
      <c r="L8" s="11">
        <f>IF(K8="W",IF(G8&lt;0,H8*100/ABS(G8),H8*G8/100),IF(K8="L",-H8,0))</f>
        <v/>
      </c>
      <c r="M8" s="11">
        <f>Settings!$B$4+SUM(L$2:L8)</f>
        <v/>
      </c>
    </row>
    <row r="9" ht="14.25" customHeight="1">
      <c r="A9" s="10" t="inlineStr">
        <is>
          <t>2026-09-05</t>
        </is>
      </c>
      <c r="B9" t="n">
        <v>1</v>
      </c>
      <c r="C9" t="inlineStr">
        <is>
          <t>Wyoming @  Colorado State</t>
        </is>
      </c>
      <c r="D9" t="inlineStr">
        <is>
          <t>Moneyline</t>
        </is>
      </c>
      <c r="E9" t="inlineStr">
        <is>
          <t>Colorado State</t>
        </is>
      </c>
      <c r="G9" t="n">
        <v>-145</v>
      </c>
      <c r="H9" t="n">
        <v>2</v>
      </c>
      <c r="J9" s="6">
        <f>IF(I9="","",I9-F9)</f>
        <v/>
      </c>
      <c r="K9" t="inlineStr">
        <is>
          <t>W</t>
        </is>
      </c>
      <c r="L9" s="11">
        <f>IF(K9="W",IF(G9&lt;0,H9*100/ABS(G9),H9*G9/100),IF(K9="L",-H9,0))</f>
        <v/>
      </c>
      <c r="M9" s="11">
        <f>Settings!$B$4+SUM(L$2:L9)</f>
        <v/>
      </c>
    </row>
    <row r="10" ht="14.25" customHeight="1">
      <c r="A10" s="10" t="inlineStr">
        <is>
          <t>2026-09-05</t>
        </is>
      </c>
      <c r="B10" t="n">
        <v>1</v>
      </c>
      <c r="C10" t="inlineStr">
        <is>
          <t>Central Michigan @ New Mexico</t>
        </is>
      </c>
      <c r="D10" t="inlineStr">
        <is>
          <t>Spread</t>
        </is>
      </c>
      <c r="E10" t="inlineStr">
        <is>
          <t>New Mexico</t>
        </is>
      </c>
      <c r="F10" t="n">
        <v>-12.5</v>
      </c>
      <c r="G10" t="n">
        <v>-110</v>
      </c>
      <c r="H10" t="n">
        <v>5</v>
      </c>
      <c r="I10" t="n">
        <v>-10</v>
      </c>
      <c r="J10" s="6">
        <f>IF(I10="","",I10-F10)</f>
        <v/>
      </c>
      <c r="K10" t="inlineStr">
        <is>
          <t>W</t>
        </is>
      </c>
      <c r="L10" s="11">
        <f>IF(K10="W",IF(G10&lt;0,H10*100/ABS(G10),H10*G10/100),IF(K10="L",-H10,0))</f>
        <v/>
      </c>
      <c r="M10" s="11">
        <f>Settings!$B$4+SUM(L$2:L10)</f>
        <v/>
      </c>
    </row>
    <row r="11" ht="14.25" customHeight="1">
      <c r="A11" s="10" t="inlineStr">
        <is>
          <t>2026-09-07</t>
        </is>
      </c>
      <c r="B11" t="n">
        <v>1</v>
      </c>
      <c r="C11" t="inlineStr">
        <is>
          <t>SMU @ Florida State</t>
        </is>
      </c>
      <c r="D11" t="inlineStr">
        <is>
          <t>Spread</t>
        </is>
      </c>
      <c r="E11" t="inlineStr">
        <is>
          <t>SMU</t>
        </is>
      </c>
      <c r="F11" t="n">
        <v>-2.5</v>
      </c>
      <c r="G11" t="n">
        <v>-122</v>
      </c>
      <c r="H11" t="n">
        <v>2</v>
      </c>
      <c r="J11" s="6">
        <f>IF(I11="","",I11-F11)</f>
        <v/>
      </c>
      <c r="K11" t="inlineStr">
        <is>
          <t>W</t>
        </is>
      </c>
      <c r="L11" s="11">
        <f>IF(K11="W",IF(G11&lt;0,H11*100/ABS(G11),H11*G11/100),IF(K11="L",-H11,0))</f>
        <v/>
      </c>
      <c r="M11" s="11">
        <f>Settings!$B$4+SUM(L$2:L11)</f>
        <v/>
      </c>
    </row>
    <row r="12" ht="14.25" customHeight="1">
      <c r="A12" s="10" t="inlineStr">
        <is>
          <t>2026-09-07</t>
        </is>
      </c>
      <c r="B12" t="n">
        <v>1</v>
      </c>
      <c r="C12" t="inlineStr">
        <is>
          <t>SMU @ Florida State</t>
        </is>
      </c>
      <c r="D12" t="inlineStr">
        <is>
          <t>Spread</t>
        </is>
      </c>
      <c r="E12" t="inlineStr">
        <is>
          <t>Florida State</t>
        </is>
      </c>
      <c r="F12" t="n">
        <v>10.5</v>
      </c>
      <c r="G12" t="n">
        <v>-118</v>
      </c>
      <c r="H12" t="n">
        <v>3</v>
      </c>
      <c r="J12" s="6">
        <f>IF(I12="","",I12-F12)</f>
        <v/>
      </c>
      <c r="K12" t="inlineStr">
        <is>
          <t>W</t>
        </is>
      </c>
      <c r="L12" s="11">
        <f>IF(K12="W",IF(G12&lt;0,H12*100/ABS(G12),H12*G12/100),IF(K12="L",-H12,0))</f>
        <v/>
      </c>
      <c r="M12" s="11">
        <f>Settings!$B$4+SUM(L$2:L12)</f>
        <v/>
      </c>
    </row>
    <row r="13" ht="14.25" customHeight="1">
      <c r="A13" s="10" t="inlineStr">
        <is>
          <t>2026-09-07</t>
        </is>
      </c>
      <c r="B13" t="n">
        <v>1</v>
      </c>
      <c r="C13" t="inlineStr">
        <is>
          <t>SMU @ Florida State</t>
        </is>
      </c>
      <c r="D13" t="inlineStr">
        <is>
          <t>Moneyline</t>
        </is>
      </c>
      <c r="E13" t="inlineStr">
        <is>
          <t>Florida State</t>
        </is>
      </c>
      <c r="G13" t="n">
        <v>265</v>
      </c>
      <c r="H13" t="n">
        <v>1</v>
      </c>
      <c r="J13" s="6">
        <f>IF(I13="","",I13-F13)</f>
        <v/>
      </c>
      <c r="K13" t="inlineStr">
        <is>
          <t>L</t>
        </is>
      </c>
      <c r="L13" s="11">
        <f>IF(K13="W",IF(G13&lt;0,H13*100/ABS(G13),H13*G13/100),IF(K13="L",-H13,0))</f>
        <v/>
      </c>
      <c r="M13" s="11">
        <f>Settings!$B$4+SUM(L$2:L13)</f>
        <v/>
      </c>
    </row>
    <row r="14" ht="14.25" customHeight="1">
      <c r="A14" s="10" t="inlineStr">
        <is>
          <t>2026-09-06</t>
        </is>
      </c>
      <c r="B14" t="n">
        <v>1</v>
      </c>
      <c r="C14" t="inlineStr">
        <is>
          <t>Louisville @ Ole Miss</t>
        </is>
      </c>
      <c r="D14" t="inlineStr">
        <is>
          <t>Spread</t>
        </is>
      </c>
      <c r="E14" t="inlineStr">
        <is>
          <t>Louisville</t>
        </is>
      </c>
      <c r="F14" t="n">
        <v>6.5</v>
      </c>
      <c r="G14" t="n">
        <v>-108</v>
      </c>
      <c r="H14" t="n">
        <v>3</v>
      </c>
      <c r="J14" s="6">
        <f>IF(I14="","",I14-F14)</f>
        <v/>
      </c>
      <c r="K14" t="inlineStr">
        <is>
          <t>W</t>
        </is>
      </c>
      <c r="L14" s="11">
        <f>IF(K14="W",IF(G14&lt;0,H14*100/ABS(G14),H14*G14/100),IF(K14="L",-H14,0))</f>
        <v/>
      </c>
      <c r="M14" s="11">
        <f>Settings!$B$4+SUM(L$2:L14)</f>
        <v/>
      </c>
    </row>
    <row r="15" ht="14.25" customHeight="1">
      <c r="A15" s="10" t="inlineStr">
        <is>
          <t>2026-09-06</t>
        </is>
      </c>
      <c r="B15" t="n">
        <v>1</v>
      </c>
      <c r="C15" t="inlineStr">
        <is>
          <t>Louisville @ Ole Miss</t>
        </is>
      </c>
      <c r="D15" t="inlineStr">
        <is>
          <t>Spread</t>
        </is>
      </c>
      <c r="E15" t="inlineStr">
        <is>
          <t>Louisville</t>
        </is>
      </c>
      <c r="F15" t="n">
        <v>7.5</v>
      </c>
      <c r="G15" t="n">
        <v>114</v>
      </c>
      <c r="H15" t="n">
        <v>3</v>
      </c>
      <c r="J15" s="6">
        <f>IF(I15="","",I15-F15)</f>
        <v/>
      </c>
      <c r="K15" t="inlineStr">
        <is>
          <t>W</t>
        </is>
      </c>
      <c r="L15" s="11">
        <f>IF(K15="W",IF(G15&lt;0,H15*100/ABS(G15),H15*G15/100),IF(K15="L",-H15,0))</f>
        <v/>
      </c>
      <c r="M15" s="11">
        <f>Settings!$B$4+SUM(L$2:L15)</f>
        <v/>
      </c>
    </row>
    <row r="16" ht="14.25" customHeight="1">
      <c r="A16" s="10" t="inlineStr">
        <is>
          <t>2026-09-06</t>
        </is>
      </c>
      <c r="B16" t="n">
        <v>1</v>
      </c>
      <c r="C16" t="inlineStr">
        <is>
          <t>Wisconsin @ Notre Dame</t>
        </is>
      </c>
      <c r="D16" t="inlineStr">
        <is>
          <t>Spread</t>
        </is>
      </c>
      <c r="E16" t="inlineStr">
        <is>
          <t>Wisconsin</t>
        </is>
      </c>
      <c r="F16" t="n">
        <v>14.5</v>
      </c>
      <c r="G16" t="n">
        <v>-132</v>
      </c>
      <c r="H16" t="n">
        <v>3</v>
      </c>
      <c r="J16" s="6">
        <f>IF(I16="","",I16-F16)</f>
        <v/>
      </c>
      <c r="K16" t="inlineStr">
        <is>
          <t>L</t>
        </is>
      </c>
      <c r="L16" s="11">
        <f>IF(K16="W",IF(G16&lt;0,H16*100/ABS(G16),H16*G16/100),IF(K16="L",-H16,0))</f>
        <v/>
      </c>
      <c r="M16" s="11">
        <f>Settings!$B$4+SUM(L$2:L16)</f>
        <v/>
      </c>
    </row>
    <row r="17" ht="14.25" customHeight="1">
      <c r="A17" s="10" t="inlineStr">
        <is>
          <t>2026-09-05</t>
        </is>
      </c>
      <c r="B17" t="n">
        <v>1</v>
      </c>
      <c r="C17" t="inlineStr">
        <is>
          <t>Clemson @ LSU</t>
        </is>
      </c>
      <c r="D17" t="inlineStr">
        <is>
          <t>Spread</t>
        </is>
      </c>
      <c r="E17" t="inlineStr">
        <is>
          <t>Clemson</t>
        </is>
      </c>
      <c r="F17" t="n">
        <v>28.5</v>
      </c>
      <c r="G17" t="n">
        <v>-138</v>
      </c>
      <c r="H17" t="n">
        <v>7.5</v>
      </c>
      <c r="J17" s="6">
        <f>IF(I17="","",I17-F17)</f>
        <v/>
      </c>
      <c r="K17" t="inlineStr">
        <is>
          <t>L</t>
        </is>
      </c>
      <c r="L17" s="11">
        <f>IF(K17="W",IF(G17&lt;0,H17*100/ABS(G17),H17*G17/100),IF(K17="L",-H17,0))</f>
        <v/>
      </c>
      <c r="M17" s="11">
        <f>Settings!$B$4+SUM(L$2:L17)</f>
        <v/>
      </c>
    </row>
    <row r="18" ht="14.25" customHeight="1">
      <c r="A18" s="10" t="inlineStr">
        <is>
          <t>2026-09-05</t>
        </is>
      </c>
      <c r="B18" t="n">
        <v>1</v>
      </c>
      <c r="C18" t="inlineStr">
        <is>
          <t>Clemson @ LSU</t>
        </is>
      </c>
      <c r="D18" t="inlineStr">
        <is>
          <t>Spread</t>
        </is>
      </c>
      <c r="E18" t="inlineStr">
        <is>
          <t>Clemson</t>
        </is>
      </c>
      <c r="F18" t="n">
        <v>10.5</v>
      </c>
      <c r="G18" t="n">
        <v>-118</v>
      </c>
      <c r="H18" t="n">
        <v>2.5</v>
      </c>
      <c r="J18" s="6">
        <f>IF(I18="","",I18-F18)</f>
        <v/>
      </c>
      <c r="K18" t="inlineStr">
        <is>
          <t>L</t>
        </is>
      </c>
      <c r="L18" s="11">
        <f>IF(K18="W",IF(G18&lt;0,H18*100/ABS(G18),H18*G18/100),IF(K18="L",-H18,0))</f>
        <v/>
      </c>
      <c r="M18" s="11">
        <f>Settings!$B$4+SUM(L$2:L18)</f>
        <v/>
      </c>
    </row>
    <row r="19" ht="14.25" customHeight="1">
      <c r="A19" s="10" t="inlineStr">
        <is>
          <t>2026-09-05</t>
        </is>
      </c>
      <c r="B19" t="n">
        <v>1</v>
      </c>
      <c r="C19" t="inlineStr">
        <is>
          <t>Western Michigan @ Michigan</t>
        </is>
      </c>
      <c r="D19" t="inlineStr">
        <is>
          <t>Moneyline</t>
        </is>
      </c>
      <c r="E19" t="inlineStr">
        <is>
          <t>Michigan</t>
        </is>
      </c>
      <c r="G19" t="n">
        <v>146</v>
      </c>
      <c r="H19" t="n">
        <v>11.5</v>
      </c>
      <c r="J19" s="6">
        <f>IF(I19="","",I19-F19)</f>
        <v/>
      </c>
      <c r="K19" t="inlineStr">
        <is>
          <t>W</t>
        </is>
      </c>
      <c r="L19" s="11">
        <f>IF(K19="W",IF(G19&lt;0,H19*100/ABS(G19),H19*G19/100),IF(K19="L",-H19,0))</f>
        <v/>
      </c>
      <c r="M19" s="11">
        <f>Settings!$B$4+SUM(L$2:L19)</f>
        <v/>
      </c>
    </row>
    <row r="20" ht="14.25" customHeight="1">
      <c r="A20" s="10" t="inlineStr">
        <is>
          <t>2026-09-05</t>
        </is>
      </c>
      <c r="B20" t="n">
        <v>1</v>
      </c>
      <c r="C20" t="inlineStr">
        <is>
          <t>Boise State @ Oregon</t>
        </is>
      </c>
      <c r="D20" t="inlineStr">
        <is>
          <t>Spread</t>
        </is>
      </c>
      <c r="E20" t="inlineStr">
        <is>
          <t>Boise State</t>
        </is>
      </c>
      <c r="F20" t="n">
        <v>6.5</v>
      </c>
      <c r="G20" t="n">
        <v>108</v>
      </c>
      <c r="H20" t="n">
        <v>3</v>
      </c>
      <c r="J20" s="6">
        <f>IF(I20="","",I20-F20)</f>
        <v/>
      </c>
      <c r="K20" t="inlineStr">
        <is>
          <t>L</t>
        </is>
      </c>
      <c r="L20" s="11">
        <f>IF(K20="W",IF(G20&lt;0,H20*100/ABS(G20),H20*G20/100),IF(K20="L",-H20,0))</f>
        <v/>
      </c>
      <c r="M20" s="11">
        <f>Settings!$B$4+SUM(L$2:L20)</f>
        <v/>
      </c>
    </row>
    <row r="21" ht="14.25" customHeight="1">
      <c r="A21" s="10" t="inlineStr">
        <is>
          <t>2026-09-05</t>
        </is>
      </c>
      <c r="B21" t="n">
        <v>1</v>
      </c>
      <c r="C21" t="inlineStr">
        <is>
          <t>Tarleton State @ Bowling Green</t>
        </is>
      </c>
      <c r="D21" t="inlineStr">
        <is>
          <t>Moneyline</t>
        </is>
      </c>
      <c r="E21" t="inlineStr">
        <is>
          <t>Bowling Green</t>
        </is>
      </c>
      <c r="G21" t="n">
        <v>200</v>
      </c>
      <c r="H21" t="n">
        <v>3</v>
      </c>
      <c r="J21" s="6">
        <f>IF(I21="","",I21-F21)</f>
        <v/>
      </c>
      <c r="K21" t="inlineStr">
        <is>
          <t>L</t>
        </is>
      </c>
      <c r="L21" s="11">
        <f>IF(K21="W",IF(G21&lt;0,H21*100/ABS(G21),H21*G21/100),IF(K21="L",-H21,0))</f>
        <v/>
      </c>
      <c r="M21" s="11">
        <f>Settings!$B$4+SUM(L$2:L21)</f>
        <v/>
      </c>
    </row>
    <row r="22" ht="14.25" customHeight="1">
      <c r="A22" t="inlineStr">
        <is>
          <t>2026-09-04</t>
        </is>
      </c>
      <c r="B22" t="n">
        <v>1</v>
      </c>
      <c r="C22" t="inlineStr">
        <is>
          <t>Miami @ Stanford</t>
        </is>
      </c>
      <c r="D22" t="inlineStr">
        <is>
          <t>Spread</t>
        </is>
      </c>
      <c r="E22" t="inlineStr">
        <is>
          <t>Miami</t>
        </is>
      </c>
      <c r="F22" t="n">
        <v>-36.5</v>
      </c>
      <c r="G22" t="n">
        <v>100</v>
      </c>
      <c r="H22" t="n">
        <v>2.5</v>
      </c>
      <c r="J22" s="6">
        <f>IF(I22="","",I22-F22)</f>
        <v/>
      </c>
      <c r="K22" t="inlineStr">
        <is>
          <t>W</t>
        </is>
      </c>
      <c r="L22" s="11">
        <f>IF(K22="W",IF(G22&lt;0,H22*100/ABS(G22),H22*G22/100),IF(K22="L",-H22,0))</f>
        <v/>
      </c>
      <c r="M22" s="11">
        <f>Settings!$B$4+SUM(L$2:L22)</f>
        <v/>
      </c>
    </row>
    <row r="23" ht="14.25" customHeight="1">
      <c r="A23" t="inlineStr">
        <is>
          <t>2026-09-04</t>
        </is>
      </c>
      <c r="B23" t="n">
        <v>1</v>
      </c>
      <c r="C23" t="inlineStr">
        <is>
          <t>Fresno State @ USC</t>
        </is>
      </c>
      <c r="D23" t="inlineStr">
        <is>
          <t>Total</t>
        </is>
      </c>
      <c r="F23" t="n">
        <v>39.5</v>
      </c>
      <c r="G23" t="n">
        <v>-102</v>
      </c>
      <c r="H23" t="n">
        <v>5</v>
      </c>
      <c r="J23" s="6">
        <f>IF(I23="","",I23-F23)</f>
        <v/>
      </c>
      <c r="K23" t="inlineStr">
        <is>
          <t>L</t>
        </is>
      </c>
      <c r="L23" s="11">
        <f>IF(K23="W",IF(G23&lt;0,H23*100/ABS(G23),H23*G23/100),IF(K23="L",-H23,0))</f>
        <v/>
      </c>
      <c r="M23" s="11">
        <f>Settings!$B$4+SUM(L$2:L23)</f>
        <v/>
      </c>
    </row>
    <row r="24" ht="14.25" customHeight="1">
      <c r="A24" t="inlineStr">
        <is>
          <t>2026-09-04</t>
        </is>
      </c>
      <c r="B24" t="n">
        <v>1</v>
      </c>
      <c r="C24" t="inlineStr">
        <is>
          <t>Toledo @ MSU</t>
        </is>
      </c>
      <c r="D24" t="inlineStr">
        <is>
          <t>Spread</t>
        </is>
      </c>
      <c r="E24" t="inlineStr">
        <is>
          <t>Michigan</t>
        </is>
      </c>
      <c r="F24" t="n">
        <v>-12.5</v>
      </c>
      <c r="G24" t="n">
        <v>-114</v>
      </c>
      <c r="H24" t="n">
        <v>3.5</v>
      </c>
      <c r="J24" s="6">
        <f>IF(I24="","",I24-F24)</f>
        <v/>
      </c>
      <c r="K24" t="inlineStr">
        <is>
          <t>L</t>
        </is>
      </c>
      <c r="L24" s="11">
        <f>IF(K24="W",IF(G24&lt;0,H24*100/ABS(G24),H24*G24/100),IF(K24="L",-H24,0))</f>
        <v/>
      </c>
      <c r="M24" s="11">
        <f>Settings!$B$4+SUM(L$2:L24)</f>
        <v/>
      </c>
    </row>
    <row r="25" ht="14.25" customHeight="1">
      <c r="A25" t="inlineStr">
        <is>
          <t>2026-09-04</t>
        </is>
      </c>
      <c r="B25" t="n">
        <v>1</v>
      </c>
      <c r="C25" t="inlineStr">
        <is>
          <t>UTEP @ Oklahoma</t>
        </is>
      </c>
      <c r="D25" t="inlineStr">
        <is>
          <t>Total</t>
        </is>
      </c>
      <c r="F25" t="n">
        <v>51.5</v>
      </c>
      <c r="G25" t="n">
        <v>-128</v>
      </c>
      <c r="H25" t="n">
        <v>2.5</v>
      </c>
      <c r="J25" s="6">
        <f>IF(I25="","",I25-F25)</f>
        <v/>
      </c>
      <c r="K25" t="inlineStr">
        <is>
          <t>L</t>
        </is>
      </c>
      <c r="L25" s="11">
        <f>IF(K25="W",IF(G25&lt;0,H25*100/ABS(G25),H25*G25/100),IF(K25="L",-H25,0))</f>
        <v/>
      </c>
      <c r="M25" s="11">
        <f>Settings!$B$4+SUM(L$2:L25)</f>
        <v/>
      </c>
    </row>
    <row r="26" ht="14.25" customHeight="1">
      <c r="A26" t="inlineStr">
        <is>
          <t>2026-09-04</t>
        </is>
      </c>
      <c r="B26" t="n">
        <v>1</v>
      </c>
      <c r="C26" t="inlineStr">
        <is>
          <t>San Jose State @ Eastern Michigan</t>
        </is>
      </c>
      <c r="D26" t="inlineStr">
        <is>
          <t>Moneyline</t>
        </is>
      </c>
      <c r="E26" t="inlineStr">
        <is>
          <t>Eastern Michigan</t>
        </is>
      </c>
      <c r="G26" t="n">
        <v>-146</v>
      </c>
      <c r="H26" t="n">
        <v>2</v>
      </c>
      <c r="J26" s="6">
        <f>IF(I26="","",I26-F26)</f>
        <v/>
      </c>
      <c r="K26" t="inlineStr">
        <is>
          <t>L</t>
        </is>
      </c>
      <c r="L26" s="11">
        <f>IF(K26="W",IF(G26&lt;0,H26*100/ABS(G26),H26*G26/100),IF(K26="L",-H26,0))</f>
        <v/>
      </c>
      <c r="M26" s="11">
        <f>Settings!$B$4+SUM(L$2:L26)</f>
        <v/>
      </c>
    </row>
    <row r="27" ht="14.25" customHeight="1">
      <c r="A27" t="inlineStr">
        <is>
          <t>2026-09-04</t>
        </is>
      </c>
      <c r="B27" t="n">
        <v>1</v>
      </c>
      <c r="C27" t="inlineStr">
        <is>
          <t>UAB @ Illinois</t>
        </is>
      </c>
      <c r="D27" t="inlineStr">
        <is>
          <t>Spread</t>
        </is>
      </c>
      <c r="E27" t="inlineStr">
        <is>
          <t>UAB</t>
        </is>
      </c>
      <c r="F27" t="n">
        <v>17.5</v>
      </c>
      <c r="G27" t="n">
        <v>-106</v>
      </c>
      <c r="H27" t="n">
        <v>2.75</v>
      </c>
      <c r="J27" s="6">
        <f>IF(I27="","",I27-F27)</f>
        <v/>
      </c>
      <c r="K27" t="inlineStr">
        <is>
          <t>L</t>
        </is>
      </c>
      <c r="L27" s="11">
        <f>IF(K27="W",IF(G27&lt;0,H27*100/ABS(G27),H27*G27/100),IF(K27="L",-H27,0))</f>
        <v/>
      </c>
      <c r="M27" s="11">
        <f>Settings!$B$4+SUM(L$2:L27)</f>
        <v/>
      </c>
    </row>
    <row r="28" ht="14.25" customHeight="1">
      <c r="A28" t="inlineStr">
        <is>
          <t>2026-09-04</t>
        </is>
      </c>
      <c r="B28" t="n">
        <v>1</v>
      </c>
      <c r="C28" t="inlineStr">
        <is>
          <t>UAB @ Illinois</t>
        </is>
      </c>
      <c r="D28" t="inlineStr">
        <is>
          <t>Spread</t>
        </is>
      </c>
      <c r="E28" t="inlineStr">
        <is>
          <t>UAB</t>
        </is>
      </c>
      <c r="F28" t="n">
        <v>25.5</v>
      </c>
      <c r="G28" t="n">
        <v>320</v>
      </c>
      <c r="H28" t="n">
        <v>2</v>
      </c>
      <c r="J28" s="6">
        <f>IF(I28="","",I28-F28)</f>
        <v/>
      </c>
      <c r="K28" t="inlineStr">
        <is>
          <t>W</t>
        </is>
      </c>
      <c r="L28" s="11">
        <f>IF(K28="W",IF(G28&lt;0,H28*100/ABS(G28),H28*G28/100),IF(K28="L",-H28,0))</f>
        <v/>
      </c>
      <c r="M28" s="11">
        <f>Settings!$B$4+SUM(L$2:L28)</f>
        <v/>
      </c>
    </row>
    <row r="29" ht="14.25" customHeight="1">
      <c r="A29" t="inlineStr">
        <is>
          <t>2026-09-12</t>
        </is>
      </c>
      <c r="B29" t="n">
        <v>2</v>
      </c>
      <c r="C29" t="inlineStr">
        <is>
          <t>UNLV @ North Texas</t>
        </is>
      </c>
      <c r="D29" t="inlineStr">
        <is>
          <t>Spread</t>
        </is>
      </c>
      <c r="E29" t="inlineStr">
        <is>
          <t>North Texas</t>
        </is>
      </c>
      <c r="F29" t="n">
        <v>3.5</v>
      </c>
      <c r="G29" t="n">
        <v>-114</v>
      </c>
      <c r="H29" t="n">
        <v>1</v>
      </c>
      <c r="I29" t="n">
        <v>3.5</v>
      </c>
      <c r="J29" s="6">
        <f>IF(I29="","",I29-F29)</f>
        <v/>
      </c>
      <c r="K29" t="inlineStr">
        <is>
          <t>W</t>
        </is>
      </c>
      <c r="L29" s="11">
        <f>IF(K29="W",IF(G29&lt;0,H29*100/ABS(G29),H29*G29/100),IF(K29="L",-H29,0))</f>
        <v/>
      </c>
      <c r="M29" s="11">
        <f>Settings!$B$4+SUM(L$2:L29)</f>
        <v/>
      </c>
    </row>
    <row r="30" ht="14.25" customHeight="1">
      <c r="A30" t="inlineStr">
        <is>
          <t>2026-09-13</t>
        </is>
      </c>
      <c r="B30" t="n">
        <v>2</v>
      </c>
      <c r="C30" t="inlineStr">
        <is>
          <t>North Dakota State @ Airforce</t>
        </is>
      </c>
      <c r="D30" t="inlineStr">
        <is>
          <t>Spread</t>
        </is>
      </c>
      <c r="E30" t="inlineStr">
        <is>
          <t>North Dakota State</t>
        </is>
      </c>
      <c r="F30" t="n">
        <v>-2.5</v>
      </c>
      <c r="G30" t="n">
        <v>-112</v>
      </c>
      <c r="H30" t="n">
        <v>2.5</v>
      </c>
      <c r="I30" t="n">
        <v>2.5</v>
      </c>
      <c r="J30" s="6">
        <f>IF(I30="","",I30-F30)</f>
        <v/>
      </c>
      <c r="K30" t="inlineStr">
        <is>
          <t>W</t>
        </is>
      </c>
      <c r="L30" s="11">
        <f>IF(K30="W",IF(G30&lt;0,H30*100/ABS(G30),H30*G30/100),IF(K30="L",-H30,0))</f>
        <v/>
      </c>
      <c r="M30" s="11">
        <f>Settings!$B$4+SUM(L$2:L30)</f>
        <v/>
      </c>
    </row>
    <row r="31" ht="14.25" customHeight="1">
      <c r="A31" t="inlineStr">
        <is>
          <t>2026-09-13</t>
        </is>
      </c>
      <c r="B31" t="n">
        <v>2</v>
      </c>
      <c r="C31" t="inlineStr">
        <is>
          <t>North Dakota State @ Airforce</t>
        </is>
      </c>
      <c r="D31" t="inlineStr">
        <is>
          <t>Moneyline</t>
        </is>
      </c>
      <c r="E31" t="inlineStr">
        <is>
          <t>North Dakota State</t>
        </is>
      </c>
      <c r="G31" t="n">
        <v>-134</v>
      </c>
      <c r="H31" t="n">
        <v>2.5</v>
      </c>
      <c r="J31" s="6">
        <f>IF(I31="","",I31-F31)</f>
        <v/>
      </c>
      <c r="K31" t="inlineStr">
        <is>
          <t>W</t>
        </is>
      </c>
      <c r="L31" s="11">
        <f>IF(K31="W",IF(G31&lt;0,H31*100/ABS(G31),H31*G31/100),IF(K31="L",-H31,0))</f>
        <v/>
      </c>
      <c r="M31" s="11">
        <f>Settings!$B$4+SUM(L$2:L31)</f>
        <v/>
      </c>
    </row>
    <row r="32" ht="14.25" customHeight="1">
      <c r="A32" t="inlineStr">
        <is>
          <t>2026-09-13</t>
        </is>
      </c>
      <c r="B32" t="n">
        <v>2</v>
      </c>
      <c r="C32" t="inlineStr">
        <is>
          <t>New Mexico State @ Hawaii</t>
        </is>
      </c>
      <c r="D32" t="inlineStr">
        <is>
          <t>Moneyline</t>
        </is>
      </c>
      <c r="E32" t="inlineStr">
        <is>
          <t>Hawaii</t>
        </is>
      </c>
      <c r="G32" t="n">
        <v>-330</v>
      </c>
      <c r="H32" t="n">
        <v>1</v>
      </c>
      <c r="J32" s="6">
        <f>IF(I32="","",I32-F32)</f>
        <v/>
      </c>
      <c r="K32" t="inlineStr">
        <is>
          <t>W</t>
        </is>
      </c>
      <c r="L32" s="11">
        <f>IF(K32="W",IF(G32&lt;0,H32*100/ABS(G32),H32*G32/100),IF(K32="L",-H32,0))</f>
        <v/>
      </c>
      <c r="M32" s="11">
        <f>Settings!$B$4+SUM(L$2:L32)</f>
        <v/>
      </c>
    </row>
    <row r="33" ht="14.25" customHeight="1">
      <c r="A33" t="inlineStr">
        <is>
          <t>2026-09-12</t>
        </is>
      </c>
      <c r="B33" t="n">
        <v>2</v>
      </c>
      <c r="C33" t="inlineStr">
        <is>
          <t>Maryland @ Uconn</t>
        </is>
      </c>
      <c r="D33" t="inlineStr">
        <is>
          <t>Spread</t>
        </is>
      </c>
      <c r="E33" t="inlineStr">
        <is>
          <t>Uconn</t>
        </is>
      </c>
      <c r="F33" t="n">
        <v>12.5</v>
      </c>
      <c r="G33" t="n">
        <v>-110</v>
      </c>
      <c r="H33" t="n">
        <v>1</v>
      </c>
      <c r="I33" t="n">
        <v>13.5</v>
      </c>
      <c r="J33" s="6">
        <f>IF(I33="","",I33-F33)</f>
        <v/>
      </c>
      <c r="K33" t="inlineStr">
        <is>
          <t>L</t>
        </is>
      </c>
      <c r="L33" s="11">
        <f>IF(K33="W",IF(G33&lt;0,H33*100/ABS(G33),H33*G33/100),IF(K33="L",-H33,0))</f>
        <v/>
      </c>
      <c r="M33" s="11">
        <f>Settings!$B$4+SUM(L$2:L33)</f>
        <v/>
      </c>
    </row>
    <row r="34" ht="14.25" customHeight="1">
      <c r="A34" t="inlineStr">
        <is>
          <t>2026-09-12</t>
        </is>
      </c>
      <c r="B34" t="n">
        <v>2</v>
      </c>
      <c r="C34" t="inlineStr">
        <is>
          <t>Ohio State @ Texas</t>
        </is>
      </c>
      <c r="D34" t="inlineStr">
        <is>
          <t>Moneyline</t>
        </is>
      </c>
      <c r="E34" t="inlineStr">
        <is>
          <t>Texas</t>
        </is>
      </c>
      <c r="G34" t="n">
        <v>500</v>
      </c>
      <c r="H34" t="n">
        <v>40</v>
      </c>
      <c r="J34" s="6">
        <f>IF(I34="","",I34-F34)</f>
        <v/>
      </c>
      <c r="K34" t="inlineStr">
        <is>
          <t>W</t>
        </is>
      </c>
      <c r="L34" s="11">
        <f>IF(K34="W",IF(G34&lt;0,H34*100/ABS(G34),H34*G34/100),IF(K34="L",-H34,0))</f>
        <v/>
      </c>
      <c r="M34" s="11">
        <f>Settings!$B$4+SUM(L$2:L34)</f>
        <v/>
      </c>
    </row>
    <row r="35" ht="14.25" customHeight="1">
      <c r="A35" t="inlineStr">
        <is>
          <t>2026-09-19</t>
        </is>
      </c>
      <c r="B35" t="n">
        <v>3</v>
      </c>
      <c r="C35" t="inlineStr">
        <is>
          <t>Wyoming @ Central Michigan</t>
        </is>
      </c>
      <c r="D35" t="inlineStr">
        <is>
          <t>Spread</t>
        </is>
      </c>
      <c r="E35" t="inlineStr">
        <is>
          <t>Central Michigan</t>
        </is>
      </c>
      <c r="F35" t="n">
        <v>-1.5</v>
      </c>
      <c r="G35" t="n">
        <v>-110</v>
      </c>
      <c r="H35" t="n">
        <v>1</v>
      </c>
      <c r="I35" t="n">
        <v>-2.5</v>
      </c>
      <c r="J35" s="6">
        <f>IF(I35="","",I35-F35)</f>
        <v/>
      </c>
      <c r="K35" t="inlineStr">
        <is>
          <t>W</t>
        </is>
      </c>
      <c r="L35" s="11">
        <f>IF(K35="W",IF(G35&lt;0,H35*100/ABS(G35),H35*G35/100),IF(K35="L",-H35,0))</f>
        <v/>
      </c>
      <c r="M35" s="11">
        <f>Settings!$B$4+SUM(L$2:L35)</f>
        <v/>
      </c>
    </row>
    <row r="36" ht="14.25" customHeight="1">
      <c r="A36" t="inlineStr">
        <is>
          <t>2026-09-19</t>
        </is>
      </c>
      <c r="B36" t="n">
        <v>3</v>
      </c>
      <c r="C36" t="inlineStr">
        <is>
          <t>Wyoming @ Central Michigan</t>
        </is>
      </c>
      <c r="D36" t="inlineStr">
        <is>
          <t>Moneyline</t>
        </is>
      </c>
      <c r="E36" t="inlineStr">
        <is>
          <t>Central Michigan</t>
        </is>
      </c>
      <c r="F36" t="n">
        <v>-0.5</v>
      </c>
      <c r="G36" t="n">
        <v>-114</v>
      </c>
      <c r="H36" t="n">
        <v>1</v>
      </c>
      <c r="J36" s="6">
        <f>IF(I36="","",I36-F36)</f>
        <v/>
      </c>
      <c r="K36" t="inlineStr">
        <is>
          <t>W</t>
        </is>
      </c>
      <c r="L36" s="11">
        <f>IF(K36="W",IF(G36&lt;0,H36*100/ABS(G36),H36*G36/100),IF(K36="L",-H36,0))</f>
        <v/>
      </c>
      <c r="M36" s="11">
        <f>Settings!$B$4+SUM(L$2:L36)</f>
        <v/>
      </c>
    </row>
    <row r="37" ht="14.25" customHeight="1">
      <c r="A37" t="inlineStr">
        <is>
          <t>2026-09-19</t>
        </is>
      </c>
      <c r="B37" t="n">
        <v>3</v>
      </c>
      <c r="C37" t="inlineStr">
        <is>
          <t>Sacramento State @ North Dakota State</t>
        </is>
      </c>
      <c r="D37" t="inlineStr">
        <is>
          <t>Spread</t>
        </is>
      </c>
      <c r="E37" t="inlineStr">
        <is>
          <t>North Dakota State</t>
        </is>
      </c>
      <c r="F37" t="n">
        <v>-27.5</v>
      </c>
      <c r="G37" t="n">
        <v>-115</v>
      </c>
      <c r="H37" t="n">
        <v>2</v>
      </c>
      <c r="I37" t="n">
        <v>-27.5</v>
      </c>
      <c r="J37" s="6">
        <f>IF(I37="","",I37-F37)</f>
        <v/>
      </c>
      <c r="K37" t="inlineStr">
        <is>
          <t>L</t>
        </is>
      </c>
      <c r="L37" s="11">
        <f>IF(K37="W",IF(G37&lt;0,H37*100/ABS(G37),H37*G37/100),IF(K37="L",-H37,0))</f>
        <v/>
      </c>
      <c r="M37" s="11">
        <f>Settings!$B$4+SUM(L$2:L37)</f>
        <v/>
      </c>
    </row>
    <row r="38" ht="14.25" customHeight="1">
      <c r="A38" t="inlineStr">
        <is>
          <t>2026-09-19</t>
        </is>
      </c>
      <c r="B38" t="n">
        <v>3</v>
      </c>
      <c r="C38" t="inlineStr">
        <is>
          <t>SMU @ Louisville</t>
        </is>
      </c>
      <c r="D38" t="inlineStr">
        <is>
          <t>Moneyline</t>
        </is>
      </c>
      <c r="E38" t="inlineStr">
        <is>
          <t>SMU</t>
        </is>
      </c>
      <c r="G38" t="n">
        <v>134</v>
      </c>
      <c r="H38" t="n">
        <v>1</v>
      </c>
      <c r="J38" s="6">
        <f>IF(I38="","",I38-F38)</f>
        <v/>
      </c>
      <c r="K38" t="inlineStr">
        <is>
          <t>L</t>
        </is>
      </c>
      <c r="L38" s="11">
        <f>IF(K38="W",IF(G38&lt;0,H38*100/ABS(G38),H38*G38/100),IF(K38="L",-H38,0))</f>
        <v/>
      </c>
      <c r="M38" s="11">
        <f>Settings!$B$4+SUM(L$2:L38)</f>
        <v/>
      </c>
    </row>
    <row r="39" ht="14.25" customHeight="1">
      <c r="A39" t="inlineStr">
        <is>
          <t>2026-09-19</t>
        </is>
      </c>
      <c r="B39" t="n">
        <v>3</v>
      </c>
      <c r="C39" t="inlineStr">
        <is>
          <t>LSU @ Ole Miss</t>
        </is>
      </c>
      <c r="D39" t="inlineStr">
        <is>
          <t>Moneyline</t>
        </is>
      </c>
      <c r="E39" t="inlineStr">
        <is>
          <t>LSU</t>
        </is>
      </c>
      <c r="G39" t="n">
        <v>350</v>
      </c>
      <c r="H39" t="n">
        <v>36</v>
      </c>
      <c r="J39" s="6">
        <f>IF(I39="","",I39-F39)</f>
        <v/>
      </c>
      <c r="K39" t="inlineStr">
        <is>
          <t>L</t>
        </is>
      </c>
      <c r="L39" s="11">
        <f>IF(K39="W",IF(G39&lt;0,H39*100/ABS(G39),H39*G39/100),IF(K39="L",-H39,0))</f>
        <v/>
      </c>
      <c r="M39" s="11">
        <f>Settings!$B$4+SUM(L$2:L39)</f>
        <v/>
      </c>
    </row>
    <row r="40" ht="14.25" customHeight="1">
      <c r="A40" t="inlineStr">
        <is>
          <t>2026-09-19</t>
        </is>
      </c>
      <c r="B40" t="n">
        <v>3</v>
      </c>
      <c r="C40" t="inlineStr">
        <is>
          <t>Wyoming @ Central Michigan</t>
        </is>
      </c>
      <c r="D40" t="inlineStr">
        <is>
          <t>Spread</t>
        </is>
      </c>
      <c r="E40" t="inlineStr">
        <is>
          <t>Central Michigan</t>
        </is>
      </c>
      <c r="F40" t="n">
        <v>-1.5</v>
      </c>
      <c r="G40" t="n">
        <v>-114</v>
      </c>
      <c r="H40" t="n">
        <v>2.6</v>
      </c>
      <c r="I40" t="n">
        <v>-2.5</v>
      </c>
      <c r="J40" s="6">
        <f>IF(I40="","",I40-F40)</f>
        <v/>
      </c>
      <c r="K40" t="inlineStr">
        <is>
          <t>W</t>
        </is>
      </c>
      <c r="L40" s="11">
        <f>IF(K40="W",IF(G40&lt;0,H40*100/ABS(G40),H40*G40/100),IF(K40="L",-H40,0))</f>
        <v/>
      </c>
      <c r="M40" s="11">
        <f>Settings!$B$4+SUM(L$2:L40)</f>
        <v/>
      </c>
    </row>
    <row r="41" ht="14.25" customHeight="1">
      <c r="A41" t="inlineStr">
        <is>
          <t>2026-09-19</t>
        </is>
      </c>
      <c r="B41" t="n">
        <v>3</v>
      </c>
      <c r="C41" t="inlineStr">
        <is>
          <t>Coastal Carolina @ Delaware</t>
        </is>
      </c>
      <c r="D41" t="inlineStr">
        <is>
          <t>Spread</t>
        </is>
      </c>
      <c r="E41" t="inlineStr">
        <is>
          <t>Delaware</t>
        </is>
      </c>
      <c r="F41" t="n">
        <v>-4.5</v>
      </c>
      <c r="G41" t="n">
        <v>-118</v>
      </c>
      <c r="H41" t="n">
        <v>3.5</v>
      </c>
      <c r="I41" t="n">
        <v>-5.5</v>
      </c>
      <c r="J41" s="6">
        <f>IF(I41="","",I41-F41)</f>
        <v/>
      </c>
      <c r="K41" t="inlineStr">
        <is>
          <t>W</t>
        </is>
      </c>
      <c r="L41" s="11">
        <f>IF(K41="W",IF(G41&lt;0,H41*100/ABS(G41),H41*G41/100),IF(K41="L",-H41,0))</f>
        <v/>
      </c>
      <c r="M41" s="11">
        <f>Settings!$B$4+SUM(L$2:L41)</f>
        <v/>
      </c>
    </row>
    <row r="42">
      <c r="A42" t="inlineStr">
        <is>
          <t>2026-09-19</t>
        </is>
      </c>
      <c r="B42" t="n">
        <v>3</v>
      </c>
      <c r="C42" t="inlineStr">
        <is>
          <t>Houston @ Texas Tech</t>
        </is>
      </c>
      <c r="D42" t="inlineStr">
        <is>
          <t>Spread</t>
        </is>
      </c>
      <c r="E42" t="inlineStr">
        <is>
          <t>Texas Tech</t>
        </is>
      </c>
      <c r="F42" t="n">
        <v>-7.5</v>
      </c>
      <c r="G42" t="n">
        <v>-115</v>
      </c>
      <c r="H42" t="n">
        <v>1.5</v>
      </c>
      <c r="I42" t="n">
        <v>-7.5</v>
      </c>
      <c r="J42" s="6">
        <f>IF(I42="","",I42-F42)</f>
        <v/>
      </c>
      <c r="K42" t="inlineStr">
        <is>
          <t>L</t>
        </is>
      </c>
      <c r="L42" s="11">
        <f>IF(K42="W",IF(G42&lt;0,H42*100/ABS(G42),H42*G42/100),IF(K42="L",-H42,0))</f>
        <v/>
      </c>
      <c r="M42" s="11">
        <f>Settings!$B$4+SUM(L$2:L42)</f>
        <v/>
      </c>
    </row>
    <row r="43">
      <c r="A43" t="inlineStr">
        <is>
          <t>2026-09-19</t>
        </is>
      </c>
      <c r="B43" t="n">
        <v>3</v>
      </c>
      <c r="C43" t="inlineStr">
        <is>
          <t>Miami @ Wake Forest</t>
        </is>
      </c>
      <c r="D43" t="inlineStr">
        <is>
          <t>Spread</t>
        </is>
      </c>
      <c r="E43" t="inlineStr">
        <is>
          <t>Wake Forest</t>
        </is>
      </c>
      <c r="F43" t="n">
        <v>31.5</v>
      </c>
      <c r="G43" t="n">
        <v>-140</v>
      </c>
      <c r="H43" t="n">
        <v>2.5</v>
      </c>
      <c r="I43" t="n">
        <v>20.5</v>
      </c>
      <c r="J43" s="6">
        <f>IF(I43="","",I43-F43)</f>
        <v/>
      </c>
      <c r="K43" t="inlineStr">
        <is>
          <t>W</t>
        </is>
      </c>
      <c r="L43" s="11">
        <f>IF(K43="W",IF(G43&lt;0,H43*100/ABS(G43),H43*G43/100),IF(K43="L",-H43,0))</f>
        <v/>
      </c>
      <c r="M43" s="11">
        <f>Settings!$B$4+SUM(L$2:L43)</f>
        <v/>
      </c>
    </row>
    <row r="44" ht="14.25" customHeight="1">
      <c r="A44" t="inlineStr">
        <is>
          <t>2026-09-26</t>
        </is>
      </c>
      <c r="B44" t="n">
        <v>4</v>
      </c>
      <c r="C44" t="inlineStr">
        <is>
          <t>Clemson @ California</t>
        </is>
      </c>
      <c r="D44" t="inlineStr">
        <is>
          <t>Moneyline</t>
        </is>
      </c>
      <c r="E44" t="inlineStr">
        <is>
          <t>Clemson</t>
        </is>
      </c>
      <c r="F44" t="n">
        <v>-138</v>
      </c>
      <c r="G44" t="n">
        <v>-138</v>
      </c>
      <c r="H44" t="n">
        <v>2</v>
      </c>
      <c r="J44" s="6">
        <f>IF(I44="","",I44-F44)</f>
        <v/>
      </c>
      <c r="K44" t="inlineStr">
        <is>
          <t>W</t>
        </is>
      </c>
      <c r="L44" s="11">
        <f>IF(K44="W",IF(G44&lt;0,H44*100/ABS(G44),H44*G44/100),IF(K44="L",-H44,0))</f>
        <v/>
      </c>
      <c r="M44" s="11">
        <f>Settings!$B$4+SUM(L$2:L44)</f>
        <v/>
      </c>
    </row>
    <row r="45">
      <c r="A45" t="inlineStr">
        <is>
          <t>2026-09-26</t>
        </is>
      </c>
      <c r="B45" t="n">
        <v>4</v>
      </c>
      <c r="C45" t="inlineStr">
        <is>
          <t>UNLV @ Akron</t>
        </is>
      </c>
      <c r="D45" t="inlineStr">
        <is>
          <t>Spread</t>
        </is>
      </c>
      <c r="E45" t="inlineStr">
        <is>
          <t>Akron</t>
        </is>
      </c>
      <c r="F45" t="n">
        <v>13.5</v>
      </c>
      <c r="G45" t="n">
        <v>-110</v>
      </c>
      <c r="H45" t="n">
        <v>1.5</v>
      </c>
      <c r="J45" s="12">
        <f>IF(I45="","",I45-F45)</f>
        <v/>
      </c>
      <c r="K45" t="inlineStr">
        <is>
          <t>L</t>
        </is>
      </c>
      <c r="L45" s="11">
        <f>IF(K45="W",IF(G45&lt;0,H45*100/ABS(G45),H45*G45/100),IF(K45="L",-H45,0))</f>
        <v/>
      </c>
      <c r="M45" s="11">
        <f>Settings!$B$4+SUM(L$2:L45)</f>
        <v/>
      </c>
    </row>
    <row r="46">
      <c r="A46" t="inlineStr">
        <is>
          <t>2026-09-26</t>
        </is>
      </c>
      <c r="B46" t="n">
        <v>4</v>
      </c>
      <c r="C46" t="inlineStr">
        <is>
          <t>New Mexico @ New Mexico State</t>
        </is>
      </c>
      <c r="D46" t="inlineStr">
        <is>
          <t>Spread</t>
        </is>
      </c>
      <c r="E46" t="inlineStr">
        <is>
          <t>New Mexico</t>
        </is>
      </c>
      <c r="F46" t="n">
        <v>-11.5</v>
      </c>
      <c r="G46" t="n">
        <v>-110</v>
      </c>
      <c r="H46" t="n">
        <v>1.5</v>
      </c>
      <c r="I46" t="n">
        <v>-11.5</v>
      </c>
      <c r="J46" s="12">
        <f>IF(I46="","",I46-F46)</f>
        <v/>
      </c>
      <c r="K46" t="inlineStr">
        <is>
          <t>W</t>
        </is>
      </c>
      <c r="L46" s="11">
        <f>IF(K46="W",IF(G46&lt;0,H46*100/ABS(G46),H46*G46/100),IF(K46="L",-H46,0))</f>
        <v/>
      </c>
      <c r="M46" s="11">
        <f>Settings!$B$4+SUM(L$2:L46)</f>
        <v/>
      </c>
    </row>
    <row r="47">
      <c r="A47" t="inlineStr">
        <is>
          <t>2026-09-26</t>
        </is>
      </c>
      <c r="B47" t="n">
        <v>4</v>
      </c>
      <c r="C47" t="inlineStr">
        <is>
          <t>Wake Forest @ Louisville</t>
        </is>
      </c>
      <c r="D47" t="inlineStr">
        <is>
          <t>Moneyline</t>
        </is>
      </c>
      <c r="E47" t="inlineStr">
        <is>
          <t>Louisville</t>
        </is>
      </c>
      <c r="G47" t="n">
        <v>-130</v>
      </c>
      <c r="H47" t="n">
        <v>1.5</v>
      </c>
      <c r="J47" s="12">
        <f>IF(I47="","",I47-F47)</f>
        <v/>
      </c>
      <c r="K47" t="inlineStr">
        <is>
          <t>L</t>
        </is>
      </c>
      <c r="L47" s="11">
        <f>IF(K47="W",IF(G47&lt;0,H47*100/ABS(G47),H47*G47/100),IF(K47="L",-H47,0))</f>
        <v/>
      </c>
      <c r="M47" s="11">
        <f>Settings!$B$4+SUM(L$2:L47)</f>
        <v/>
      </c>
    </row>
    <row r="48">
      <c r="A48" t="inlineStr">
        <is>
          <t>2026-09-26</t>
        </is>
      </c>
      <c r="B48" t="n">
        <v>4</v>
      </c>
      <c r="C48" t="inlineStr">
        <is>
          <t>Wake Forest @ Louisville</t>
        </is>
      </c>
      <c r="D48" t="inlineStr">
        <is>
          <t>Moneyline</t>
        </is>
      </c>
      <c r="E48" t="inlineStr">
        <is>
          <t>Louisville</t>
        </is>
      </c>
      <c r="G48" t="n">
        <v>100</v>
      </c>
      <c r="H48" t="n">
        <v>1</v>
      </c>
      <c r="J48" s="12">
        <f>IF(I48="","",I48-F48)</f>
        <v/>
      </c>
      <c r="K48" t="inlineStr">
        <is>
          <t>L</t>
        </is>
      </c>
      <c r="L48" s="11">
        <f>IF(K48="W",IF(G48&lt;0,H48*100/ABS(G48),H48*G48/100),IF(K48="L",-H48,0))</f>
        <v/>
      </c>
      <c r="M48" s="11">
        <f>Settings!$B$4+SUM(L$2:L48)</f>
        <v/>
      </c>
    </row>
    <row r="49">
      <c r="A49" t="inlineStr">
        <is>
          <t>2026-09-26</t>
        </is>
      </c>
      <c r="B49" t="n">
        <v>4</v>
      </c>
      <c r="C49" t="inlineStr">
        <is>
          <t>Iowa @ Michigan</t>
        </is>
      </c>
      <c r="D49" t="inlineStr">
        <is>
          <t>Spread</t>
        </is>
      </c>
      <c r="E49" t="inlineStr">
        <is>
          <t>Iowa</t>
        </is>
      </c>
      <c r="F49" t="n">
        <v>5.5</v>
      </c>
      <c r="G49" t="n">
        <v>-112</v>
      </c>
      <c r="H49" t="n">
        <v>1</v>
      </c>
      <c r="I49" t="n">
        <v>5.5</v>
      </c>
      <c r="J49" s="12">
        <f>IF(I49="","",I49-F49)</f>
        <v/>
      </c>
      <c r="K49" t="inlineStr">
        <is>
          <t>W</t>
        </is>
      </c>
      <c r="L49" s="11">
        <f>IF(K49="W",IF(G49&lt;0,H49*100/ABS(G49),H49*G49/100),IF(K49="L",-H49,0))</f>
        <v/>
      </c>
      <c r="M49" s="11">
        <f>Settings!$B$4+SUM(L$2:L49)</f>
        <v/>
      </c>
    </row>
    <row r="50">
      <c r="A50" t="inlineStr">
        <is>
          <t>2026-09-26</t>
        </is>
      </c>
      <c r="B50" t="n">
        <v>4</v>
      </c>
      <c r="C50" t="inlineStr">
        <is>
          <t>Oklahoma State @ West Virginia</t>
        </is>
      </c>
      <c r="D50" t="inlineStr">
        <is>
          <t>Spread</t>
        </is>
      </c>
      <c r="E50" t="inlineStr">
        <is>
          <t>West Virginia</t>
        </is>
      </c>
      <c r="F50" t="n">
        <v>-1.5</v>
      </c>
      <c r="G50" t="n">
        <v>-115</v>
      </c>
      <c r="H50" t="n">
        <v>1.15</v>
      </c>
      <c r="J50" s="12">
        <f>IF(I50="","",I50-F50)</f>
        <v/>
      </c>
      <c r="K50" t="inlineStr">
        <is>
          <t>L</t>
        </is>
      </c>
      <c r="L50" s="11">
        <f>IF(K50="W",IF(G50&lt;0,H50*100/ABS(G50),H50*G50/100),IF(K50="L",-H50,0))</f>
        <v/>
      </c>
      <c r="M50" s="11">
        <f>Settings!$B$4+SUM(L$2:L50)</f>
        <v/>
      </c>
    </row>
    <row r="51">
      <c r="A51" t="inlineStr">
        <is>
          <t>2026-09-26</t>
        </is>
      </c>
      <c r="B51" t="n">
        <v>4</v>
      </c>
      <c r="C51" t="inlineStr">
        <is>
          <t>Oregon @ USC</t>
        </is>
      </c>
      <c r="D51" t="inlineStr">
        <is>
          <t>Spread</t>
        </is>
      </c>
      <c r="E51" t="inlineStr">
        <is>
          <t>Oregon</t>
        </is>
      </c>
      <c r="F51" t="n">
        <v>-3.5</v>
      </c>
      <c r="G51" t="n">
        <v>-110</v>
      </c>
      <c r="H51" t="n">
        <v>1.1</v>
      </c>
      <c r="I51" t="n">
        <v>-3.5</v>
      </c>
      <c r="J51" s="12">
        <f>IF(I51="","",I51-F51)</f>
        <v/>
      </c>
      <c r="K51" t="inlineStr">
        <is>
          <t>W</t>
        </is>
      </c>
      <c r="L51" s="11">
        <f>IF(K51="W",IF(G51&lt;0,H51*100/ABS(G51),H51*G51/100),IF(K51="L",-H51,0))</f>
        <v/>
      </c>
      <c r="M51" s="11">
        <f>Settings!$B$4+SUM(L$2:L51)</f>
        <v/>
      </c>
    </row>
    <row r="52">
      <c r="A52" t="inlineStr">
        <is>
          <t>2026-09-26</t>
        </is>
      </c>
      <c r="B52" t="n">
        <v>4</v>
      </c>
      <c r="C52" t="inlineStr">
        <is>
          <t>Missouri @ Mississippi State</t>
        </is>
      </c>
      <c r="D52" t="inlineStr">
        <is>
          <t>Spread</t>
        </is>
      </c>
      <c r="E52" t="inlineStr">
        <is>
          <t>Mississippi State</t>
        </is>
      </c>
      <c r="F52" t="n">
        <v>-3.5</v>
      </c>
      <c r="G52" t="n">
        <v>118</v>
      </c>
      <c r="H52" t="n">
        <v>1</v>
      </c>
      <c r="J52" s="12">
        <f>IF(I52="","",I52-F52)</f>
        <v/>
      </c>
      <c r="K52" t="inlineStr">
        <is>
          <t>W</t>
        </is>
      </c>
      <c r="L52" s="11">
        <f>IF(K52="W",IF(G52&lt;0,H52*100/ABS(G52),H52*G52/100),IF(K52="L",-H52,0))</f>
        <v/>
      </c>
      <c r="M52" s="11">
        <f>Settings!$B$4+SUM(L$2:L52)</f>
        <v/>
      </c>
    </row>
    <row r="53">
      <c r="A53" t="inlineStr">
        <is>
          <t>2026-09-26</t>
        </is>
      </c>
      <c r="B53" t="n">
        <v>4</v>
      </c>
      <c r="C53" t="inlineStr">
        <is>
          <t>Georgia Tech @ Stanford</t>
        </is>
      </c>
      <c r="D53" t="inlineStr">
        <is>
          <t>Moneyline</t>
        </is>
      </c>
      <c r="E53" t="inlineStr">
        <is>
          <t>Georgia Tech</t>
        </is>
      </c>
      <c r="G53" t="n">
        <v>-150</v>
      </c>
      <c r="H53" t="n">
        <v>1.5</v>
      </c>
      <c r="J53" s="12">
        <f>IF(I53="","",I53-F53)</f>
        <v/>
      </c>
      <c r="K53" t="inlineStr">
        <is>
          <t>L</t>
        </is>
      </c>
      <c r="L53" s="11">
        <f>IF(K53="W",IF(G53&lt;0,H53*100/ABS(G53),H53*G53/100),IF(K53="L",-H53,0))</f>
        <v/>
      </c>
      <c r="M53" s="11">
        <f>Settings!$B$4+SUM(L$2:L53)</f>
        <v/>
      </c>
    </row>
    <row r="54">
      <c r="A54" t="inlineStr">
        <is>
          <t>2026-09-26</t>
        </is>
      </c>
      <c r="B54" t="n">
        <v>4</v>
      </c>
      <c r="C54" t="inlineStr">
        <is>
          <t>Minnesota @ Washington</t>
        </is>
      </c>
      <c r="D54" t="inlineStr">
        <is>
          <t>Spread</t>
        </is>
      </c>
      <c r="E54" t="inlineStr">
        <is>
          <t>Washington</t>
        </is>
      </c>
      <c r="F54" t="n">
        <v>-6.5</v>
      </c>
      <c r="G54" t="n">
        <v>-114</v>
      </c>
      <c r="H54" t="n">
        <v>1.1</v>
      </c>
      <c r="J54" s="12">
        <f>IF(I54="","",I54-F54)</f>
        <v/>
      </c>
      <c r="K54" t="inlineStr">
        <is>
          <t>L</t>
        </is>
      </c>
      <c r="L54" s="11">
        <f>IF(K54="W",IF(G54&lt;0,H54*100/ABS(G54),H54*G54/100),IF(K54="L",-H54,0))</f>
        <v/>
      </c>
      <c r="M54" s="11">
        <f>Settings!$B$4+SUM(L$2:L54)</f>
        <v/>
      </c>
    </row>
    <row r="55">
      <c r="A55" t="inlineStr">
        <is>
          <t>2026-09-26</t>
        </is>
      </c>
      <c r="B55" t="n">
        <v>4</v>
      </c>
      <c r="C55" t="inlineStr">
        <is>
          <t>Minnesota @ Washington</t>
        </is>
      </c>
      <c r="D55" t="inlineStr">
        <is>
          <t>Spread</t>
        </is>
      </c>
      <c r="E55" t="inlineStr">
        <is>
          <t>Washington</t>
        </is>
      </c>
      <c r="F55" t="n">
        <v>-4.5</v>
      </c>
      <c r="G55" t="n">
        <v>-108</v>
      </c>
      <c r="H55" t="n">
        <v>1</v>
      </c>
      <c r="J55" s="12">
        <f>IF(I55="","",I55-F55)</f>
        <v/>
      </c>
      <c r="K55" t="inlineStr">
        <is>
          <t>L</t>
        </is>
      </c>
      <c r="L55" s="11">
        <f>IF(K55="W",IF(G55&lt;0,H55*100/ABS(G55),H55*G55/100),IF(K55="L",-H55,0))</f>
        <v/>
      </c>
      <c r="M55" s="11">
        <f>Settings!$B$4+SUM(L$2:L55)</f>
        <v/>
      </c>
    </row>
    <row r="56">
      <c r="A56" t="inlineStr">
        <is>
          <t>2026-10-03</t>
        </is>
      </c>
      <c r="B56" t="n">
        <v>5</v>
      </c>
      <c r="C56" t="inlineStr">
        <is>
          <t>Navy @ Air Force</t>
        </is>
      </c>
      <c r="D56" t="inlineStr">
        <is>
          <t>Spread</t>
        </is>
      </c>
      <c r="E56" t="inlineStr">
        <is>
          <t>Navy</t>
        </is>
      </c>
      <c r="F56" t="n">
        <v>2.5</v>
      </c>
      <c r="G56" t="n">
        <v>-104</v>
      </c>
      <c r="H56" t="n">
        <v>1</v>
      </c>
      <c r="J56" s="12">
        <f>IF(I56="","",I56-F56)</f>
        <v/>
      </c>
      <c r="L56" s="11">
        <f>IF(K56="W",IF(G56&lt;0,H56*100/ABS(G56),H56*G56/100),IF(K56="L",-H56,0))</f>
        <v/>
      </c>
      <c r="M56" s="11">
        <f>Settings!$B$4+SUM(L$2:L56)</f>
        <v/>
      </c>
    </row>
    <row r="57">
      <c r="A57" t="inlineStr">
        <is>
          <t>2026-10-03</t>
        </is>
      </c>
      <c r="B57" t="n">
        <v>5</v>
      </c>
      <c r="C57" t="inlineStr">
        <is>
          <t>Navy @ Air Force</t>
        </is>
      </c>
      <c r="D57" t="inlineStr">
        <is>
          <t>Moneyline</t>
        </is>
      </c>
      <c r="E57" t="inlineStr">
        <is>
          <t>Navy</t>
        </is>
      </c>
      <c r="G57" t="n">
        <v>116</v>
      </c>
      <c r="H57" t="n">
        <v>1</v>
      </c>
      <c r="J57" s="12">
        <f>IF(I57="","",I57-F57)</f>
        <v/>
      </c>
      <c r="L57" s="11">
        <f>IF(K57="W",IF(G57&lt;0,H57*100/ABS(G57),H57*G57/100),IF(K57="L",-H57,0))</f>
        <v/>
      </c>
      <c r="M57" s="11">
        <f>Settings!$B$4+SUM(L$2:L57)</f>
        <v/>
      </c>
    </row>
    <row r="58">
      <c r="A58" t="inlineStr">
        <is>
          <t>2026-10-03</t>
        </is>
      </c>
      <c r="B58" t="n">
        <v>5</v>
      </c>
      <c r="C58" t="inlineStr">
        <is>
          <t>Wyoming @ North Dakota State</t>
        </is>
      </c>
      <c r="D58" t="inlineStr">
        <is>
          <t>Spread</t>
        </is>
      </c>
      <c r="E58" t="inlineStr">
        <is>
          <t>North Dakota State</t>
        </is>
      </c>
      <c r="F58" t="n">
        <v>-19.5</v>
      </c>
      <c r="G58" t="n">
        <v>-115</v>
      </c>
      <c r="H58" t="n">
        <v>1</v>
      </c>
      <c r="J58" s="12">
        <f>IF(I58="","",I58-F58)</f>
        <v/>
      </c>
      <c r="L58" s="11">
        <f>IF(K58="W",IF(G58&lt;0,H58*100/ABS(G58),H58*G58/100),IF(K58="L",-H58,0))</f>
        <v/>
      </c>
      <c r="M58" s="11">
        <f>Settings!$B$4+SUM(L$2:L58)</f>
        <v/>
      </c>
    </row>
    <row r="59">
      <c r="A59" t="inlineStr">
        <is>
          <t>2026-10-03</t>
        </is>
      </c>
      <c r="B59" t="n">
        <v>5</v>
      </c>
      <c r="C59" t="inlineStr">
        <is>
          <t>UTEP @ New Mexico</t>
        </is>
      </c>
      <c r="D59" t="inlineStr">
        <is>
          <t>Spread</t>
        </is>
      </c>
      <c r="E59" t="inlineStr">
        <is>
          <t>New Mexico</t>
        </is>
      </c>
      <c r="F59" t="n">
        <v>-22.5</v>
      </c>
      <c r="G59" t="n">
        <v>-110</v>
      </c>
      <c r="H59" t="n">
        <v>1</v>
      </c>
      <c r="J59" s="12">
        <f>IF(I59="","",I59-F59)</f>
        <v/>
      </c>
      <c r="L59" s="11">
        <f>IF(K59="W",IF(G59&lt;0,H59*100/ABS(G59),H59*G59/100),IF(K59="L",-H59,0))</f>
        <v/>
      </c>
      <c r="M59" s="11">
        <f>Settings!$B$4+SUM(L$2:L59)</f>
        <v/>
      </c>
    </row>
    <row r="60">
      <c r="A60" t="inlineStr">
        <is>
          <t>2026-10-03</t>
        </is>
      </c>
      <c r="B60" t="n">
        <v>5</v>
      </c>
      <c r="C60" t="inlineStr">
        <is>
          <t>Liberty @ Delaware</t>
        </is>
      </c>
      <c r="D60" t="inlineStr">
        <is>
          <t>Spread</t>
        </is>
      </c>
      <c r="E60" t="inlineStr">
        <is>
          <t>Delaware</t>
        </is>
      </c>
      <c r="F60" t="n">
        <v>6.5</v>
      </c>
      <c r="G60" t="n">
        <v>-110</v>
      </c>
      <c r="H60" t="n">
        <v>1</v>
      </c>
      <c r="J60" s="12">
        <f>IF(I60="","",I60-F60)</f>
        <v/>
      </c>
      <c r="L60" s="11">
        <f>IF(K60="W",IF(G60&lt;0,H60*100/ABS(G60),H60*G60/100),IF(K60="L",-H60,0))</f>
        <v/>
      </c>
      <c r="M60" s="11">
        <f>Settings!$B$4+SUM(L$2:L60)</f>
        <v/>
      </c>
    </row>
    <row r="61">
      <c r="A61" t="inlineStr">
        <is>
          <t>2026-10-03</t>
        </is>
      </c>
      <c r="B61" t="n">
        <v>5</v>
      </c>
      <c r="C61" t="inlineStr">
        <is>
          <t>Alabama @ Mississippi State</t>
        </is>
      </c>
      <c r="D61" t="inlineStr">
        <is>
          <t>Spread</t>
        </is>
      </c>
      <c r="E61" t="inlineStr">
        <is>
          <t>Alabama</t>
        </is>
      </c>
      <c r="F61" t="n">
        <v>-5.5</v>
      </c>
      <c r="G61" t="n">
        <v>-110</v>
      </c>
      <c r="H61" t="n">
        <v>1</v>
      </c>
      <c r="J61" s="12">
        <f>IF(I61="","",I61-F61)</f>
        <v/>
      </c>
      <c r="L61" s="11">
        <f>IF(K61="W",IF(G61&lt;0,H61*100/ABS(G61),H61*G61/100),IF(K61="L",-H61,0))</f>
        <v/>
      </c>
      <c r="M61" s="11">
        <f>Settings!$B$4+SUM(L$2:L61)</f>
        <v/>
      </c>
    </row>
    <row r="62">
      <c r="A62" s="13" t="inlineStr">
        <is>
          <t>2026-10-03</t>
        </is>
      </c>
      <c r="B62" t="n">
        <v>5</v>
      </c>
      <c r="C62" t="inlineStr">
        <is>
          <t>Marshall @ James Madison</t>
        </is>
      </c>
      <c r="D62" t="inlineStr">
        <is>
          <t>Spread</t>
        </is>
      </c>
      <c r="E62" t="inlineStr">
        <is>
          <t>James Madison</t>
        </is>
      </c>
      <c r="F62" t="n">
        <v>-18.5</v>
      </c>
      <c r="G62" t="n">
        <v>-115</v>
      </c>
      <c r="H62" t="n">
        <v>1</v>
      </c>
      <c r="J62" s="12">
        <f>IF(I62="","",I62-F62)</f>
        <v/>
      </c>
      <c r="L62" s="11">
        <f>IF(K62="W",IF(G62&lt;0,H62*100/ABS(G62),H62*G62/100),IF(K62="L",-H62,0))</f>
        <v/>
      </c>
      <c r="M62" s="11">
        <f>Settings!$B$4+SUM(L$2:L62)</f>
        <v/>
      </c>
    </row>
    <row r="63">
      <c r="A63" t="inlineStr">
        <is>
          <t>2026-10-02</t>
        </is>
      </c>
      <c r="B63" t="n">
        <v>5</v>
      </c>
      <c r="C63" t="inlineStr">
        <is>
          <t>Pittsburgh @ Virginia Tech</t>
        </is>
      </c>
      <c r="D63" t="inlineStr">
        <is>
          <t>Moneyline</t>
        </is>
      </c>
      <c r="E63" t="inlineStr">
        <is>
          <t>Pittsburgh</t>
        </is>
      </c>
      <c r="G63" t="n">
        <v>116</v>
      </c>
      <c r="H63" t="n">
        <v>2</v>
      </c>
      <c r="J63" s="12">
        <f>IF(I63="","",I63-F63)</f>
        <v/>
      </c>
      <c r="L63" s="11">
        <f>IF(K63="W",IF(G63&lt;0,H63*100/ABS(G63),H63*G63/100),IF(K63="L",-H63,0))</f>
        <v/>
      </c>
      <c r="M63" s="11">
        <f>Settings!$B$4+SUM(L$2:L63)</f>
        <v/>
      </c>
    </row>
    <row r="64">
      <c r="J64" s="12">
        <f>IF(I64="","",I64-F64)</f>
        <v/>
      </c>
      <c r="L64" s="11">
        <f>IF(K64="W",IF(G64&lt;0,H64*100/ABS(G64),H64*G64/100),IF(K64="L",-H64,0))</f>
        <v/>
      </c>
      <c r="M64" s="11">
        <f>Settings!$B$4+SUM(L$2:L64)</f>
        <v/>
      </c>
    </row>
    <row r="65">
      <c r="J65" s="12">
        <f>IF(I65="","",I65-F65)</f>
        <v/>
      </c>
      <c r="L65" s="11">
        <f>IF(K65="W",IF(G65&lt;0,H65*100/ABS(G65),H65*G65/100),IF(K65="L",-H65,0))</f>
        <v/>
      </c>
      <c r="M65" s="11">
        <f>Settings!$B$4+SUM(L$2:L65)</f>
        <v/>
      </c>
    </row>
    <row r="66">
      <c r="J66" s="12">
        <f>IF(I66="","",I66-F66)</f>
        <v/>
      </c>
      <c r="L66" s="11">
        <f>IF(K66="W",IF(G66&lt;0,H66*100/ABS(G66),H66*G66/100),IF(K66="L",-H66,0))</f>
        <v/>
      </c>
      <c r="M66" s="11">
        <f>Settings!$B$4+SUM(L$2:L66)</f>
        <v/>
      </c>
    </row>
    <row r="67">
      <c r="J67" s="12">
        <f>IF(I67="","",I67-F67)</f>
        <v/>
      </c>
      <c r="L67" s="11">
        <f>IF(K67="W",IF(G67&lt;0,H67*100/ABS(G67),H67*G67/100),IF(K67="L",-H67,0))</f>
        <v/>
      </c>
      <c r="M67" s="11">
        <f>Settings!$B$4+SUM(L$2:L67)</f>
        <v/>
      </c>
    </row>
    <row r="68">
      <c r="J68" s="12">
        <f>IF(I68="","",I68-F68)</f>
        <v/>
      </c>
      <c r="L68" s="11">
        <f>IF(K68="W",IF(G68&lt;0,H68*100/ABS(G68),H68*G68/100),IF(K68="L",-H68,0))</f>
        <v/>
      </c>
      <c r="M68" s="11">
        <f>Settings!$B$4+SUM(L$2:L68)</f>
        <v/>
      </c>
    </row>
    <row r="69">
      <c r="J69" s="12">
        <f>IF(I69="","",I69-F69)</f>
        <v/>
      </c>
      <c r="L69" s="11">
        <f>IF(K69="W",IF(G69&lt;0,H69*100/ABS(G69),H69*G69/100),IF(K69="L",-H69,0))</f>
        <v/>
      </c>
      <c r="M69" s="11">
        <f>Settings!$B$4+SUM(L$2:L69)</f>
        <v/>
      </c>
    </row>
    <row r="70">
      <c r="J70" s="12">
        <f>IF(I70="","",I70-F70)</f>
        <v/>
      </c>
      <c r="L70" s="11">
        <f>IF(K70="W",IF(G70&lt;0,H70*100/ABS(G70),H70*G70/100),IF(K70="L",-H70,0))</f>
        <v/>
      </c>
      <c r="M70" s="11">
        <f>Settings!$B$4+SUM(L$2:L70)</f>
        <v/>
      </c>
    </row>
    <row r="71">
      <c r="J71" s="12">
        <f>IF(I71="","",I71-F71)</f>
        <v/>
      </c>
      <c r="L71" s="11">
        <f>IF(K71="W",IF(G71&lt;0,H71*100/ABS(G71),H71*G71/100),IF(K71="L",-H71,0))</f>
        <v/>
      </c>
      <c r="M71" s="11">
        <f>Settings!$B$4+SUM(L$2:L71)</f>
        <v/>
      </c>
    </row>
    <row r="72">
      <c r="J72" s="12">
        <f>IF(I72="","",I72-F72)</f>
        <v/>
      </c>
      <c r="L72" s="11">
        <f>IF(K72="W",IF(G72&lt;0,H72*100/ABS(G72),H72*G72/100),IF(K72="L",-H72,0))</f>
        <v/>
      </c>
      <c r="M72" s="11">
        <f>Settings!$B$4+SUM(L$2:L72)</f>
        <v/>
      </c>
    </row>
    <row r="73">
      <c r="J73" s="12">
        <f>IF(I73="","",I73-F73)</f>
        <v/>
      </c>
      <c r="L73" s="11">
        <f>IF(K73="W",IF(G73&lt;0,H73*100/ABS(G73),H73*G73/100),IF(K73="L",-H73,0))</f>
        <v/>
      </c>
      <c r="M73" s="11">
        <f>Settings!$B$4+SUM(L$2:L73)</f>
        <v/>
      </c>
    </row>
    <row r="74">
      <c r="J74" s="12">
        <f>IF(I74="","",I74-F74)</f>
        <v/>
      </c>
      <c r="L74" s="11">
        <f>IF(K74="W",IF(G74&lt;0,H74*100/ABS(G74),H74*G74/100),IF(K74="L",-H74,0))</f>
        <v/>
      </c>
      <c r="M74" s="11">
        <f>Settings!$B$4+SUM(L$2:L74)</f>
        <v/>
      </c>
    </row>
    <row r="75">
      <c r="J75" s="12">
        <f>IF(I75="","",I75-F75)</f>
        <v/>
      </c>
      <c r="L75" s="11">
        <f>IF(K75="W",IF(G75&lt;0,H75*100/ABS(G75),H75*G75/100),IF(K75="L",-H75,0))</f>
        <v/>
      </c>
      <c r="M75" s="11">
        <f>Settings!$B$4+SUM(L$2:L75)</f>
        <v/>
      </c>
    </row>
    <row r="76">
      <c r="J76" s="12">
        <f>IF(I76="","",I76-F76)</f>
        <v/>
      </c>
      <c r="L76" s="11">
        <f>IF(K76="W",IF(G76&lt;0,H76*100/ABS(G76),H76*G76/100),IF(K76="L",-H76,0))</f>
        <v/>
      </c>
      <c r="M76" s="11">
        <f>Settings!$B$4+SUM(L$2:L76)</f>
        <v/>
      </c>
    </row>
    <row r="77">
      <c r="J77" s="12">
        <f>IF(I77="","",I77-F77)</f>
        <v/>
      </c>
      <c r="L77" s="11">
        <f>IF(K77="W",IF(G77&lt;0,H77*100/ABS(G77),H77*G77/100),IF(K77="L",-H77,0))</f>
        <v/>
      </c>
      <c r="M77" s="11">
        <f>Settings!$B$4+SUM(L$2:L77)</f>
        <v/>
      </c>
    </row>
    <row r="78">
      <c r="J78" s="12">
        <f>IF(I78="","",I78-F78)</f>
        <v/>
      </c>
      <c r="L78" s="11">
        <f>IF(K78="W",IF(G78&lt;0,H78*100/ABS(G78),H78*G78/100),IF(K78="L",-H78,0))</f>
        <v/>
      </c>
      <c r="M78" s="11">
        <f>Settings!$B$4+SUM(L$2:L78)</f>
        <v/>
      </c>
    </row>
    <row r="79">
      <c r="J79" s="12">
        <f>IF(I79="","",I79-F79)</f>
        <v/>
      </c>
      <c r="L79" s="11">
        <f>IF(K79="W",IF(G79&lt;0,H79*100/ABS(G79),H79*G79/100),IF(K79="L",-H79,0))</f>
        <v/>
      </c>
      <c r="M79" s="11">
        <f>Settings!$B$4+SUM(L$2:L79)</f>
        <v/>
      </c>
    </row>
    <row r="80">
      <c r="J80" s="12">
        <f>IF(I80="","",I80-F80)</f>
        <v/>
      </c>
      <c r="L80" s="11">
        <f>IF(K80="W",IF(G80&lt;0,H80*100/ABS(G80),H80*G80/100),IF(K80="L",-H80,0))</f>
        <v/>
      </c>
      <c r="M80" s="11">
        <f>Settings!$B$4+SUM(L$2:L80)</f>
        <v/>
      </c>
    </row>
    <row r="81">
      <c r="J81" s="12">
        <f>IF(I81="","",I81-F81)</f>
        <v/>
      </c>
      <c r="L81" s="11">
        <f>IF(K81="W",IF(G81&lt;0,H81*100/ABS(G81),H81*G81/100),IF(K81="L",-H81,0))</f>
        <v/>
      </c>
      <c r="M81" s="11">
        <f>Settings!$B$4+SUM(L$2:L81)</f>
        <v/>
      </c>
    </row>
    <row r="82">
      <c r="J82" s="12">
        <f>IF(I82="","",I82-F82)</f>
        <v/>
      </c>
      <c r="L82" s="11">
        <f>IF(K82="W",IF(G82&lt;0,H82*100/ABS(G82),H82*G82/100),IF(K82="L",-H82,0))</f>
        <v/>
      </c>
      <c r="M82" s="11">
        <f>Settings!$B$4+SUM(L$2:L82)</f>
        <v/>
      </c>
    </row>
    <row r="83">
      <c r="J83" s="12">
        <f>IF(I83="","",I83-F83)</f>
        <v/>
      </c>
      <c r="L83" s="11">
        <f>IF(K83="W",IF(G83&lt;0,H83*100/ABS(G83),H83*G83/100),IF(K83="L",-H83,0))</f>
        <v/>
      </c>
      <c r="M83" s="11">
        <f>Settings!$B$4+SUM(L$2:L83)</f>
        <v/>
      </c>
    </row>
    <row r="84">
      <c r="J84" s="12">
        <f>IF(I84="","",I84-F84)</f>
        <v/>
      </c>
      <c r="L84" s="11">
        <f>IF(K84="W",IF(G84&lt;0,H84*100/ABS(G84),H84*G84/100),IF(K84="L",-H84,0))</f>
        <v/>
      </c>
      <c r="M84" s="11">
        <f>Settings!$B$4+SUM(L$2:L84)</f>
        <v/>
      </c>
    </row>
    <row r="85">
      <c r="J85" s="12">
        <f>IF(I85="","",I85-F85)</f>
        <v/>
      </c>
      <c r="L85" s="11">
        <f>IF(K85="W",IF(G85&lt;0,H85*100/ABS(G85),H85*G85/100),IF(K85="L",-H85,0))</f>
        <v/>
      </c>
      <c r="M85" s="11">
        <f>Settings!$B$4+SUM(L$2:L85)</f>
        <v/>
      </c>
    </row>
    <row r="86">
      <c r="J86" s="12">
        <f>IF(I86="","",I86-F86)</f>
        <v/>
      </c>
      <c r="L86" s="11">
        <f>IF(K86="W",IF(G86&lt;0,H86*100/ABS(G86),H86*G86/100),IF(K86="L",-H86,0))</f>
        <v/>
      </c>
      <c r="M86" s="11">
        <f>Settings!$B$4+SUM(L$2:L86)</f>
        <v/>
      </c>
    </row>
    <row r="87">
      <c r="J87" s="12">
        <f>IF(I87="","",I87-F87)</f>
        <v/>
      </c>
      <c r="L87" s="11">
        <f>IF(K87="W",IF(G87&lt;0,H87*100/ABS(G87),H87*G87/100),IF(K87="L",-H87,0))</f>
        <v/>
      </c>
      <c r="M87" s="11">
        <f>Settings!$B$4+SUM(L$2:L87)</f>
        <v/>
      </c>
    </row>
    <row r="88">
      <c r="J88" s="12">
        <f>IF(I88="","",I88-F88)</f>
        <v/>
      </c>
      <c r="L88" s="11">
        <f>IF(K88="W",IF(G88&lt;0,H88*100/ABS(G88),H88*G88/100),IF(K88="L",-H88,0))</f>
        <v/>
      </c>
      <c r="M88" s="11">
        <f>Settings!$B$4+SUM(L$2:L88)</f>
        <v/>
      </c>
    </row>
    <row r="89">
      <c r="J89" s="12">
        <f>IF(I89="","",I89-F89)</f>
        <v/>
      </c>
      <c r="L89" s="11">
        <f>IF(K89="W",IF(G89&lt;0,H89*100/ABS(G89),H89*G89/100),IF(K89="L",-H89,0))</f>
        <v/>
      </c>
      <c r="M89" s="11">
        <f>Settings!$B$4+SUM(L$2:L89)</f>
        <v/>
      </c>
    </row>
    <row r="90">
      <c r="J90" s="12">
        <f>IF(I90="","",I90-F90)</f>
        <v/>
      </c>
      <c r="L90" s="11">
        <f>IF(K90="W",IF(G90&lt;0,H90*100/ABS(G90),H90*G90/100),IF(K90="L",-H90,0))</f>
        <v/>
      </c>
      <c r="M90" s="11">
        <f>Settings!$B$4+SUM(L$2:L90)</f>
        <v/>
      </c>
    </row>
    <row r="91">
      <c r="J91" s="12">
        <f>IF(I91="","",I91-F91)</f>
        <v/>
      </c>
      <c r="L91" s="11">
        <f>IF(K91="W",IF(G91&lt;0,H91*100/ABS(G91),H91*G91/100),IF(K91="L",-H91,0))</f>
        <v/>
      </c>
      <c r="M91" s="11">
        <f>Settings!$B$4+SUM(L$2:L91)</f>
        <v/>
      </c>
    </row>
    <row r="92">
      <c r="J92" s="12">
        <f>IF(I92="","",I92-F92)</f>
        <v/>
      </c>
      <c r="L92" s="11">
        <f>IF(K92="W",IF(G92&lt;0,H92*100/ABS(G92),H92*G92/100),IF(K92="L",-H92,0))</f>
        <v/>
      </c>
      <c r="M92" s="11">
        <f>Settings!$B$4+SUM(L$2:L92)</f>
        <v/>
      </c>
    </row>
    <row r="93">
      <c r="J93" s="12">
        <f>IF(I93="","",I93-F93)</f>
        <v/>
      </c>
      <c r="L93" s="11">
        <f>IF(K93="W",IF(G93&lt;0,H93*100/ABS(G93),H93*G93/100),IF(K93="L",-H93,0))</f>
        <v/>
      </c>
      <c r="M93" s="11">
        <f>Settings!$B$4+SUM(L$2:L93)</f>
        <v/>
      </c>
    </row>
    <row r="94">
      <c r="J94" s="12">
        <f>IF(I94="","",I94-F94)</f>
        <v/>
      </c>
      <c r="L94" s="11">
        <f>IF(K94="W",IF(G94&lt;0,H94*100/ABS(G94),H94*G94/100),IF(K94="L",-H94,0))</f>
        <v/>
      </c>
      <c r="M94" s="11">
        <f>Settings!$B$4+SUM(L$2:L94)</f>
        <v/>
      </c>
    </row>
    <row r="95">
      <c r="J95" s="12">
        <f>IF(I95="","",I95-F95)</f>
        <v/>
      </c>
      <c r="L95" s="11">
        <f>IF(K95="W",IF(G95&lt;0,H95*100/ABS(G95),H95*G95/100),IF(K95="L",-H95,0))</f>
        <v/>
      </c>
      <c r="M95" s="11">
        <f>Settings!$B$4+SUM(L$2:L95)</f>
        <v/>
      </c>
    </row>
    <row r="96">
      <c r="J96" s="12">
        <f>IF(I96="","",I96-F96)</f>
        <v/>
      </c>
      <c r="L96" s="11">
        <f>IF(K96="W",IF(G96&lt;0,H96*100/ABS(G96),H96*G96/100),IF(K96="L",-H96,0))</f>
        <v/>
      </c>
      <c r="M96" s="11">
        <f>Settings!$B$4+SUM(L$2:L96)</f>
        <v/>
      </c>
    </row>
    <row r="97">
      <c r="J97" s="12">
        <f>IF(I97="","",I97-F97)</f>
        <v/>
      </c>
      <c r="L97" s="11">
        <f>IF(K97="W",IF(G97&lt;0,H97*100/ABS(G97),H97*G97/100),IF(K97="L",-H97,0))</f>
        <v/>
      </c>
      <c r="M97" s="11">
        <f>Settings!$B$4+SUM(L$2:L97)</f>
        <v/>
      </c>
    </row>
    <row r="98">
      <c r="J98" s="12">
        <f>IF(I98="","",I98-F98)</f>
        <v/>
      </c>
      <c r="L98" s="11">
        <f>IF(K98="W",IF(G98&lt;0,H98*100/ABS(G98),H98*G98/100),IF(K98="L",-H98,0))</f>
        <v/>
      </c>
      <c r="M98" s="11">
        <f>Settings!$B$4+SUM(L$2:L98)</f>
        <v/>
      </c>
    </row>
    <row r="99">
      <c r="J99" s="12">
        <f>IF(I99="","",I99-F99)</f>
        <v/>
      </c>
      <c r="L99" s="11">
        <f>IF(K99="W",IF(G99&lt;0,H99*100/ABS(G99),H99*G99/100),IF(K99="L",-H99,0))</f>
        <v/>
      </c>
      <c r="M99" s="11">
        <f>Settings!$B$4+SUM(L$2:L99)</f>
        <v/>
      </c>
    </row>
    <row r="100">
      <c r="J100" s="12">
        <f>IF(I100="","",I100-F100)</f>
        <v/>
      </c>
      <c r="L100" s="11">
        <f>IF(K100="W",IF(G100&lt;0,H100*100/ABS(G100),H100*G100/100),IF(K100="L",-H100,0))</f>
        <v/>
      </c>
      <c r="M100" s="11">
        <f>Settings!$B$4+SUM(L$2:L100)</f>
        <v/>
      </c>
    </row>
    <row r="101">
      <c r="J101" s="12">
        <f>IF(I101="","",I101-F101)</f>
        <v/>
      </c>
      <c r="L101" s="11">
        <f>IF(K101="W",IF(G101&lt;0,H101*100/ABS(G101),H101*G101/100),IF(K101="L",-H101,0))</f>
        <v/>
      </c>
      <c r="M101" s="11">
        <f>Settings!$B$4+SUM(L$2:L101)</f>
        <v/>
      </c>
    </row>
    <row r="102">
      <c r="J102" s="12">
        <f>IF(I102="","",I102-F102)</f>
        <v/>
      </c>
      <c r="L102" s="11">
        <f>IF(K102="W",IF(G102&lt;0,H102*100/ABS(G102),H102*G102/100),IF(K102="L",-H102,0))</f>
        <v/>
      </c>
      <c r="M102" s="11">
        <f>Settings!$B$4+SUM(L$2:L102)</f>
        <v/>
      </c>
    </row>
    <row r="103">
      <c r="J103" s="12">
        <f>IF(I103="","",I103-F103)</f>
        <v/>
      </c>
      <c r="L103" s="11">
        <f>IF(K103="W",IF(G103&lt;0,H103*100/ABS(G103),H103*G103/100),IF(K103="L",-H103,0))</f>
        <v/>
      </c>
      <c r="M103" s="11">
        <f>Settings!$B$4+SUM(L$2:L103)</f>
        <v/>
      </c>
    </row>
    <row r="104">
      <c r="J104" s="12">
        <f>IF(I104="","",I104-F104)</f>
        <v/>
      </c>
      <c r="L104" s="11">
        <f>IF(K104="W",IF(G104&lt;0,H104*100/ABS(G104),H104*G104/100),IF(K104="L",-H104,0))</f>
        <v/>
      </c>
      <c r="M104" s="11">
        <f>Settings!$B$4+SUM(L$2:L104)</f>
        <v/>
      </c>
    </row>
    <row r="105">
      <c r="J105" s="12">
        <f>IF(I105="","",I105-F105)</f>
        <v/>
      </c>
      <c r="L105" s="11">
        <f>IF(K105="W",IF(G105&lt;0,H105*100/ABS(G105),H105*G105/100),IF(K105="L",-H105,0))</f>
        <v/>
      </c>
      <c r="M105" s="11">
        <f>Settings!$B$4+SUM(L$2:L105)</f>
        <v/>
      </c>
    </row>
    <row r="106">
      <c r="J106" s="12">
        <f>IF(I106="","",I106-F106)</f>
        <v/>
      </c>
      <c r="L106" s="11">
        <f>IF(K106="W",IF(G106&lt;0,H106*100/ABS(G106),H106*G106/100),IF(K106="L",-H106,0))</f>
        <v/>
      </c>
      <c r="M106" s="11">
        <f>Settings!$B$4+SUM(L$2:L106)</f>
        <v/>
      </c>
    </row>
    <row r="107">
      <c r="J107" s="12">
        <f>IF(I107="","",I107-F107)</f>
        <v/>
      </c>
      <c r="L107" s="11">
        <f>IF(K107="W",IF(G107&lt;0,H107*100/ABS(G107),H107*G107/100),IF(K107="L",-H107,0))</f>
        <v/>
      </c>
      <c r="M107" s="11">
        <f>Settings!$B$4+SUM(L$2:L107)</f>
        <v/>
      </c>
    </row>
    <row r="108">
      <c r="J108" s="12">
        <f>IF(I108="","",I108-F108)</f>
        <v/>
      </c>
      <c r="L108" s="11">
        <f>IF(K108="W",IF(G108&lt;0,H108*100/ABS(G108),H108*G108/100),IF(K108="L",-H108,0))</f>
        <v/>
      </c>
      <c r="M108" s="11">
        <f>Settings!$B$4+SUM(L$2:L108)</f>
        <v/>
      </c>
    </row>
    <row r="109">
      <c r="J109" s="12">
        <f>IF(I109="","",I109-F109)</f>
        <v/>
      </c>
      <c r="L109" s="11">
        <f>IF(K109="W",IF(G109&lt;0,H109*100/ABS(G109),H109*G109/100),IF(K109="L",-H109,0))</f>
        <v/>
      </c>
      <c r="M109" s="11">
        <f>Settings!$B$4+SUM(L$2:L109)</f>
        <v/>
      </c>
    </row>
    <row r="110">
      <c r="J110" s="12">
        <f>IF(I110="","",I110-F110)</f>
        <v/>
      </c>
      <c r="L110" s="11">
        <f>IF(K110="W",IF(G110&lt;0,H110*100/ABS(G110),H110*G110/100),IF(K110="L",-H110,0))</f>
        <v/>
      </c>
      <c r="M110" s="11">
        <f>Settings!$B$4+SUM(L$2:L110)</f>
        <v/>
      </c>
    </row>
    <row r="111">
      <c r="J111" s="12">
        <f>IF(I111="","",I111-F111)</f>
        <v/>
      </c>
      <c r="L111" s="11">
        <f>IF(K111="W",IF(G111&lt;0,H111*100/ABS(G111),H111*G111/100),IF(K111="L",-H111,0))</f>
        <v/>
      </c>
      <c r="M111" s="11">
        <f>Settings!$B$4+SUM(L$2:L111)</f>
        <v/>
      </c>
    </row>
    <row r="112">
      <c r="J112" s="12">
        <f>IF(I112="","",I112-F112)</f>
        <v/>
      </c>
      <c r="L112" s="11">
        <f>IF(K112="W",IF(G112&lt;0,H112*100/ABS(G112),H112*G112/100),IF(K112="L",-H112,0))</f>
        <v/>
      </c>
      <c r="M112" s="11">
        <f>Settings!$B$4+SUM(L$2:L112)</f>
        <v/>
      </c>
    </row>
    <row r="113">
      <c r="J113" s="12">
        <f>IF(I113="","",I113-F113)</f>
        <v/>
      </c>
      <c r="L113" s="11">
        <f>IF(K113="W",IF(G113&lt;0,H113*100/ABS(G113),H113*G113/100),IF(K113="L",-H113,0))</f>
        <v/>
      </c>
      <c r="M113" s="11">
        <f>Settings!$B$4+SUM(L$2:L113)</f>
        <v/>
      </c>
    </row>
    <row r="114">
      <c r="J114" s="12">
        <f>IF(I114="","",I114-F114)</f>
        <v/>
      </c>
      <c r="L114" s="11">
        <f>IF(K114="W",IF(G114&lt;0,H114*100/ABS(G114),H114*G114/100),IF(K114="L",-H114,0))</f>
        <v/>
      </c>
      <c r="M114" s="11">
        <f>Settings!$B$4+SUM(L$2:L114)</f>
        <v/>
      </c>
    </row>
    <row r="115">
      <c r="J115" s="12">
        <f>IF(I115="","",I115-F115)</f>
        <v/>
      </c>
      <c r="L115" s="11">
        <f>IF(K115="W",IF(G115&lt;0,H115*100/ABS(G115),H115*G115/100),IF(K115="L",-H115,0))</f>
        <v/>
      </c>
      <c r="M115" s="11">
        <f>Settings!$B$4+SUM(L$2:L115)</f>
        <v/>
      </c>
    </row>
    <row r="116">
      <c r="J116" s="12">
        <f>IF(I116="","",I116-F116)</f>
        <v/>
      </c>
      <c r="L116" s="11">
        <f>IF(K116="W",IF(G116&lt;0,H116*100/ABS(G116),H116*G116/100),IF(K116="L",-H116,0))</f>
        <v/>
      </c>
      <c r="M116" s="11">
        <f>Settings!$B$4+SUM(L$2:L116)</f>
        <v/>
      </c>
    </row>
    <row r="117">
      <c r="J117" s="12">
        <f>IF(I117="","",I117-F117)</f>
        <v/>
      </c>
      <c r="L117" s="11">
        <f>IF(K117="W",IF(G117&lt;0,H117*100/ABS(G117),H117*G117/100),IF(K117="L",-H117,0))</f>
        <v/>
      </c>
      <c r="M117" s="11">
        <f>Settings!$B$4+SUM(L$2:L117)</f>
        <v/>
      </c>
    </row>
    <row r="118">
      <c r="J118" s="12">
        <f>IF(I118="","",I118-F118)</f>
        <v/>
      </c>
      <c r="L118" s="11">
        <f>IF(K118="W",IF(G118&lt;0,H118*100/ABS(G118),H118*G118/100),IF(K118="L",-H118,0))</f>
        <v/>
      </c>
      <c r="M118" s="11">
        <f>Settings!$B$4+SUM(L$2:L118)</f>
        <v/>
      </c>
    </row>
    <row r="119">
      <c r="J119" s="12">
        <f>IF(I119="","",I119-F119)</f>
        <v/>
      </c>
      <c r="L119" s="11">
        <f>IF(K119="W",IF(G119&lt;0,H119*100/ABS(G119),H119*G119/100),IF(K119="L",-H119,0))</f>
        <v/>
      </c>
      <c r="M119" s="11">
        <f>Settings!$B$4+SUM(L$2:L119)</f>
        <v/>
      </c>
    </row>
    <row r="120">
      <c r="J120" s="12">
        <f>IF(I120="","",I120-F120)</f>
        <v/>
      </c>
      <c r="L120" s="11">
        <f>IF(K120="W",IF(G120&lt;0,H120*100/ABS(G120),H120*G120/100),IF(K120="L",-H120,0))</f>
        <v/>
      </c>
      <c r="M120" s="11">
        <f>Settings!$B$4+SUM(L$2:L120)</f>
        <v/>
      </c>
    </row>
    <row r="121">
      <c r="J121" s="12">
        <f>IF(I121="","",I121-F121)</f>
        <v/>
      </c>
      <c r="L121" s="11">
        <f>IF(K121="W",IF(G121&lt;0,H121*100/ABS(G121),H121*G121/100),IF(K121="L",-H121,0))</f>
        <v/>
      </c>
      <c r="M121" s="11">
        <f>Settings!$B$4+SUM(L$2:L121)</f>
        <v/>
      </c>
    </row>
    <row r="122">
      <c r="J122" s="12">
        <f>IF(I122="","",I122-F122)</f>
        <v/>
      </c>
      <c r="L122" s="11">
        <f>IF(K122="W",IF(G122&lt;0,H122*100/ABS(G122),H122*G122/100),IF(K122="L",-H122,0))</f>
        <v/>
      </c>
      <c r="M122" s="11">
        <f>Settings!$B$4+SUM(L$2:L122)</f>
        <v/>
      </c>
    </row>
    <row r="123">
      <c r="J123" s="12">
        <f>IF(I123="","",I123-F123)</f>
        <v/>
      </c>
      <c r="L123" s="11">
        <f>IF(K123="W",IF(G123&lt;0,H123*100/ABS(G123),H123*G123/100),IF(K123="L",-H123,0))</f>
        <v/>
      </c>
      <c r="M123" s="11">
        <f>Settings!$B$4+SUM(L$2:L123)</f>
        <v/>
      </c>
    </row>
    <row r="124">
      <c r="J124" s="12">
        <f>IF(I124="","",I124-F124)</f>
        <v/>
      </c>
      <c r="L124" s="11">
        <f>IF(K124="W",IF(G124&lt;0,H124*100/ABS(G124),H124*G124/100),IF(K124="L",-H124,0))</f>
        <v/>
      </c>
      <c r="M124" s="11">
        <f>Settings!$B$4+SUM(L$2:L124)</f>
        <v/>
      </c>
    </row>
    <row r="125">
      <c r="J125" s="12">
        <f>IF(I125="","",I125-F125)</f>
        <v/>
      </c>
      <c r="L125" s="11">
        <f>IF(K125="W",IF(G125&lt;0,H125*100/ABS(G125),H125*G125/100),IF(K125="L",-H125,0))</f>
        <v/>
      </c>
      <c r="M125" s="11">
        <f>Settings!$B$4+SUM(L$2:L125)</f>
        <v/>
      </c>
    </row>
    <row r="126">
      <c r="J126" s="12">
        <f>IF(I126="","",I126-F126)</f>
        <v/>
      </c>
      <c r="L126" s="11">
        <f>IF(K126="W",IF(G126&lt;0,H126*100/ABS(G126),H126*G126/100),IF(K126="L",-H126,0))</f>
        <v/>
      </c>
      <c r="M126" s="11">
        <f>Settings!$B$4+SUM(L$2:L126)</f>
        <v/>
      </c>
    </row>
    <row r="127">
      <c r="J127" s="12">
        <f>IF(I127="","",I127-F127)</f>
        <v/>
      </c>
      <c r="L127" s="11">
        <f>IF(K127="W",IF(G127&lt;0,H127*100/ABS(G127),H127*G127/100),IF(K127="L",-H127,0))</f>
        <v/>
      </c>
      <c r="M127" s="11">
        <f>Settings!$B$4+SUM(L$2:L127)</f>
        <v/>
      </c>
    </row>
    <row r="128">
      <c r="J128" s="12">
        <f>IF(I128="","",I128-F128)</f>
        <v/>
      </c>
      <c r="L128" s="11">
        <f>IF(K128="W",IF(G128&lt;0,H128*100/ABS(G128),H128*G128/100),IF(K128="L",-H128,0))</f>
        <v/>
      </c>
      <c r="M128" s="11">
        <f>Settings!$B$4+SUM(L$2:L128)</f>
        <v/>
      </c>
    </row>
    <row r="129">
      <c r="J129" s="12">
        <f>IF(I129="","",I129-F129)</f>
        <v/>
      </c>
      <c r="L129" s="11">
        <f>IF(K129="W",IF(G129&lt;0,H129*100/ABS(G129),H129*G129/100),IF(K129="L",-H129,0))</f>
        <v/>
      </c>
      <c r="M129" s="11">
        <f>Settings!$B$4+SUM(L$2:L129)</f>
        <v/>
      </c>
    </row>
    <row r="130">
      <c r="J130" s="12">
        <f>IF(I130="","",I130-F130)</f>
        <v/>
      </c>
      <c r="L130" s="11">
        <f>IF(K130="W",IF(G130&lt;0,H130*100/ABS(G130),H130*G130/100),IF(K130="L",-H130,0))</f>
        <v/>
      </c>
      <c r="M130" s="11">
        <f>Settings!$B$4+SUM(L$2:L130)</f>
        <v/>
      </c>
    </row>
    <row r="131">
      <c r="J131" s="12">
        <f>IF(I131="","",I131-F131)</f>
        <v/>
      </c>
      <c r="L131" s="11">
        <f>IF(K131="W",IF(G131&lt;0,H131*100/ABS(G131),H131*G131/100),IF(K131="L",-H131,0))</f>
        <v/>
      </c>
      <c r="M131" s="11">
        <f>Settings!$B$4+SUM(L$2:L131)</f>
        <v/>
      </c>
    </row>
    <row r="132">
      <c r="J132" s="12">
        <f>IF(I132="","",I132-F132)</f>
        <v/>
      </c>
      <c r="L132" s="11">
        <f>IF(K132="W",IF(G132&lt;0,H132*100/ABS(G132),H132*G132/100),IF(K132="L",-H132,0))</f>
        <v/>
      </c>
      <c r="M132" s="11">
        <f>Settings!$B$4+SUM(L$2:L132)</f>
        <v/>
      </c>
    </row>
    <row r="133">
      <c r="J133" s="12">
        <f>IF(I133="","",I133-F133)</f>
        <v/>
      </c>
      <c r="L133" s="11">
        <f>IF(K133="W",IF(G133&lt;0,H133*100/ABS(G133),H133*G133/100),IF(K133="L",-H133,0))</f>
        <v/>
      </c>
      <c r="M133" s="11">
        <f>Settings!$B$4+SUM(L$2:L133)</f>
        <v/>
      </c>
    </row>
    <row r="134">
      <c r="J134" s="12">
        <f>IF(I134="","",I134-F134)</f>
        <v/>
      </c>
      <c r="L134" s="11">
        <f>IF(K134="W",IF(G134&lt;0,H134*100/ABS(G134),H134*G134/100),IF(K134="L",-H134,0))</f>
        <v/>
      </c>
      <c r="M134" s="11">
        <f>Settings!$B$4+SUM(L$2:L134)</f>
        <v/>
      </c>
    </row>
    <row r="135">
      <c r="J135" s="12">
        <f>IF(I135="","",I135-F135)</f>
        <v/>
      </c>
      <c r="L135" s="11">
        <f>IF(K135="W",IF(G135&lt;0,H135*100/ABS(G135),H135*G135/100),IF(K135="L",-H135,0))</f>
        <v/>
      </c>
      <c r="M135" s="11">
        <f>Settings!$B$4+SUM(L$2:L135)</f>
        <v/>
      </c>
    </row>
    <row r="136">
      <c r="J136" s="12">
        <f>IF(I136="","",I136-F136)</f>
        <v/>
      </c>
      <c r="L136" s="11">
        <f>IF(K136="W",IF(G136&lt;0,H136*100/ABS(G136),H136*G136/100),IF(K136="L",-H136,0))</f>
        <v/>
      </c>
      <c r="M136" s="11">
        <f>Settings!$B$4+SUM(L$2:L136)</f>
        <v/>
      </c>
    </row>
    <row r="137">
      <c r="J137" s="12">
        <f>IF(I137="","",I137-F137)</f>
        <v/>
      </c>
      <c r="L137" s="11">
        <f>IF(K137="W",IF(G137&lt;0,H137*100/ABS(G137),H137*G137/100),IF(K137="L",-H137,0))</f>
        <v/>
      </c>
      <c r="M137" s="11">
        <f>Settings!$B$4+SUM(L$2:L137)</f>
        <v/>
      </c>
    </row>
    <row r="138">
      <c r="J138" s="12">
        <f>IF(I138="","",I138-F138)</f>
        <v/>
      </c>
      <c r="L138" s="11">
        <f>IF(K138="W",IF(G138&lt;0,H138*100/ABS(G138),H138*G138/100),IF(K138="L",-H138,0))</f>
        <v/>
      </c>
      <c r="M138" s="11">
        <f>Settings!$B$4+SUM(L$2:L138)</f>
        <v/>
      </c>
    </row>
    <row r="139">
      <c r="J139" s="12">
        <f>IF(I139="","",I139-F139)</f>
        <v/>
      </c>
      <c r="L139" s="11">
        <f>IF(K139="W",IF(G139&lt;0,H139*100/ABS(G139),H139*G139/100),IF(K139="L",-H139,0))</f>
        <v/>
      </c>
      <c r="M139" s="11">
        <f>Settings!$B$4+SUM(L$2:L139)</f>
        <v/>
      </c>
    </row>
    <row r="140">
      <c r="J140" s="12">
        <f>IF(I140="","",I140-F140)</f>
        <v/>
      </c>
      <c r="L140" s="11">
        <f>IF(K140="W",IF(G140&lt;0,H140*100/ABS(G140),H140*G140/100),IF(K140="L",-H140,0))</f>
        <v/>
      </c>
      <c r="M140" s="11">
        <f>Settings!$B$4+SUM(L$2:L140)</f>
        <v/>
      </c>
    </row>
    <row r="141">
      <c r="J141" s="12">
        <f>IF(I141="","",I141-F141)</f>
        <v/>
      </c>
      <c r="L141" s="11">
        <f>IF(K141="W",IF(G141&lt;0,H141*100/ABS(G141),H141*G141/100),IF(K141="L",-H141,0))</f>
        <v/>
      </c>
      <c r="M141" s="11">
        <f>Settings!$B$4+SUM(L$2:L141)</f>
        <v/>
      </c>
    </row>
    <row r="142">
      <c r="J142" s="12">
        <f>IF(I142="","",I142-F142)</f>
        <v/>
      </c>
      <c r="L142" s="11">
        <f>IF(K142="W",IF(G142&lt;0,H142*100/ABS(G142),H142*G142/100),IF(K142="L",-H142,0))</f>
        <v/>
      </c>
      <c r="M142" s="11">
        <f>Settings!$B$4+SUM(L$2:L142)</f>
        <v/>
      </c>
    </row>
    <row r="143">
      <c r="J143" s="12">
        <f>IF(I143="","",I143-F143)</f>
        <v/>
      </c>
      <c r="L143" s="11">
        <f>IF(K143="W",IF(G143&lt;0,H143*100/ABS(G143),H143*G143/100),IF(K143="L",-H143,0))</f>
        <v/>
      </c>
      <c r="M143" s="11">
        <f>Settings!$B$4+SUM(L$2:L143)</f>
        <v/>
      </c>
    </row>
    <row r="144">
      <c r="J144" s="12">
        <f>IF(I144="","",I144-F144)</f>
        <v/>
      </c>
      <c r="L144" s="11">
        <f>IF(K144="W",IF(G144&lt;0,H144*100/ABS(G144),H144*G144/100),IF(K144="L",-H144,0))</f>
        <v/>
      </c>
      <c r="M144" s="11">
        <f>Settings!$B$4+SUM(L$2:L144)</f>
        <v/>
      </c>
    </row>
    <row r="145">
      <c r="J145" s="12">
        <f>IF(I145="","",I145-F145)</f>
        <v/>
      </c>
      <c r="L145" s="11">
        <f>IF(K145="W",IF(G145&lt;0,H145*100/ABS(G145),H145*G145/100),IF(K145="L",-H145,0))</f>
        <v/>
      </c>
      <c r="M145" s="11">
        <f>Settings!$B$4+SUM(L$2:L145)</f>
        <v/>
      </c>
    </row>
    <row r="146">
      <c r="J146" s="12">
        <f>IF(I146="","",I146-F146)</f>
        <v/>
      </c>
      <c r="L146" s="11">
        <f>IF(K146="W",IF(G146&lt;0,H146*100/ABS(G146),H146*G146/100),IF(K146="L",-H146,0))</f>
        <v/>
      </c>
      <c r="M146" s="11">
        <f>Settings!$B$4+SUM(L$2:L146)</f>
        <v/>
      </c>
    </row>
    <row r="147">
      <c r="J147" s="12">
        <f>IF(I147="","",I147-F147)</f>
        <v/>
      </c>
      <c r="L147" s="11">
        <f>IF(K147="W",IF(G147&lt;0,H147*100/ABS(G147),H147*G147/100),IF(K147="L",-H147,0))</f>
        <v/>
      </c>
      <c r="M147" s="11">
        <f>Settings!$B$4+SUM(L$2:L147)</f>
        <v/>
      </c>
    </row>
    <row r="148">
      <c r="J148" s="12">
        <f>IF(I148="","",I148-F148)</f>
        <v/>
      </c>
      <c r="L148" s="11">
        <f>IF(K148="W",IF(G148&lt;0,H148*100/ABS(G148),H148*G148/100),IF(K148="L",-H148,0))</f>
        <v/>
      </c>
      <c r="M148" s="11">
        <f>Settings!$B$4+SUM(L$2:L148)</f>
        <v/>
      </c>
    </row>
    <row r="149">
      <c r="J149" s="12">
        <f>IF(I149="","",I149-F149)</f>
        <v/>
      </c>
      <c r="L149" s="11">
        <f>IF(K149="W",IF(G149&lt;0,H149*100/ABS(G149),H149*G149/100),IF(K149="L",-H149,0))</f>
        <v/>
      </c>
      <c r="M149" s="11">
        <f>Settings!$B$4+SUM(L$2:L149)</f>
        <v/>
      </c>
    </row>
    <row r="150">
      <c r="J150" s="12">
        <f>IF(I150="","",I150-F150)</f>
        <v/>
      </c>
      <c r="L150" s="11">
        <f>IF(K150="W",IF(G150&lt;0,H150*100/ABS(G150),H150*G150/100),IF(K150="L",-H150,0))</f>
        <v/>
      </c>
      <c r="M150" s="11">
        <f>Settings!$B$4+SUM(L$2:L150)</f>
        <v/>
      </c>
    </row>
    <row r="151">
      <c r="J151" s="12">
        <f>IF(I151="","",I151-F151)</f>
        <v/>
      </c>
      <c r="L151" s="11">
        <f>IF(K151="W",IF(G151&lt;0,H151*100/ABS(G151),H151*G151/100),IF(K151="L",-H151,0))</f>
        <v/>
      </c>
      <c r="M151" s="11">
        <f>Settings!$B$4+SUM(L$2:L151)</f>
        <v/>
      </c>
    </row>
    <row r="152">
      <c r="J152" s="12">
        <f>IF(I152="","",I152-F152)</f>
        <v/>
      </c>
      <c r="L152" s="11">
        <f>IF(K152="W",IF(G152&lt;0,H152*100/ABS(G152),H152*G152/100),IF(K152="L",-H152,0))</f>
        <v/>
      </c>
      <c r="M152" s="11">
        <f>Settings!$B$4+SUM(L$2:L152)</f>
        <v/>
      </c>
    </row>
    <row r="153">
      <c r="J153" s="12">
        <f>IF(I153="","",I153-F153)</f>
        <v/>
      </c>
      <c r="L153" s="11">
        <f>IF(K153="W",IF(G153&lt;0,H153*100/ABS(G153),H153*G153/100),IF(K153="L",-H153,0))</f>
        <v/>
      </c>
      <c r="M153" s="11">
        <f>Settings!$B$4+SUM(L$2:L153)</f>
        <v/>
      </c>
    </row>
    <row r="154">
      <c r="J154" s="12">
        <f>IF(I154="","",I154-F154)</f>
        <v/>
      </c>
      <c r="L154" s="11">
        <f>IF(K154="W",IF(G154&lt;0,H154*100/ABS(G154),H154*G154/100),IF(K154="L",-H154,0))</f>
        <v/>
      </c>
      <c r="M154" s="11">
        <f>Settings!$B$4+SUM(L$2:L154)</f>
        <v/>
      </c>
    </row>
    <row r="155">
      <c r="J155" s="12">
        <f>IF(I155="","",I155-F155)</f>
        <v/>
      </c>
      <c r="L155" s="11">
        <f>IF(K155="W",IF(G155&lt;0,H155*100/ABS(G155),H155*G155/100),IF(K155="L",-H155,0))</f>
        <v/>
      </c>
      <c r="M155" s="11">
        <f>Settings!$B$4+SUM(L$2:L155)</f>
        <v/>
      </c>
    </row>
    <row r="156">
      <c r="J156" s="12">
        <f>IF(I156="","",I156-F156)</f>
        <v/>
      </c>
      <c r="L156" s="11">
        <f>IF(K156="W",IF(G156&lt;0,H156*100/ABS(G156),H156*G156/100),IF(K156="L",-H156,0))</f>
        <v/>
      </c>
      <c r="M156" s="11">
        <f>Settings!$B$4+SUM(L$2:L156)</f>
        <v/>
      </c>
    </row>
    <row r="157">
      <c r="J157" s="12">
        <f>IF(I157="","",I157-F157)</f>
        <v/>
      </c>
      <c r="L157" s="11">
        <f>IF(K157="W",IF(G157&lt;0,H157*100/ABS(G157),H157*G157/100),IF(K157="L",-H157,0))</f>
        <v/>
      </c>
      <c r="M157" s="11">
        <f>Settings!$B$4+SUM(L$2:L157)</f>
        <v/>
      </c>
    </row>
    <row r="158">
      <c r="J158" s="12">
        <f>IF(I158="","",I158-F158)</f>
        <v/>
      </c>
      <c r="L158" s="11">
        <f>IF(K158="W",IF(G158&lt;0,H158*100/ABS(G158),H158*G158/100),IF(K158="L",-H158,0))</f>
        <v/>
      </c>
      <c r="M158" s="11">
        <f>Settings!$B$4+SUM(L$2:L158)</f>
        <v/>
      </c>
    </row>
    <row r="159">
      <c r="J159" s="12">
        <f>IF(I159="","",I159-F159)</f>
        <v/>
      </c>
      <c r="L159" s="11">
        <f>IF(K159="W",IF(G159&lt;0,H159*100/ABS(G159),H159*G159/100),IF(K159="L",-H159,0))</f>
        <v/>
      </c>
      <c r="M159" s="11">
        <f>Settings!$B$4+SUM(L$2:L159)</f>
        <v/>
      </c>
    </row>
    <row r="160">
      <c r="J160" s="12">
        <f>IF(I160="","",I160-F160)</f>
        <v/>
      </c>
      <c r="L160" s="11">
        <f>IF(K160="W",IF(G160&lt;0,H160*100/ABS(G160),H160*G160/100),IF(K160="L",-H160,0))</f>
        <v/>
      </c>
      <c r="M160" s="11">
        <f>Settings!$B$4+SUM(L$2:L160)</f>
        <v/>
      </c>
    </row>
    <row r="161">
      <c r="J161" s="12">
        <f>IF(I161="","",I161-F161)</f>
        <v/>
      </c>
      <c r="L161" s="11">
        <f>IF(K161="W",IF(G161&lt;0,H161*100/ABS(G161),H161*G161/100),IF(K161="L",-H161,0))</f>
        <v/>
      </c>
      <c r="M161" s="11">
        <f>Settings!$B$4+SUM(L$2:L161)</f>
        <v/>
      </c>
    </row>
    <row r="162">
      <c r="J162" s="12">
        <f>IF(I162="","",I162-F162)</f>
        <v/>
      </c>
      <c r="L162" s="11">
        <f>IF(K162="W",IF(G162&lt;0,H162*100/ABS(G162),H162*G162/100),IF(K162="L",-H162,0))</f>
        <v/>
      </c>
      <c r="M162" s="11">
        <f>Settings!$B$4+SUM(L$2:L162)</f>
        <v/>
      </c>
    </row>
    <row r="163">
      <c r="J163" s="12">
        <f>IF(I163="","",I163-F163)</f>
        <v/>
      </c>
      <c r="L163" s="11">
        <f>IF(K163="W",IF(G163&lt;0,H163*100/ABS(G163),H163*G163/100),IF(K163="L",-H163,0))</f>
        <v/>
      </c>
      <c r="M163" s="11">
        <f>Settings!$B$4+SUM(L$2:L163)</f>
        <v/>
      </c>
    </row>
    <row r="164">
      <c r="J164" s="12">
        <f>IF(I164="","",I164-F164)</f>
        <v/>
      </c>
      <c r="L164" s="11">
        <f>IF(K164="W",IF(G164&lt;0,H164*100/ABS(G164),H164*G164/100),IF(K164="L",-H164,0))</f>
        <v/>
      </c>
      <c r="M164" s="11">
        <f>Settings!$B$4+SUM(L$2:L164)</f>
        <v/>
      </c>
    </row>
    <row r="165">
      <c r="J165" s="12">
        <f>IF(I165="","",I165-F165)</f>
        <v/>
      </c>
      <c r="L165" s="11">
        <f>IF(K165="W",IF(G165&lt;0,H165*100/ABS(G165),H165*G165/100),IF(K165="L",-H165,0))</f>
        <v/>
      </c>
      <c r="M165" s="11">
        <f>Settings!$B$4+SUM(L$2:L165)</f>
        <v/>
      </c>
    </row>
    <row r="166">
      <c r="J166" s="12">
        <f>IF(I166="","",I166-F166)</f>
        <v/>
      </c>
      <c r="L166" s="11">
        <f>IF(K166="W",IF(G166&lt;0,H166*100/ABS(G166),H166*G166/100),IF(K166="L",-H166,0))</f>
        <v/>
      </c>
      <c r="M166" s="11">
        <f>Settings!$B$4+SUM(L$2:L166)</f>
        <v/>
      </c>
    </row>
    <row r="167">
      <c r="J167" s="12">
        <f>IF(I167="","",I167-F167)</f>
        <v/>
      </c>
      <c r="L167" s="11">
        <f>IF(K167="W",IF(G167&lt;0,H167*100/ABS(G167),H167*G167/100),IF(K167="L",-H167,0))</f>
        <v/>
      </c>
      <c r="M167" s="11">
        <f>Settings!$B$4+SUM(L$2:L167)</f>
        <v/>
      </c>
    </row>
    <row r="168">
      <c r="J168" s="12">
        <f>IF(I168="","",I168-F168)</f>
        <v/>
      </c>
      <c r="L168" s="11">
        <f>IF(K168="W",IF(G168&lt;0,H168*100/ABS(G168),H168*G168/100),IF(K168="L",-H168,0))</f>
        <v/>
      </c>
      <c r="M168" s="11">
        <f>Settings!$B$4+SUM(L$2:L168)</f>
        <v/>
      </c>
    </row>
    <row r="169">
      <c r="J169" s="12">
        <f>IF(I169="","",I169-F169)</f>
        <v/>
      </c>
      <c r="L169" s="11">
        <f>IF(K169="W",IF(G169&lt;0,H169*100/ABS(G169),H169*G169/100),IF(K169="L",-H169,0))</f>
        <v/>
      </c>
      <c r="M169" s="11">
        <f>Settings!$B$4+SUM(L$2:L169)</f>
        <v/>
      </c>
    </row>
    <row r="170">
      <c r="J170" s="12">
        <f>IF(I170="","",I170-F170)</f>
        <v/>
      </c>
      <c r="L170" s="11">
        <f>IF(K170="W",IF(G170&lt;0,H170*100/ABS(G170),H170*G170/100),IF(K170="L",-H170,0))</f>
        <v/>
      </c>
      <c r="M170" s="11">
        <f>Settings!$B$4+SUM(L$2:L170)</f>
        <v/>
      </c>
    </row>
    <row r="171">
      <c r="J171" s="12">
        <f>IF(I171="","",I171-F171)</f>
        <v/>
      </c>
      <c r="L171" s="11">
        <f>IF(K171="W",IF(G171&lt;0,H171*100/ABS(G171),H171*G171/100),IF(K171="L",-H171,0))</f>
        <v/>
      </c>
      <c r="M171" s="11">
        <f>Settings!$B$4+SUM(L$2:L171)</f>
        <v/>
      </c>
    </row>
    <row r="172">
      <c r="J172" s="12">
        <f>IF(I172="","",I172-F172)</f>
        <v/>
      </c>
      <c r="L172" s="11">
        <f>IF(K172="W",IF(G172&lt;0,H172*100/ABS(G172),H172*G172/100),IF(K172="L",-H172,0))</f>
        <v/>
      </c>
      <c r="M172" s="11">
        <f>Settings!$B$4+SUM(L$2:L172)</f>
        <v/>
      </c>
    </row>
    <row r="173">
      <c r="J173" s="12">
        <f>IF(I173="","",I173-F173)</f>
        <v/>
      </c>
      <c r="L173" s="11">
        <f>IF(K173="W",IF(G173&lt;0,H173*100/ABS(G173),H173*G173/100),IF(K173="L",-H173,0))</f>
        <v/>
      </c>
      <c r="M173" s="11">
        <f>Settings!$B$4+SUM(L$2:L173)</f>
        <v/>
      </c>
    </row>
    <row r="174">
      <c r="J174" s="12">
        <f>IF(I174="","",I174-F174)</f>
        <v/>
      </c>
      <c r="L174" s="11">
        <f>IF(K174="W",IF(G174&lt;0,H174*100/ABS(G174),H174*G174/100),IF(K174="L",-H174,0))</f>
        <v/>
      </c>
      <c r="M174" s="11">
        <f>Settings!$B$4+SUM(L$2:L174)</f>
        <v/>
      </c>
    </row>
    <row r="175">
      <c r="J175" s="12">
        <f>IF(I175="","",I175-F175)</f>
        <v/>
      </c>
      <c r="L175" s="11">
        <f>IF(K175="W",IF(G175&lt;0,H175*100/ABS(G175),H175*G175/100),IF(K175="L",-H175,0))</f>
        <v/>
      </c>
      <c r="M175" s="11">
        <f>Settings!$B$4+SUM(L$2:L175)</f>
        <v/>
      </c>
    </row>
    <row r="176">
      <c r="J176" s="12">
        <f>IF(I176="","",I176-F176)</f>
        <v/>
      </c>
      <c r="L176" s="11">
        <f>IF(K176="W",IF(G176&lt;0,H176*100/ABS(G176),H176*G176/100),IF(K176="L",-H176,0))</f>
        <v/>
      </c>
      <c r="M176" s="11">
        <f>Settings!$B$4+SUM(L$2:L176)</f>
        <v/>
      </c>
    </row>
    <row r="177">
      <c r="J177" s="12">
        <f>IF(I177="","",I177-F177)</f>
        <v/>
      </c>
      <c r="L177" s="11">
        <f>IF(K177="W",IF(G177&lt;0,H177*100/ABS(G177),H177*G177/100),IF(K177="L",-H177,0))</f>
        <v/>
      </c>
      <c r="M177" s="11">
        <f>Settings!$B$4+SUM(L$2:L177)</f>
        <v/>
      </c>
    </row>
    <row r="178">
      <c r="J178" s="12">
        <f>IF(I178="","",I178-F178)</f>
        <v/>
      </c>
      <c r="L178" s="11">
        <f>IF(K178="W",IF(G178&lt;0,H178*100/ABS(G178),H178*G178/100),IF(K178="L",-H178,0))</f>
        <v/>
      </c>
      <c r="M178" s="11">
        <f>Settings!$B$4+SUM(L$2:L178)</f>
        <v/>
      </c>
    </row>
    <row r="179">
      <c r="J179" s="12">
        <f>IF(I179="","",I179-F179)</f>
        <v/>
      </c>
      <c r="L179" s="11">
        <f>IF(K179="W",IF(G179&lt;0,H179*100/ABS(G179),H179*G179/100),IF(K179="L",-H179,0))</f>
        <v/>
      </c>
      <c r="M179" s="11">
        <f>Settings!$B$4+SUM(L$2:L179)</f>
        <v/>
      </c>
    </row>
    <row r="180">
      <c r="J180" s="12">
        <f>IF(I180="","",I180-F180)</f>
        <v/>
      </c>
      <c r="L180" s="11">
        <f>IF(K180="W",IF(G180&lt;0,H180*100/ABS(G180),H180*G180/100),IF(K180="L",-H180,0))</f>
        <v/>
      </c>
      <c r="M180" s="11">
        <f>Settings!$B$4+SUM(L$2:L180)</f>
        <v/>
      </c>
    </row>
    <row r="181">
      <c r="J181" s="12">
        <f>IF(I181="","",I181-F181)</f>
        <v/>
      </c>
      <c r="L181" s="11">
        <f>IF(K181="W",IF(G181&lt;0,H181*100/ABS(G181),H181*G181/100),IF(K181="L",-H181,0))</f>
        <v/>
      </c>
      <c r="M181" s="11">
        <f>Settings!$B$4+SUM(L$2:L181)</f>
        <v/>
      </c>
    </row>
    <row r="182">
      <c r="J182" s="12">
        <f>IF(I182="","",I182-F182)</f>
        <v/>
      </c>
      <c r="L182" s="11">
        <f>IF(K182="W",IF(G182&lt;0,H182*100/ABS(G182),H182*G182/100),IF(K182="L",-H182,0))</f>
        <v/>
      </c>
      <c r="M182" s="11">
        <f>Settings!$B$4+SUM(L$2:L182)</f>
        <v/>
      </c>
    </row>
    <row r="183">
      <c r="J183" s="12">
        <f>IF(I183="","",I183-F183)</f>
        <v/>
      </c>
      <c r="L183" s="11">
        <f>IF(K183="W",IF(G183&lt;0,H183*100/ABS(G183),H183*G183/100),IF(K183="L",-H183,0))</f>
        <v/>
      </c>
      <c r="M183" s="11">
        <f>Settings!$B$4+SUM(L$2:L183)</f>
        <v/>
      </c>
    </row>
    <row r="184">
      <c r="J184" s="12">
        <f>IF(I184="","",I184-F184)</f>
        <v/>
      </c>
      <c r="L184" s="11">
        <f>IF(K184="W",IF(G184&lt;0,H184*100/ABS(G184),H184*G184/100),IF(K184="L",-H184,0))</f>
        <v/>
      </c>
      <c r="M184" s="11">
        <f>Settings!$B$4+SUM(L$2:L184)</f>
        <v/>
      </c>
    </row>
    <row r="185">
      <c r="J185" s="12">
        <f>IF(I185="","",I185-F185)</f>
        <v/>
      </c>
      <c r="L185" s="11">
        <f>IF(K185="W",IF(G185&lt;0,H185*100/ABS(G185),H185*G185/100),IF(K185="L",-H185,0))</f>
        <v/>
      </c>
      <c r="M185" s="11">
        <f>Settings!$B$4+SUM(L$2:L185)</f>
        <v/>
      </c>
    </row>
    <row r="186">
      <c r="J186" s="12">
        <f>IF(I186="","",I186-F186)</f>
        <v/>
      </c>
      <c r="L186" s="11">
        <f>IF(K186="W",IF(G186&lt;0,H186*100/ABS(G186),H186*G186/100),IF(K186="L",-H186,0))</f>
        <v/>
      </c>
      <c r="M186" s="11">
        <f>Settings!$B$4+SUM(L$2:L186)</f>
        <v/>
      </c>
    </row>
    <row r="187">
      <c r="J187" s="12">
        <f>IF(I187="","",I187-F187)</f>
        <v/>
      </c>
      <c r="L187" s="11">
        <f>IF(K187="W",IF(G187&lt;0,H187*100/ABS(G187),H187*G187/100),IF(K187="L",-H187,0))</f>
        <v/>
      </c>
      <c r="M187" s="11">
        <f>Settings!$B$4+SUM(L$2:L187)</f>
        <v/>
      </c>
    </row>
    <row r="188">
      <c r="J188" s="12">
        <f>IF(I188="","",I188-F188)</f>
        <v/>
      </c>
      <c r="L188" s="11">
        <f>IF(K188="W",IF(G188&lt;0,H188*100/ABS(G188),H188*G188/100),IF(K188="L",-H188,0))</f>
        <v/>
      </c>
      <c r="M188" s="11">
        <f>Settings!$B$4+SUM(L$2:L188)</f>
        <v/>
      </c>
    </row>
    <row r="189">
      <c r="J189" s="12">
        <f>IF(I189="","",I189-F189)</f>
        <v/>
      </c>
      <c r="L189" s="11">
        <f>IF(K189="W",IF(G189&lt;0,H189*100/ABS(G189),H189*G189/100),IF(K189="L",-H189,0))</f>
        <v/>
      </c>
      <c r="M189" s="11">
        <f>Settings!$B$4+SUM(L$2:L189)</f>
        <v/>
      </c>
    </row>
    <row r="190">
      <c r="J190" s="12">
        <f>IF(I190="","",I190-F190)</f>
        <v/>
      </c>
      <c r="L190" s="11">
        <f>IF(K190="W",IF(G190&lt;0,H190*100/ABS(G190),H190*G190/100),IF(K190="L",-H190,0))</f>
        <v/>
      </c>
      <c r="M190" s="11">
        <f>Settings!$B$4+SUM(L$2:L190)</f>
        <v/>
      </c>
    </row>
    <row r="191">
      <c r="J191" s="12">
        <f>IF(I191="","",I191-F191)</f>
        <v/>
      </c>
      <c r="L191" s="11">
        <f>IF(K191="W",IF(G191&lt;0,H191*100/ABS(G191),H191*G191/100),IF(K191="L",-H191,0))</f>
        <v/>
      </c>
      <c r="M191" s="11">
        <f>Settings!$B$4+SUM(L$2:L191)</f>
        <v/>
      </c>
    </row>
    <row r="192">
      <c r="J192" s="12">
        <f>IF(I192="","",I192-F192)</f>
        <v/>
      </c>
      <c r="L192" s="11">
        <f>IF(K192="W",IF(G192&lt;0,H192*100/ABS(G192),H192*G192/100),IF(K192="L",-H192,0))</f>
        <v/>
      </c>
      <c r="M192" s="11">
        <f>Settings!$B$4+SUM(L$2:L192)</f>
        <v/>
      </c>
    </row>
    <row r="193">
      <c r="J193" s="12">
        <f>IF(I193="","",I193-F193)</f>
        <v/>
      </c>
      <c r="L193" s="11">
        <f>IF(K193="W",IF(G193&lt;0,H193*100/ABS(G193),H193*G193/100),IF(K193="L",-H193,0))</f>
        <v/>
      </c>
      <c r="M193" s="11">
        <f>Settings!$B$4+SUM(L$2:L193)</f>
        <v/>
      </c>
    </row>
    <row r="194">
      <c r="J194" s="12">
        <f>IF(I194="","",I194-F194)</f>
        <v/>
      </c>
      <c r="L194" s="11">
        <f>IF(K194="W",IF(G194&lt;0,H194*100/ABS(G194),H194*G194/100),IF(K194="L",-H194,0))</f>
        <v/>
      </c>
      <c r="M194" s="11">
        <f>Settings!$B$4+SUM(L$2:L194)</f>
        <v/>
      </c>
    </row>
    <row r="195">
      <c r="J195" s="12">
        <f>IF(I195="","",I195-F195)</f>
        <v/>
      </c>
      <c r="L195" s="11">
        <f>IF(K195="W",IF(G195&lt;0,H195*100/ABS(G195),H195*G195/100),IF(K195="L",-H195,0))</f>
        <v/>
      </c>
      <c r="M195" s="11">
        <f>Settings!$B$4+SUM(L$2:L195)</f>
        <v/>
      </c>
    </row>
    <row r="196">
      <c r="J196" s="12">
        <f>IF(I196="","",I196-F196)</f>
        <v/>
      </c>
      <c r="L196" s="11">
        <f>IF(K196="W",IF(G196&lt;0,H196*100/ABS(G196),H196*G196/100),IF(K196="L",-H196,0))</f>
        <v/>
      </c>
      <c r="M196" s="11">
        <f>Settings!$B$4+SUM(L$2:L196)</f>
        <v/>
      </c>
    </row>
    <row r="197">
      <c r="J197" s="12">
        <f>IF(I197="","",I197-F197)</f>
        <v/>
      </c>
      <c r="L197" s="11">
        <f>IF(K197="W",IF(G197&lt;0,H197*100/ABS(G197),H197*G197/100),IF(K197="L",-H197,0))</f>
        <v/>
      </c>
      <c r="M197" s="11">
        <f>Settings!$B$4+SUM(L$2:L197)</f>
        <v/>
      </c>
    </row>
    <row r="198">
      <c r="J198" s="12">
        <f>IF(I198="","",I198-F198)</f>
        <v/>
      </c>
      <c r="L198" s="11">
        <f>IF(K198="W",IF(G198&lt;0,H198*100/ABS(G198),H198*G198/100),IF(K198="L",-H198,0))</f>
        <v/>
      </c>
      <c r="M198" s="11">
        <f>Settings!$B$4+SUM(L$2:L198)</f>
        <v/>
      </c>
    </row>
    <row r="199">
      <c r="J199" s="12">
        <f>IF(I199="","",I199-F199)</f>
        <v/>
      </c>
      <c r="L199" s="11">
        <f>IF(K199="W",IF(G199&lt;0,H199*100/ABS(G199),H199*G199/100),IF(K199="L",-H199,0))</f>
        <v/>
      </c>
      <c r="M199" s="11">
        <f>Settings!$B$4+SUM(L$2:L199)</f>
        <v/>
      </c>
    </row>
    <row r="200">
      <c r="J200" s="12">
        <f>IF(I200="","",I200-F200)</f>
        <v/>
      </c>
      <c r="L200" s="11">
        <f>IF(K200="W",IF(G200&lt;0,H200*100/ABS(G200),H200*G200/100),IF(K200="L",-H200,0))</f>
        <v/>
      </c>
      <c r="M200" s="11">
        <f>Settings!$B$4+SUM(L$2:L200)</f>
        <v/>
      </c>
    </row>
    <row r="201">
      <c r="J201" s="12">
        <f>IF(I201="","",I201-F201)</f>
        <v/>
      </c>
      <c r="L201" s="11">
        <f>IF(K201="W",IF(G201&lt;0,H201*100/ABS(G201),H201*G201/100),IF(K201="L",-H201,0))</f>
        <v/>
      </c>
      <c r="M201" s="11">
        <f>Settings!$B$4+SUM(L$2:L201)</f>
        <v/>
      </c>
    </row>
    <row r="202">
      <c r="J202" s="12">
        <f>IF(I202="","",I202-F202)</f>
        <v/>
      </c>
      <c r="L202" s="11">
        <f>IF(K202="W",IF(G202&lt;0,H202*100/ABS(G202),H202*G202/100),IF(K202="L",-H202,0))</f>
        <v/>
      </c>
      <c r="M202" s="11">
        <f>Settings!$B$4+SUM(L$2:L202)</f>
        <v/>
      </c>
    </row>
    <row r="203">
      <c r="J203" s="12">
        <f>IF(I203="","",I203-F203)</f>
        <v/>
      </c>
      <c r="L203" s="11">
        <f>IF(K203="W",IF(G203&lt;0,H203*100/ABS(G203),H203*G203/100),IF(K203="L",-H203,0))</f>
        <v/>
      </c>
      <c r="M203" s="11">
        <f>Settings!$B$4+SUM(L$2:L203)</f>
        <v/>
      </c>
    </row>
    <row r="204">
      <c r="J204" s="12">
        <f>IF(I204="","",I204-F204)</f>
        <v/>
      </c>
      <c r="L204" s="11">
        <f>IF(K204="W",IF(G204&lt;0,H204*100/ABS(G204),H204*G204/100),IF(K204="L",-H204,0))</f>
        <v/>
      </c>
      <c r="M204" s="11">
        <f>Settings!$B$4+SUM(L$2:L204)</f>
        <v/>
      </c>
    </row>
    <row r="205">
      <c r="J205" s="12">
        <f>IF(I205="","",I205-F205)</f>
        <v/>
      </c>
      <c r="L205" s="11">
        <f>IF(K205="W",IF(G205&lt;0,H205*100/ABS(G205),H205*G205/100),IF(K205="L",-H205,0))</f>
        <v/>
      </c>
      <c r="M205" s="11">
        <f>Settings!$B$4+SUM(L$2:L205)</f>
        <v/>
      </c>
    </row>
    <row r="206">
      <c r="J206" s="12">
        <f>IF(I206="","",I206-F206)</f>
        <v/>
      </c>
      <c r="L206" s="11">
        <f>IF(K206="W",IF(G206&lt;0,H206*100/ABS(G206),H206*G206/100),IF(K206="L",-H206,0))</f>
        <v/>
      </c>
      <c r="M206" s="11">
        <f>Settings!$B$4+SUM(L$2:L206)</f>
        <v/>
      </c>
    </row>
    <row r="207">
      <c r="J207" s="12">
        <f>IF(I207="","",I207-F207)</f>
        <v/>
      </c>
      <c r="L207" s="11">
        <f>IF(K207="W",IF(G207&lt;0,H207*100/ABS(G207),H207*G207/100),IF(K207="L",-H207,0))</f>
        <v/>
      </c>
      <c r="M207" s="11">
        <f>Settings!$B$4+SUM(L$2:L207)</f>
        <v/>
      </c>
    </row>
    <row r="208">
      <c r="J208" s="12">
        <f>IF(I208="","",I208-F208)</f>
        <v/>
      </c>
      <c r="L208" s="11">
        <f>IF(K208="W",IF(G208&lt;0,H208*100/ABS(G208),H208*G208/100),IF(K208="L",-H208,0))</f>
        <v/>
      </c>
      <c r="M208" s="11">
        <f>Settings!$B$4+SUM(L$2:L208)</f>
        <v/>
      </c>
    </row>
    <row r="209">
      <c r="J209" s="12">
        <f>IF(I209="","",I209-F209)</f>
        <v/>
      </c>
      <c r="L209" s="11">
        <f>IF(K209="W",IF(G209&lt;0,H209*100/ABS(G209),H209*G209/100),IF(K209="L",-H209,0))</f>
        <v/>
      </c>
      <c r="M209" s="11">
        <f>Settings!$B$4+SUM(L$2:L209)</f>
        <v/>
      </c>
    </row>
    <row r="210">
      <c r="J210" s="12">
        <f>IF(I210="","",I210-F210)</f>
        <v/>
      </c>
      <c r="L210" s="11">
        <f>IF(K210="W",IF(G210&lt;0,H210*100/ABS(G210),H210*G210/100),IF(K210="L",-H210,0))</f>
        <v/>
      </c>
      <c r="M210" s="11">
        <f>Settings!$B$4+SUM(L$2:L210)</f>
        <v/>
      </c>
    </row>
    <row r="211">
      <c r="J211" s="12">
        <f>IF(I211="","",I211-F211)</f>
        <v/>
      </c>
      <c r="L211" s="11">
        <f>IF(K211="W",IF(G211&lt;0,H211*100/ABS(G211),H211*G211/100),IF(K211="L",-H211,0))</f>
        <v/>
      </c>
      <c r="M211" s="11">
        <f>Settings!$B$4+SUM(L$2:L211)</f>
        <v/>
      </c>
    </row>
    <row r="212">
      <c r="J212" s="12">
        <f>IF(I212="","",I212-F212)</f>
        <v/>
      </c>
      <c r="L212" s="11">
        <f>IF(K212="W",IF(G212&lt;0,H212*100/ABS(G212),H212*G212/100),IF(K212="L",-H212,0))</f>
        <v/>
      </c>
      <c r="M212" s="11">
        <f>Settings!$B$4+SUM(L$2:L212)</f>
        <v/>
      </c>
    </row>
    <row r="213">
      <c r="J213" s="12">
        <f>IF(I213="","",I213-F213)</f>
        <v/>
      </c>
      <c r="L213" s="11">
        <f>IF(K213="W",IF(G213&lt;0,H213*100/ABS(G213),H213*G213/100),IF(K213="L",-H213,0))</f>
        <v/>
      </c>
      <c r="M213" s="11">
        <f>Settings!$B$4+SUM(L$2:L213)</f>
        <v/>
      </c>
    </row>
    <row r="214">
      <c r="J214" s="12">
        <f>IF(I214="","",I214-F214)</f>
        <v/>
      </c>
      <c r="L214" s="11">
        <f>IF(K214="W",IF(G214&lt;0,H214*100/ABS(G214),H214*G214/100),IF(K214="L",-H214,0))</f>
        <v/>
      </c>
      <c r="M214" s="11">
        <f>Settings!$B$4+SUM(L$2:L214)</f>
        <v/>
      </c>
    </row>
    <row r="215">
      <c r="J215" s="12">
        <f>IF(I215="","",I215-F215)</f>
        <v/>
      </c>
      <c r="L215" s="11">
        <f>IF(K215="W",IF(G215&lt;0,H215*100/ABS(G215),H215*G215/100),IF(K215="L",-H215,0))</f>
        <v/>
      </c>
      <c r="M215" s="11">
        <f>Settings!$B$4+SUM(L$2:L215)</f>
        <v/>
      </c>
    </row>
    <row r="216">
      <c r="J216" s="12">
        <f>IF(I216="","",I216-F216)</f>
        <v/>
      </c>
      <c r="L216" s="11">
        <f>IF(K216="W",IF(G216&lt;0,H216*100/ABS(G216),H216*G216/100),IF(K216="L",-H216,0))</f>
        <v/>
      </c>
      <c r="M216" s="11">
        <f>Settings!$B$4+SUM(L$2:L216)</f>
        <v/>
      </c>
    </row>
    <row r="217">
      <c r="J217" s="12">
        <f>IF(I217="","",I217-F217)</f>
        <v/>
      </c>
      <c r="L217" s="11">
        <f>IF(K217="W",IF(G217&lt;0,H217*100/ABS(G217),H217*G217/100),IF(K217="L",-H217,0))</f>
        <v/>
      </c>
      <c r="M217" s="11">
        <f>Settings!$B$4+SUM(L$2:L217)</f>
        <v/>
      </c>
    </row>
    <row r="218">
      <c r="J218" s="12">
        <f>IF(I218="","",I218-F218)</f>
        <v/>
      </c>
      <c r="L218" s="11">
        <f>IF(K218="W",IF(G218&lt;0,H218*100/ABS(G218),H218*G218/100),IF(K218="L",-H218,0))</f>
        <v/>
      </c>
      <c r="M218" s="11">
        <f>Settings!$B$4+SUM(L$2:L218)</f>
        <v/>
      </c>
    </row>
    <row r="219">
      <c r="J219" s="12">
        <f>IF(I219="","",I219-F219)</f>
        <v/>
      </c>
      <c r="L219" s="11">
        <f>IF(K219="W",IF(G219&lt;0,H219*100/ABS(G219),H219*G219/100),IF(K219="L",-H219,0))</f>
        <v/>
      </c>
      <c r="M219" s="11">
        <f>Settings!$B$4+SUM(L$2:L219)</f>
        <v/>
      </c>
    </row>
    <row r="220">
      <c r="J220" s="12">
        <f>IF(I220="","",I220-F220)</f>
        <v/>
      </c>
      <c r="L220" s="11">
        <f>IF(K220="W",IF(G220&lt;0,H220*100/ABS(G220),H220*G220/100),IF(K220="L",-H220,0))</f>
        <v/>
      </c>
      <c r="M220" s="11">
        <f>Settings!$B$4+SUM(L$2:L220)</f>
        <v/>
      </c>
    </row>
    <row r="221">
      <c r="J221" s="12">
        <f>IF(I221="","",I221-F221)</f>
        <v/>
      </c>
      <c r="L221" s="11">
        <f>IF(K221="W",IF(G221&lt;0,H221*100/ABS(G221),H221*G221/100),IF(K221="L",-H221,0))</f>
        <v/>
      </c>
      <c r="M221" s="11">
        <f>Settings!$B$4+SUM(L$2:L221)</f>
        <v/>
      </c>
    </row>
    <row r="222">
      <c r="J222" s="12">
        <f>IF(I222="","",I222-F222)</f>
        <v/>
      </c>
      <c r="L222" s="11">
        <f>IF(K222="W",IF(G222&lt;0,H222*100/ABS(G222),H222*G222/100),IF(K222="L",-H222,0))</f>
        <v/>
      </c>
      <c r="M222" s="11">
        <f>Settings!$B$4+SUM(L$2:L222)</f>
        <v/>
      </c>
    </row>
    <row r="223">
      <c r="J223" s="12">
        <f>IF(I223="","",I223-F223)</f>
        <v/>
      </c>
      <c r="L223" s="11">
        <f>IF(K223="W",IF(G223&lt;0,H223*100/ABS(G223),H223*G223/100),IF(K223="L",-H223,0))</f>
        <v/>
      </c>
      <c r="M223" s="11">
        <f>Settings!$B$4+SUM(L$2:L223)</f>
        <v/>
      </c>
    </row>
    <row r="224">
      <c r="J224" s="12">
        <f>IF(I224="","",I224-F224)</f>
        <v/>
      </c>
      <c r="L224" s="11">
        <f>IF(K224="W",IF(G224&lt;0,H224*100/ABS(G224),H224*G224/100),IF(K224="L",-H224,0))</f>
        <v/>
      </c>
      <c r="M224" s="11">
        <f>Settings!$B$4+SUM(L$2:L224)</f>
        <v/>
      </c>
    </row>
    <row r="225">
      <c r="J225" s="12">
        <f>IF(I225="","",I225-F225)</f>
        <v/>
      </c>
      <c r="L225" s="11">
        <f>IF(K225="W",IF(G225&lt;0,H225*100/ABS(G225),H225*G225/100),IF(K225="L",-H225,0))</f>
        <v/>
      </c>
      <c r="M225" s="11">
        <f>Settings!$B$4+SUM(L$2:L225)</f>
        <v/>
      </c>
    </row>
    <row r="226">
      <c r="J226" s="12">
        <f>IF(I226="","",I226-F226)</f>
        <v/>
      </c>
      <c r="L226" s="11">
        <f>IF(K226="W",IF(G226&lt;0,H226*100/ABS(G226),H226*G226/100),IF(K226="L",-H226,0))</f>
        <v/>
      </c>
      <c r="M226" s="11">
        <f>Settings!$B$4+SUM(L$2:L226)</f>
        <v/>
      </c>
    </row>
    <row r="227">
      <c r="J227" s="12">
        <f>IF(I227="","",I227-F227)</f>
        <v/>
      </c>
      <c r="L227" s="11">
        <f>IF(K227="W",IF(G227&lt;0,H227*100/ABS(G227),H227*G227/100),IF(K227="L",-H227,0))</f>
        <v/>
      </c>
      <c r="M227" s="11">
        <f>Settings!$B$4+SUM(L$2:L227)</f>
        <v/>
      </c>
    </row>
    <row r="228">
      <c r="J228" s="12">
        <f>IF(I228="","",I228-F228)</f>
        <v/>
      </c>
      <c r="L228" s="11">
        <f>IF(K228="W",IF(G228&lt;0,H228*100/ABS(G228),H228*G228/100),IF(K228="L",-H228,0))</f>
        <v/>
      </c>
      <c r="M228" s="11">
        <f>Settings!$B$4+SUM(L$2:L228)</f>
        <v/>
      </c>
    </row>
    <row r="229">
      <c r="J229" s="12">
        <f>IF(I229="","",I229-F229)</f>
        <v/>
      </c>
      <c r="L229" s="11">
        <f>IF(K229="W",IF(G229&lt;0,H229*100/ABS(G229),H229*G229/100),IF(K229="L",-H229,0))</f>
        <v/>
      </c>
      <c r="M229" s="11">
        <f>Settings!$B$4+SUM(L$2:L229)</f>
        <v/>
      </c>
    </row>
    <row r="230">
      <c r="J230" s="12">
        <f>IF(I230="","",I230-F230)</f>
        <v/>
      </c>
      <c r="L230" s="11">
        <f>IF(K230="W",IF(G230&lt;0,H230*100/ABS(G230),H230*G230/100),IF(K230="L",-H230,0))</f>
        <v/>
      </c>
      <c r="M230" s="11">
        <f>Settings!$B$4+SUM(L$2:L230)</f>
        <v/>
      </c>
    </row>
    <row r="231">
      <c r="J231" s="12">
        <f>IF(I231="","",I231-F231)</f>
        <v/>
      </c>
      <c r="L231" s="11">
        <f>IF(K231="W",IF(G231&lt;0,H231*100/ABS(G231),H231*G231/100),IF(K231="L",-H231,0))</f>
        <v/>
      </c>
      <c r="M231" s="11">
        <f>Settings!$B$4+SUM(L$2:L231)</f>
        <v/>
      </c>
    </row>
    <row r="232">
      <c r="J232" s="12">
        <f>IF(I232="","",I232-F232)</f>
        <v/>
      </c>
      <c r="L232" s="11">
        <f>IF(K232="W",IF(G232&lt;0,H232*100/ABS(G232),H232*G232/100),IF(K232="L",-H232,0))</f>
        <v/>
      </c>
      <c r="M232" s="11">
        <f>Settings!$B$4+SUM(L$2:L232)</f>
        <v/>
      </c>
    </row>
    <row r="233">
      <c r="J233" s="12">
        <f>IF(I233="","",I233-F233)</f>
        <v/>
      </c>
      <c r="L233" s="11">
        <f>IF(K233="W",IF(G233&lt;0,H233*100/ABS(G233),H233*G233/100),IF(K233="L",-H233,0))</f>
        <v/>
      </c>
      <c r="M233" s="11">
        <f>Settings!$B$4+SUM(L$2:L233)</f>
        <v/>
      </c>
    </row>
    <row r="234">
      <c r="J234" s="12">
        <f>IF(I234="","",I234-F234)</f>
        <v/>
      </c>
      <c r="L234" s="11">
        <f>IF(K234="W",IF(G234&lt;0,H234*100/ABS(G234),H234*G234/100),IF(K234="L",-H234,0))</f>
        <v/>
      </c>
      <c r="M234" s="11">
        <f>Settings!$B$4+SUM(L$2:L234)</f>
        <v/>
      </c>
    </row>
    <row r="235">
      <c r="J235" s="12">
        <f>IF(I235="","",I235-F235)</f>
        <v/>
      </c>
      <c r="L235" s="11">
        <f>IF(K235="W",IF(G235&lt;0,H235*100/ABS(G235),H235*G235/100),IF(K235="L",-H235,0))</f>
        <v/>
      </c>
      <c r="M235" s="11">
        <f>Settings!$B$4+SUM(L$2:L235)</f>
        <v/>
      </c>
    </row>
    <row r="236">
      <c r="J236" s="12">
        <f>IF(I236="","",I236-F236)</f>
        <v/>
      </c>
      <c r="L236" s="11">
        <f>IF(K236="W",IF(G236&lt;0,H236*100/ABS(G236),H236*G236/100),IF(K236="L",-H236,0))</f>
        <v/>
      </c>
      <c r="M236" s="11">
        <f>Settings!$B$4+SUM(L$2:L236)</f>
        <v/>
      </c>
    </row>
    <row r="237">
      <c r="J237" s="12">
        <f>IF(I237="","",I237-F237)</f>
        <v/>
      </c>
      <c r="L237" s="11">
        <f>IF(K237="W",IF(G237&lt;0,H237*100/ABS(G237),H237*G237/100),IF(K237="L",-H237,0))</f>
        <v/>
      </c>
      <c r="M237" s="11">
        <f>Settings!$B$4+SUM(L$2:L237)</f>
        <v/>
      </c>
    </row>
    <row r="238">
      <c r="J238" s="12">
        <f>IF(I238="","",I238-F238)</f>
        <v/>
      </c>
      <c r="L238" s="11">
        <f>IF(K238="W",IF(G238&lt;0,H238*100/ABS(G238),H238*G238/100),IF(K238="L",-H238,0))</f>
        <v/>
      </c>
      <c r="M238" s="11">
        <f>Settings!$B$4+SUM(L$2:L238)</f>
        <v/>
      </c>
    </row>
    <row r="239">
      <c r="J239" s="12">
        <f>IF(I239="","",I239-F239)</f>
        <v/>
      </c>
      <c r="L239" s="11">
        <f>IF(K239="W",IF(G239&lt;0,H239*100/ABS(G239),H239*G239/100),IF(K239="L",-H239,0))</f>
        <v/>
      </c>
      <c r="M239" s="11">
        <f>Settings!$B$4+SUM(L$2:L239)</f>
        <v/>
      </c>
    </row>
    <row r="240">
      <c r="J240" s="12">
        <f>IF(I240="","",I240-F240)</f>
        <v/>
      </c>
      <c r="L240" s="11">
        <f>IF(K240="W",IF(G240&lt;0,H240*100/ABS(G240),H240*G240/100),IF(K240="L",-H240,0))</f>
        <v/>
      </c>
      <c r="M240" s="11">
        <f>Settings!$B$4+SUM(L$2:L240)</f>
        <v/>
      </c>
    </row>
    <row r="241">
      <c r="J241" s="12">
        <f>IF(I241="","",I241-F241)</f>
        <v/>
      </c>
      <c r="L241" s="11">
        <f>IF(K241="W",IF(G241&lt;0,H241*100/ABS(G241),H241*G241/100),IF(K241="L",-H241,0))</f>
        <v/>
      </c>
      <c r="M241" s="11">
        <f>Settings!$B$4+SUM(L$2:L241)</f>
        <v/>
      </c>
    </row>
    <row r="242">
      <c r="J242" s="12">
        <f>IF(I242="","",I242-F242)</f>
        <v/>
      </c>
      <c r="L242" s="11">
        <f>IF(K242="W",IF(G242&lt;0,H242*100/ABS(G242),H242*G242/100),IF(K242="L",-H242,0))</f>
        <v/>
      </c>
      <c r="M242" s="11">
        <f>Settings!$B$4+SUM(L$2:L242)</f>
        <v/>
      </c>
    </row>
    <row r="243">
      <c r="J243" s="12">
        <f>IF(I243="","",I243-F243)</f>
        <v/>
      </c>
      <c r="L243" s="11">
        <f>IF(K243="W",IF(G243&lt;0,H243*100/ABS(G243),H243*G243/100),IF(K243="L",-H243,0))</f>
        <v/>
      </c>
      <c r="M243" s="11">
        <f>Settings!$B$4+SUM(L$2:L243)</f>
        <v/>
      </c>
    </row>
    <row r="244">
      <c r="J244" s="12">
        <f>IF(I244="","",I244-F244)</f>
        <v/>
      </c>
      <c r="L244" s="11">
        <f>IF(K244="W",IF(G244&lt;0,H244*100/ABS(G244),H244*G244/100),IF(K244="L",-H244,0))</f>
        <v/>
      </c>
      <c r="M244" s="11">
        <f>Settings!$B$4+SUM(L$2:L244)</f>
        <v/>
      </c>
    </row>
    <row r="245">
      <c r="J245" s="12">
        <f>IF(I245="","",I245-F245)</f>
        <v/>
      </c>
      <c r="L245" s="11">
        <f>IF(K245="W",IF(G245&lt;0,H245*100/ABS(G245),H245*G245/100),IF(K245="L",-H245,0))</f>
        <v/>
      </c>
      <c r="M245" s="11">
        <f>Settings!$B$4+SUM(L$2:L245)</f>
        <v/>
      </c>
    </row>
    <row r="246">
      <c r="J246" s="12">
        <f>IF(I246="","",I246-F246)</f>
        <v/>
      </c>
      <c r="L246" s="11">
        <f>IF(K246="W",IF(G246&lt;0,H246*100/ABS(G246),H246*G246/100),IF(K246="L",-H246,0))</f>
        <v/>
      </c>
      <c r="M246" s="11">
        <f>Settings!$B$4+SUM(L$2:L246)</f>
        <v/>
      </c>
    </row>
    <row r="247">
      <c r="J247" s="12">
        <f>IF(I247="","",I247-F247)</f>
        <v/>
      </c>
      <c r="L247" s="11">
        <f>IF(K247="W",IF(G247&lt;0,H247*100/ABS(G247),H247*G247/100),IF(K247="L",-H247,0))</f>
        <v/>
      </c>
      <c r="M247" s="11">
        <f>Settings!$B$4+SUM(L$2:L247)</f>
        <v/>
      </c>
    </row>
    <row r="248">
      <c r="J248" s="12">
        <f>IF(I248="","",I248-F248)</f>
        <v/>
      </c>
      <c r="L248" s="11">
        <f>IF(K248="W",IF(G248&lt;0,H248*100/ABS(G248),H248*G248/100),IF(K248="L",-H248,0))</f>
        <v/>
      </c>
      <c r="M248" s="11">
        <f>Settings!$B$4+SUM(L$2:L248)</f>
        <v/>
      </c>
    </row>
    <row r="249">
      <c r="J249" s="12">
        <f>IF(I249="","",I249-F249)</f>
        <v/>
      </c>
      <c r="L249" s="11">
        <f>IF(K249="W",IF(G249&lt;0,H249*100/ABS(G249),H249*G249/100),IF(K249="L",-H249,0))</f>
        <v/>
      </c>
      <c r="M249" s="11">
        <f>Settings!$B$4+SUM(L$2:L249)</f>
        <v/>
      </c>
    </row>
    <row r="250">
      <c r="J250" s="12">
        <f>IF(I250="","",I250-F250)</f>
        <v/>
      </c>
      <c r="L250" s="11">
        <f>IF(K250="W",IF(G250&lt;0,H250*100/ABS(G250),H250*G250/100),IF(K250="L",-H250,0))</f>
        <v/>
      </c>
      <c r="M250" s="11">
        <f>Settings!$B$4+SUM(L$2:L250)</f>
        <v/>
      </c>
    </row>
    <row r="251">
      <c r="J251" s="12">
        <f>IF(I251="","",I251-F251)</f>
        <v/>
      </c>
      <c r="L251" s="11">
        <f>IF(K251="W",IF(G251&lt;0,H251*100/ABS(G251),H251*G251/100),IF(K251="L",-H251,0))</f>
        <v/>
      </c>
      <c r="M251" s="11">
        <f>Settings!$B$4+SUM(L$2:L251)</f>
        <v/>
      </c>
    </row>
    <row r="252">
      <c r="J252" s="12">
        <f>IF(I252="","",I252-F252)</f>
        <v/>
      </c>
      <c r="L252" s="11">
        <f>IF(K252="W",IF(G252&lt;0,H252*100/ABS(G252),H252*G252/100),IF(K252="L",-H252,0))</f>
        <v/>
      </c>
      <c r="M252" s="11">
        <f>Settings!$B$4+SUM(L$2:L252)</f>
        <v/>
      </c>
    </row>
    <row r="253">
      <c r="J253" s="12">
        <f>IF(I253="","",I253-F253)</f>
        <v/>
      </c>
      <c r="L253" s="11">
        <f>IF(K253="W",IF(G253&lt;0,H253*100/ABS(G253),H253*G253/100),IF(K253="L",-H253,0))</f>
        <v/>
      </c>
      <c r="M253" s="11">
        <f>Settings!$B$4+SUM(L$2:L253)</f>
        <v/>
      </c>
    </row>
    <row r="254">
      <c r="J254" s="12">
        <f>IF(I254="","",I254-F254)</f>
        <v/>
      </c>
      <c r="L254" s="11">
        <f>IF(K254="W",IF(G254&lt;0,H254*100/ABS(G254),H254*G254/100),IF(K254="L",-H254,0))</f>
        <v/>
      </c>
      <c r="M254" s="11">
        <f>Settings!$B$4+SUM(L$2:L254)</f>
        <v/>
      </c>
    </row>
    <row r="255">
      <c r="J255" s="12">
        <f>IF(I255="","",I255-F255)</f>
        <v/>
      </c>
      <c r="L255" s="11">
        <f>IF(K255="W",IF(G255&lt;0,H255*100/ABS(G255),H255*G255/100),IF(K255="L",-H255,0))</f>
        <v/>
      </c>
      <c r="M255" s="11">
        <f>Settings!$B$4+SUM(L$2:L255)</f>
        <v/>
      </c>
    </row>
    <row r="256">
      <c r="J256" s="12">
        <f>IF(I256="","",I256-F256)</f>
        <v/>
      </c>
      <c r="L256" s="11">
        <f>IF(K256="W",IF(G256&lt;0,H256*100/ABS(G256),H256*G256/100),IF(K256="L",-H256,0))</f>
        <v/>
      </c>
      <c r="M256" s="11">
        <f>Settings!$B$4+SUM(L$2:L256)</f>
        <v/>
      </c>
    </row>
    <row r="257">
      <c r="J257" s="12">
        <f>IF(I257="","",I257-F257)</f>
        <v/>
      </c>
      <c r="L257" s="11">
        <f>IF(K257="W",IF(G257&lt;0,H257*100/ABS(G257),H257*G257/100),IF(K257="L",-H257,0))</f>
        <v/>
      </c>
      <c r="M257" s="11">
        <f>Settings!$B$4+SUM(L$2:L257)</f>
        <v/>
      </c>
    </row>
    <row r="258">
      <c r="J258" s="12">
        <f>IF(I258="","",I258-F258)</f>
        <v/>
      </c>
      <c r="L258" s="11">
        <f>IF(K258="W",IF(G258&lt;0,H258*100/ABS(G258),H258*G258/100),IF(K258="L",-H258,0))</f>
        <v/>
      </c>
      <c r="M258" s="11">
        <f>Settings!$B$4+SUM(L$2:L258)</f>
        <v/>
      </c>
    </row>
    <row r="259">
      <c r="J259" s="12">
        <f>IF(I259="","",I259-F259)</f>
        <v/>
      </c>
      <c r="L259" s="11">
        <f>IF(K259="W",IF(G259&lt;0,H259*100/ABS(G259),H259*G259/100),IF(K259="L",-H259,0))</f>
        <v/>
      </c>
      <c r="M259" s="11">
        <f>Settings!$B$4+SUM(L$2:L259)</f>
        <v/>
      </c>
    </row>
    <row r="260">
      <c r="J260" s="12">
        <f>IF(I260="","",I260-F260)</f>
        <v/>
      </c>
      <c r="L260" s="11">
        <f>IF(K260="W",IF(G260&lt;0,H260*100/ABS(G260),H260*G260/100),IF(K260="L",-H260,0))</f>
        <v/>
      </c>
      <c r="M260" s="11">
        <f>Settings!$B$4+SUM(L$2:L260)</f>
        <v/>
      </c>
    </row>
    <row r="261">
      <c r="J261" s="12">
        <f>IF(I261="","",I261-F261)</f>
        <v/>
      </c>
      <c r="L261" s="11">
        <f>IF(K261="W",IF(G261&lt;0,H261*100/ABS(G261),H261*G261/100),IF(K261="L",-H261,0))</f>
        <v/>
      </c>
      <c r="M261" s="11">
        <f>Settings!$B$4+SUM(L$2:L261)</f>
        <v/>
      </c>
    </row>
    <row r="262">
      <c r="J262" s="12">
        <f>IF(I262="","",I262-F262)</f>
        <v/>
      </c>
      <c r="L262" s="11">
        <f>IF(K262="W",IF(G262&lt;0,H262*100/ABS(G262),H262*G262/100),IF(K262="L",-H262,0))</f>
        <v/>
      </c>
      <c r="M262" s="11">
        <f>Settings!$B$4+SUM(L$2:L262)</f>
        <v/>
      </c>
    </row>
    <row r="263">
      <c r="J263" s="12">
        <f>IF(I263="","",I263-F263)</f>
        <v/>
      </c>
      <c r="L263" s="11">
        <f>IF(K263="W",IF(G263&lt;0,H263*100/ABS(G263),H263*G263/100),IF(K263="L",-H263,0))</f>
        <v/>
      </c>
      <c r="M263" s="11">
        <f>Settings!$B$4+SUM(L$2:L263)</f>
        <v/>
      </c>
    </row>
    <row r="264">
      <c r="J264" s="12">
        <f>IF(I264="","",I264-F264)</f>
        <v/>
      </c>
      <c r="L264" s="11">
        <f>IF(K264="W",IF(G264&lt;0,H264*100/ABS(G264),H264*G264/100),IF(K264="L",-H264,0))</f>
        <v/>
      </c>
      <c r="M264" s="11">
        <f>Settings!$B$4+SUM(L$2:L264)</f>
        <v/>
      </c>
    </row>
    <row r="265">
      <c r="J265" s="12">
        <f>IF(I265="","",I265-F265)</f>
        <v/>
      </c>
      <c r="L265" s="11">
        <f>IF(K265="W",IF(G265&lt;0,H265*100/ABS(G265),H265*G265/100),IF(K265="L",-H265,0))</f>
        <v/>
      </c>
      <c r="M265" s="11">
        <f>Settings!$B$4+SUM(L$2:L265)</f>
        <v/>
      </c>
    </row>
    <row r="266">
      <c r="J266" s="12">
        <f>IF(I266="","",I266-F266)</f>
        <v/>
      </c>
      <c r="L266" s="11">
        <f>IF(K266="W",IF(G266&lt;0,H266*100/ABS(G266),H266*G266/100),IF(K266="L",-H266,0))</f>
        <v/>
      </c>
      <c r="M266" s="11">
        <f>Settings!$B$4+SUM(L$2:L266)</f>
        <v/>
      </c>
    </row>
    <row r="267">
      <c r="J267" s="12">
        <f>IF(I267="","",I267-F267)</f>
        <v/>
      </c>
      <c r="L267" s="11">
        <f>IF(K267="W",IF(G267&lt;0,H267*100/ABS(G267),H267*G267/100),IF(K267="L",-H267,0))</f>
        <v/>
      </c>
      <c r="M267" s="11">
        <f>Settings!$B$4+SUM(L$2:L267)</f>
        <v/>
      </c>
    </row>
    <row r="268">
      <c r="J268" s="12">
        <f>IF(I268="","",I268-F268)</f>
        <v/>
      </c>
      <c r="L268" s="11">
        <f>IF(K268="W",IF(G268&lt;0,H268*100/ABS(G268),H268*G268/100),IF(K268="L",-H268,0))</f>
        <v/>
      </c>
      <c r="M268" s="11">
        <f>Settings!$B$4+SUM(L$2:L268)</f>
        <v/>
      </c>
    </row>
    <row r="269">
      <c r="J269" s="12">
        <f>IF(I269="","",I269-F269)</f>
        <v/>
      </c>
      <c r="L269" s="11">
        <f>IF(K269="W",IF(G269&lt;0,H269*100/ABS(G269),H269*G269/100),IF(K269="L",-H269,0))</f>
        <v/>
      </c>
      <c r="M269" s="11">
        <f>Settings!$B$4+SUM(L$2:L269)</f>
        <v/>
      </c>
    </row>
    <row r="270">
      <c r="J270" s="12">
        <f>IF(I270="","",I270-F270)</f>
        <v/>
      </c>
      <c r="L270" s="11">
        <f>IF(K270="W",IF(G270&lt;0,H270*100/ABS(G270),H270*G270/100),IF(K270="L",-H270,0))</f>
        <v/>
      </c>
      <c r="M270" s="11">
        <f>Settings!$B$4+SUM(L$2:L270)</f>
        <v/>
      </c>
    </row>
    <row r="271">
      <c r="J271" s="12">
        <f>IF(I271="","",I271-F271)</f>
        <v/>
      </c>
      <c r="L271" s="11">
        <f>IF(K271="W",IF(G271&lt;0,H271*100/ABS(G271),H271*G271/100),IF(K271="L",-H271,0))</f>
        <v/>
      </c>
      <c r="M271" s="11">
        <f>Settings!$B$4+SUM(L$2:L271)</f>
        <v/>
      </c>
    </row>
    <row r="272">
      <c r="J272" s="12">
        <f>IF(I272="","",I272-F272)</f>
        <v/>
      </c>
      <c r="L272" s="11">
        <f>IF(K272="W",IF(G272&lt;0,H272*100/ABS(G272),H272*G272/100),IF(K272="L",-H272,0))</f>
        <v/>
      </c>
      <c r="M272" s="11">
        <f>Settings!$B$4+SUM(L$2:L272)</f>
        <v/>
      </c>
    </row>
    <row r="273">
      <c r="J273" s="12">
        <f>IF(I273="","",I273-F273)</f>
        <v/>
      </c>
      <c r="L273" s="11">
        <f>IF(K273="W",IF(G273&lt;0,H273*100/ABS(G273),H273*G273/100),IF(K273="L",-H273,0))</f>
        <v/>
      </c>
      <c r="M273" s="11">
        <f>Settings!$B$4+SUM(L$2:L273)</f>
        <v/>
      </c>
    </row>
    <row r="274">
      <c r="J274" s="12">
        <f>IF(I274="","",I274-F274)</f>
        <v/>
      </c>
      <c r="L274" s="11">
        <f>IF(K274="W",IF(G274&lt;0,H274*100/ABS(G274),H274*G274/100),IF(K274="L",-H274,0))</f>
        <v/>
      </c>
      <c r="M274" s="11">
        <f>Settings!$B$4+SUM(L$2:L274)</f>
        <v/>
      </c>
    </row>
    <row r="275">
      <c r="J275" s="12">
        <f>IF(I275="","",I275-F275)</f>
        <v/>
      </c>
      <c r="L275" s="11">
        <f>IF(K275="W",IF(G275&lt;0,H275*100/ABS(G275),H275*G275/100),IF(K275="L",-H275,0))</f>
        <v/>
      </c>
      <c r="M275" s="11">
        <f>Settings!$B$4+SUM(L$2:L275)</f>
        <v/>
      </c>
    </row>
    <row r="276">
      <c r="J276" s="12">
        <f>IF(I276="","",I276-F276)</f>
        <v/>
      </c>
      <c r="L276" s="11">
        <f>IF(K276="W",IF(G276&lt;0,H276*100/ABS(G276),H276*G276/100),IF(K276="L",-H276,0))</f>
        <v/>
      </c>
      <c r="M276" s="11">
        <f>Settings!$B$4+SUM(L$2:L276)</f>
        <v/>
      </c>
    </row>
    <row r="277">
      <c r="J277" s="12">
        <f>IF(I277="","",I277-F277)</f>
        <v/>
      </c>
      <c r="L277" s="11">
        <f>IF(K277="W",IF(G277&lt;0,H277*100/ABS(G277),H277*G277/100),IF(K277="L",-H277,0))</f>
        <v/>
      </c>
      <c r="M277" s="11">
        <f>Settings!$B$4+SUM(L$2:L277)</f>
        <v/>
      </c>
    </row>
    <row r="278">
      <c r="J278" s="12">
        <f>IF(I278="","",I278-F278)</f>
        <v/>
      </c>
      <c r="L278" s="11">
        <f>IF(K278="W",IF(G278&lt;0,H278*100/ABS(G278),H278*G278/100),IF(K278="L",-H278,0))</f>
        <v/>
      </c>
      <c r="M278" s="11">
        <f>Settings!$B$4+SUM(L$2:L278)</f>
        <v/>
      </c>
    </row>
    <row r="279">
      <c r="J279" s="12">
        <f>IF(I279="","",I279-F279)</f>
        <v/>
      </c>
      <c r="L279" s="11">
        <f>IF(K279="W",IF(G279&lt;0,H279*100/ABS(G279),H279*G279/100),IF(K279="L",-H279,0))</f>
        <v/>
      </c>
      <c r="M279" s="11">
        <f>Settings!$B$4+SUM(L$2:L279)</f>
        <v/>
      </c>
    </row>
    <row r="280">
      <c r="J280" s="12">
        <f>IF(I280="","",I280-F280)</f>
        <v/>
      </c>
      <c r="L280" s="11">
        <f>IF(K280="W",IF(G280&lt;0,H280*100/ABS(G280),H280*G280/100),IF(K280="L",-H280,0))</f>
        <v/>
      </c>
      <c r="M280" s="11">
        <f>Settings!$B$4+SUM(L$2:L280)</f>
        <v/>
      </c>
    </row>
    <row r="281">
      <c r="J281" s="12">
        <f>IF(I281="","",I281-F281)</f>
        <v/>
      </c>
      <c r="L281" s="11">
        <f>IF(K281="W",IF(G281&lt;0,H281*100/ABS(G281),H281*G281/100),IF(K281="L",-H281,0))</f>
        <v/>
      </c>
      <c r="M281" s="11">
        <f>Settings!$B$4+SUM(L$2:L281)</f>
        <v/>
      </c>
    </row>
    <row r="282">
      <c r="J282" s="12">
        <f>IF(I282="","",I282-F282)</f>
        <v/>
      </c>
      <c r="L282" s="11">
        <f>IF(K282="W",IF(G282&lt;0,H282*100/ABS(G282),H282*G282/100),IF(K282="L",-H282,0))</f>
        <v/>
      </c>
      <c r="M282" s="11">
        <f>Settings!$B$4+SUM(L$2:L282)</f>
        <v/>
      </c>
    </row>
    <row r="283">
      <c r="J283" s="12">
        <f>IF(I283="","",I283-F283)</f>
        <v/>
      </c>
      <c r="L283" s="11">
        <f>IF(K283="W",IF(G283&lt;0,H283*100/ABS(G283),H283*G283/100),IF(K283="L",-H283,0))</f>
        <v/>
      </c>
      <c r="M283" s="11">
        <f>Settings!$B$4+SUM(L$2:L283)</f>
        <v/>
      </c>
    </row>
    <row r="284">
      <c r="J284" s="12">
        <f>IF(I284="","",I284-F284)</f>
        <v/>
      </c>
      <c r="L284" s="11">
        <f>IF(K284="W",IF(G284&lt;0,H284*100/ABS(G284),H284*G284/100),IF(K284="L",-H284,0))</f>
        <v/>
      </c>
      <c r="M284" s="11">
        <f>Settings!$B$4+SUM(L$2:L284)</f>
        <v/>
      </c>
    </row>
    <row r="285">
      <c r="J285" s="12">
        <f>IF(I285="","",I285-F285)</f>
        <v/>
      </c>
      <c r="L285" s="11">
        <f>IF(K285="W",IF(G285&lt;0,H285*100/ABS(G285),H285*G285/100),IF(K285="L",-H285,0))</f>
        <v/>
      </c>
      <c r="M285" s="11">
        <f>Settings!$B$4+SUM(L$2:L285)</f>
        <v/>
      </c>
    </row>
    <row r="286">
      <c r="J286" s="12">
        <f>IF(I286="","",I286-F286)</f>
        <v/>
      </c>
      <c r="L286" s="11">
        <f>IF(K286="W",IF(G286&lt;0,H286*100/ABS(G286),H286*G286/100),IF(K286="L",-H286,0))</f>
        <v/>
      </c>
      <c r="M286" s="11">
        <f>Settings!$B$4+SUM(L$2:L286)</f>
        <v/>
      </c>
    </row>
    <row r="287">
      <c r="J287" s="12">
        <f>IF(I287="","",I287-F287)</f>
        <v/>
      </c>
      <c r="L287" s="11">
        <f>IF(K287="W",IF(G287&lt;0,H287*100/ABS(G287),H287*G287/100),IF(K287="L",-H287,0))</f>
        <v/>
      </c>
      <c r="M287" s="11">
        <f>Settings!$B$4+SUM(L$2:L287)</f>
        <v/>
      </c>
    </row>
    <row r="288">
      <c r="J288" s="12">
        <f>IF(I288="","",I288-F288)</f>
        <v/>
      </c>
      <c r="L288" s="11">
        <f>IF(K288="W",IF(G288&lt;0,H288*100/ABS(G288),H288*G288/100),IF(K288="L",-H288,0))</f>
        <v/>
      </c>
      <c r="M288" s="11">
        <f>Settings!$B$4+SUM(L$2:L288)</f>
        <v/>
      </c>
    </row>
    <row r="289">
      <c r="J289" s="12">
        <f>IF(I289="","",I289-F289)</f>
        <v/>
      </c>
      <c r="L289" s="11">
        <f>IF(K289="W",IF(G289&lt;0,H289*100/ABS(G289),H289*G289/100),IF(K289="L",-H289,0))</f>
        <v/>
      </c>
      <c r="M289" s="11">
        <f>Settings!$B$4+SUM(L$2:L289)</f>
        <v/>
      </c>
    </row>
    <row r="290">
      <c r="J290" s="12">
        <f>IF(I290="","",I290-F290)</f>
        <v/>
      </c>
      <c r="L290" s="11">
        <f>IF(K290="W",IF(G290&lt;0,H290*100/ABS(G290),H290*G290/100),IF(K290="L",-H290,0))</f>
        <v/>
      </c>
      <c r="M290" s="11">
        <f>Settings!$B$4+SUM(L$2:L290)</f>
        <v/>
      </c>
    </row>
    <row r="291">
      <c r="J291" s="12">
        <f>IF(I291="","",I291-F291)</f>
        <v/>
      </c>
      <c r="L291" s="11">
        <f>IF(K291="W",IF(G291&lt;0,H291*100/ABS(G291),H291*G291/100),IF(K291="L",-H291,0))</f>
        <v/>
      </c>
      <c r="M291" s="11">
        <f>Settings!$B$4+SUM(L$2:L291)</f>
        <v/>
      </c>
    </row>
    <row r="292">
      <c r="J292" s="12">
        <f>IF(I292="","",I292-F292)</f>
        <v/>
      </c>
      <c r="L292" s="11">
        <f>IF(K292="W",IF(G292&lt;0,H292*100/ABS(G292),H292*G292/100),IF(K292="L",-H292,0))</f>
        <v/>
      </c>
      <c r="M292" s="11">
        <f>Settings!$B$4+SUM(L$2:L292)</f>
        <v/>
      </c>
    </row>
    <row r="293">
      <c r="J293" s="12">
        <f>IF(I293="","",I293-F293)</f>
        <v/>
      </c>
      <c r="L293" s="11">
        <f>IF(K293="W",IF(G293&lt;0,H293*100/ABS(G293),H293*G293/100),IF(K293="L",-H293,0))</f>
        <v/>
      </c>
      <c r="M293" s="11">
        <f>Settings!$B$4+SUM(L$2:L293)</f>
        <v/>
      </c>
    </row>
    <row r="294">
      <c r="J294" s="12">
        <f>IF(I294="","",I294-F294)</f>
        <v/>
      </c>
      <c r="L294" s="11">
        <f>IF(K294="W",IF(G294&lt;0,H294*100/ABS(G294),H294*G294/100),IF(K294="L",-H294,0))</f>
        <v/>
      </c>
      <c r="M294" s="11">
        <f>Settings!$B$4+SUM(L$2:L294)</f>
        <v/>
      </c>
    </row>
    <row r="295">
      <c r="J295" s="12">
        <f>IF(I295="","",I295-F295)</f>
        <v/>
      </c>
      <c r="L295" s="11">
        <f>IF(K295="W",IF(G295&lt;0,H295*100/ABS(G295),H295*G295/100),IF(K295="L",-H295,0))</f>
        <v/>
      </c>
      <c r="M295" s="11">
        <f>Settings!$B$4+SUM(L$2:L295)</f>
        <v/>
      </c>
    </row>
    <row r="296">
      <c r="J296" s="12">
        <f>IF(I296="","",I296-F296)</f>
        <v/>
      </c>
      <c r="L296" s="11">
        <f>IF(K296="W",IF(G296&lt;0,H296*100/ABS(G296),H296*G296/100),IF(K296="L",-H296,0))</f>
        <v/>
      </c>
      <c r="M296" s="11">
        <f>Settings!$B$4+SUM(L$2:L296)</f>
        <v/>
      </c>
    </row>
    <row r="297">
      <c r="J297" s="12">
        <f>IF(I297="","",I297-F297)</f>
        <v/>
      </c>
      <c r="L297" s="11">
        <f>IF(K297="W",IF(G297&lt;0,H297*100/ABS(G297),H297*G297/100),IF(K297="L",-H297,0))</f>
        <v/>
      </c>
      <c r="M297" s="11">
        <f>Settings!$B$4+SUM(L$2:L297)</f>
        <v/>
      </c>
    </row>
    <row r="298">
      <c r="J298" s="12">
        <f>IF(I298="","",I298-F298)</f>
        <v/>
      </c>
      <c r="L298" s="11">
        <f>IF(K298="W",IF(G298&lt;0,H298*100/ABS(G298),H298*G298/100),IF(K298="L",-H298,0))</f>
        <v/>
      </c>
      <c r="M298" s="11">
        <f>Settings!$B$4+SUM(L$2:L298)</f>
        <v/>
      </c>
    </row>
    <row r="299">
      <c r="J299" s="12">
        <f>IF(I299="","",I299-F299)</f>
        <v/>
      </c>
      <c r="L299" s="11">
        <f>IF(K299="W",IF(G299&lt;0,H299*100/ABS(G299),H299*G299/100),IF(K299="L",-H299,0))</f>
        <v/>
      </c>
      <c r="M299" s="11">
        <f>Settings!$B$4+SUM(L$2:L299)</f>
        <v/>
      </c>
    </row>
    <row r="300">
      <c r="J300" s="12">
        <f>IF(I300="","",I300-F300)</f>
        <v/>
      </c>
      <c r="L300" s="11">
        <f>IF(K300="W",IF(G300&lt;0,H300*100/ABS(G300),H300*G300/100),IF(K300="L",-H300,0))</f>
        <v/>
      </c>
      <c r="M300" s="11">
        <f>Settings!$B$4+SUM(L$2:L300)</f>
        <v/>
      </c>
    </row>
    <row r="301">
      <c r="J301" s="12">
        <f>IF(I301="","",I301-F301)</f>
        <v/>
      </c>
      <c r="L301" s="11">
        <f>IF(K301="W",IF(G301&lt;0,H301*100/ABS(G301),H301*G301/100),IF(K301="L",-H301,0))</f>
        <v/>
      </c>
      <c r="M301" s="11">
        <f>Settings!$B$4+SUM(L$2:L301)</f>
        <v/>
      </c>
    </row>
    <row r="302">
      <c r="J302" s="12">
        <f>IF(I302="","",I302-F302)</f>
        <v/>
      </c>
      <c r="L302" s="11">
        <f>IF(K302="W",IF(G302&lt;0,H302*100/ABS(G302),H302*G302/100),IF(K302="L",-H302,0))</f>
        <v/>
      </c>
      <c r="M302" s="11">
        <f>Settings!$B$4+SUM(L$2:L302)</f>
        <v/>
      </c>
    </row>
    <row r="303">
      <c r="J303" s="12">
        <f>IF(I303="","",I303-F303)</f>
        <v/>
      </c>
      <c r="L303" s="11">
        <f>IF(K303="W",IF(G303&lt;0,H303*100/ABS(G303),H303*G303/100),IF(K303="L",-H303,0))</f>
        <v/>
      </c>
      <c r="M303" s="11">
        <f>Settings!$B$4+SUM(L$2:L303)</f>
        <v/>
      </c>
    </row>
    <row r="304">
      <c r="J304" s="12">
        <f>IF(I304="","",I304-F304)</f>
        <v/>
      </c>
      <c r="L304" s="11">
        <f>IF(K304="W",IF(G304&lt;0,H304*100/ABS(G304),H304*G304/100),IF(K304="L",-H304,0))</f>
        <v/>
      </c>
      <c r="M304" s="11">
        <f>Settings!$B$4+SUM(L$2:L304)</f>
        <v/>
      </c>
    </row>
    <row r="305">
      <c r="J305" s="12">
        <f>IF(I305="","",I305-F305)</f>
        <v/>
      </c>
      <c r="L305" s="11">
        <f>IF(K305="W",IF(G305&lt;0,H305*100/ABS(G305),H305*G305/100),IF(K305="L",-H305,0))</f>
        <v/>
      </c>
      <c r="M305" s="11">
        <f>Settings!$B$4+SUM(L$2:L305)</f>
        <v/>
      </c>
    </row>
    <row r="306">
      <c r="J306" s="12">
        <f>IF(I306="","",I306-F306)</f>
        <v/>
      </c>
      <c r="L306" s="11">
        <f>IF(K306="W",IF(G306&lt;0,H306*100/ABS(G306),H306*G306/100),IF(K306="L",-H306,0))</f>
        <v/>
      </c>
      <c r="M306" s="11">
        <f>Settings!$B$4+SUM(L$2:L306)</f>
        <v/>
      </c>
    </row>
    <row r="307">
      <c r="J307" s="12">
        <f>IF(I307="","",I307-F307)</f>
        <v/>
      </c>
      <c r="L307" s="11">
        <f>IF(K307="W",IF(G307&lt;0,H307*100/ABS(G307),H307*G307/100),IF(K307="L",-H307,0))</f>
        <v/>
      </c>
      <c r="M307" s="11">
        <f>Settings!$B$4+SUM(L$2:L307)</f>
        <v/>
      </c>
    </row>
    <row r="308">
      <c r="J308" s="12">
        <f>IF(I308="","",I308-F308)</f>
        <v/>
      </c>
      <c r="L308" s="11">
        <f>IF(K308="W",IF(G308&lt;0,H308*100/ABS(G308),H308*G308/100),IF(K308="L",-H308,0))</f>
        <v/>
      </c>
      <c r="M308" s="11">
        <f>Settings!$B$4+SUM(L$2:L308)</f>
        <v/>
      </c>
    </row>
    <row r="309">
      <c r="J309" s="12">
        <f>IF(I309="","",I309-F309)</f>
        <v/>
      </c>
      <c r="L309" s="11">
        <f>IF(K309="W",IF(G309&lt;0,H309*100/ABS(G309),H309*G309/100),IF(K309="L",-H309,0))</f>
        <v/>
      </c>
      <c r="M309" s="11">
        <f>Settings!$B$4+SUM(L$2:L309)</f>
        <v/>
      </c>
    </row>
    <row r="310">
      <c r="J310" s="12">
        <f>IF(I310="","",I310-F310)</f>
        <v/>
      </c>
      <c r="L310" s="11">
        <f>IF(K310="W",IF(G310&lt;0,H310*100/ABS(G310),H310*G310/100),IF(K310="L",-H310,0))</f>
        <v/>
      </c>
      <c r="M310" s="11">
        <f>Settings!$B$4+SUM(L$2:L310)</f>
        <v/>
      </c>
    </row>
    <row r="311">
      <c r="J311" s="12">
        <f>IF(I311="","",I311-F311)</f>
        <v/>
      </c>
      <c r="L311" s="11">
        <f>IF(K311="W",IF(G311&lt;0,H311*100/ABS(G311),H311*G311/100),IF(K311="L",-H311,0))</f>
        <v/>
      </c>
      <c r="M311" s="11">
        <f>Settings!$B$4+SUM(L$2:L311)</f>
        <v/>
      </c>
    </row>
    <row r="312">
      <c r="J312" s="12">
        <f>IF(I312="","",I312-F312)</f>
        <v/>
      </c>
      <c r="L312" s="11">
        <f>IF(K312="W",IF(G312&lt;0,H312*100/ABS(G312),H312*G312/100),IF(K312="L",-H312,0))</f>
        <v/>
      </c>
      <c r="M312" s="11">
        <f>Settings!$B$4+SUM(L$2:L312)</f>
        <v/>
      </c>
    </row>
    <row r="313">
      <c r="J313" s="12">
        <f>IF(I313="","",I313-F313)</f>
        <v/>
      </c>
      <c r="L313" s="11">
        <f>IF(K313="W",IF(G313&lt;0,H313*100/ABS(G313),H313*G313/100),IF(K313="L",-H313,0))</f>
        <v/>
      </c>
      <c r="M313" s="11">
        <f>Settings!$B$4+SUM(L$2:L313)</f>
        <v/>
      </c>
    </row>
    <row r="314">
      <c r="J314" s="12">
        <f>IF(I314="","",I314-F314)</f>
        <v/>
      </c>
      <c r="L314" s="11">
        <f>IF(K314="W",IF(G314&lt;0,H314*100/ABS(G314),H314*G314/100),IF(K314="L",-H314,0))</f>
        <v/>
      </c>
      <c r="M314" s="11">
        <f>Settings!$B$4+SUM(L$2:L314)</f>
        <v/>
      </c>
    </row>
    <row r="315">
      <c r="J315" s="12">
        <f>IF(I315="","",I315-F315)</f>
        <v/>
      </c>
      <c r="L315" s="11">
        <f>IF(K315="W",IF(G315&lt;0,H315*100/ABS(G315),H315*G315/100),IF(K315="L",-H315,0))</f>
        <v/>
      </c>
      <c r="M315" s="11">
        <f>Settings!$B$4+SUM(L$2:L315)</f>
        <v/>
      </c>
    </row>
    <row r="316">
      <c r="J316" s="12">
        <f>IF(I316="","",I316-F316)</f>
        <v/>
      </c>
      <c r="L316" s="11">
        <f>IF(K316="W",IF(G316&lt;0,H316*100/ABS(G316),H316*G316/100),IF(K316="L",-H316,0))</f>
        <v/>
      </c>
      <c r="M316" s="11">
        <f>Settings!$B$4+SUM(L$2:L316)</f>
        <v/>
      </c>
    </row>
    <row r="317">
      <c r="J317" s="12">
        <f>IF(I317="","",I317-F317)</f>
        <v/>
      </c>
      <c r="L317" s="11">
        <f>IF(K317="W",IF(G317&lt;0,H317*100/ABS(G317),H317*G317/100),IF(K317="L",-H317,0))</f>
        <v/>
      </c>
      <c r="M317" s="11">
        <f>Settings!$B$4+SUM(L$2:L317)</f>
        <v/>
      </c>
    </row>
    <row r="318">
      <c r="J318" s="12">
        <f>IF(I318="","",I318-F318)</f>
        <v/>
      </c>
      <c r="L318" s="11">
        <f>IF(K318="W",IF(G318&lt;0,H318*100/ABS(G318),H318*G318/100),IF(K318="L",-H318,0))</f>
        <v/>
      </c>
      <c r="M318" s="11">
        <f>Settings!$B$4+SUM(L$2:L318)</f>
        <v/>
      </c>
    </row>
    <row r="319">
      <c r="J319" s="12">
        <f>IF(I319="","",I319-F319)</f>
        <v/>
      </c>
      <c r="L319" s="11">
        <f>IF(K319="W",IF(G319&lt;0,H319*100/ABS(G319),H319*G319/100),IF(K319="L",-H319,0))</f>
        <v/>
      </c>
      <c r="M319" s="11">
        <f>Settings!$B$4+SUM(L$2:L319)</f>
        <v/>
      </c>
    </row>
    <row r="320">
      <c r="J320" s="12">
        <f>IF(I320="","",I320-F320)</f>
        <v/>
      </c>
      <c r="L320" s="11">
        <f>IF(K320="W",IF(G320&lt;0,H320*100/ABS(G320),H320*G320/100),IF(K320="L",-H320,0))</f>
        <v/>
      </c>
      <c r="M320" s="11">
        <f>Settings!$B$4+SUM(L$2:L320)</f>
        <v/>
      </c>
    </row>
    <row r="321">
      <c r="J321" s="12">
        <f>IF(I321="","",I321-F321)</f>
        <v/>
      </c>
      <c r="L321" s="11">
        <f>IF(K321="W",IF(G321&lt;0,H321*100/ABS(G321),H321*G321/100),IF(K321="L",-H321,0))</f>
        <v/>
      </c>
      <c r="M321" s="11">
        <f>Settings!$B$4+SUM(L$2:L321)</f>
        <v/>
      </c>
    </row>
    <row r="322">
      <c r="J322" s="12">
        <f>IF(I322="","",I322-F322)</f>
        <v/>
      </c>
      <c r="L322" s="11">
        <f>IF(K322="W",IF(G322&lt;0,H322*100/ABS(G322),H322*G322/100),IF(K322="L",-H322,0))</f>
        <v/>
      </c>
      <c r="M322" s="11">
        <f>Settings!$B$4+SUM(L$2:L322)</f>
        <v/>
      </c>
    </row>
    <row r="323">
      <c r="J323" s="12">
        <f>IF(I323="","",I323-F323)</f>
        <v/>
      </c>
      <c r="L323" s="11">
        <f>IF(K323="W",IF(G323&lt;0,H323*100/ABS(G323),H323*G323/100),IF(K323="L",-H323,0))</f>
        <v/>
      </c>
      <c r="M323" s="11">
        <f>Settings!$B$4+SUM(L$2:L323)</f>
        <v/>
      </c>
    </row>
    <row r="324">
      <c r="J324" s="12">
        <f>IF(I324="","",I324-F324)</f>
        <v/>
      </c>
      <c r="L324" s="11">
        <f>IF(K324="W",IF(G324&lt;0,H324*100/ABS(G324),H324*G324/100),IF(K324="L",-H324,0))</f>
        <v/>
      </c>
      <c r="M324" s="11">
        <f>Settings!$B$4+SUM(L$2:L324)</f>
        <v/>
      </c>
    </row>
    <row r="325">
      <c r="J325" s="12">
        <f>IF(I325="","",I325-F325)</f>
        <v/>
      </c>
      <c r="L325" s="11">
        <f>IF(K325="W",IF(G325&lt;0,H325*100/ABS(G325),H325*G325/100),IF(K325="L",-H325,0))</f>
        <v/>
      </c>
      <c r="M325" s="11">
        <f>Settings!$B$4+SUM(L$2:L325)</f>
        <v/>
      </c>
    </row>
    <row r="326">
      <c r="J326" s="12">
        <f>IF(I326="","",I326-F326)</f>
        <v/>
      </c>
      <c r="L326" s="11">
        <f>IF(K326="W",IF(G326&lt;0,H326*100/ABS(G326),H326*G326/100),IF(K326="L",-H326,0))</f>
        <v/>
      </c>
      <c r="M326" s="11">
        <f>Settings!$B$4+SUM(L$2:L326)</f>
        <v/>
      </c>
    </row>
    <row r="327">
      <c r="J327" s="12">
        <f>IF(I327="","",I327-F327)</f>
        <v/>
      </c>
      <c r="L327" s="11">
        <f>IF(K327="W",IF(G327&lt;0,H327*100/ABS(G327),H327*G327/100),IF(K327="L",-H327,0))</f>
        <v/>
      </c>
      <c r="M327" s="11">
        <f>Settings!$B$4+SUM(L$2:L327)</f>
        <v/>
      </c>
    </row>
    <row r="328">
      <c r="J328" s="12">
        <f>IF(I328="","",I328-F328)</f>
        <v/>
      </c>
      <c r="L328" s="11">
        <f>IF(K328="W",IF(G328&lt;0,H328*100/ABS(G328),H328*G328/100),IF(K328="L",-H328,0))</f>
        <v/>
      </c>
      <c r="M328" s="11">
        <f>Settings!$B$4+SUM(L$2:L328)</f>
        <v/>
      </c>
    </row>
    <row r="329">
      <c r="J329" s="12">
        <f>IF(I329="","",I329-F329)</f>
        <v/>
      </c>
      <c r="L329" s="11">
        <f>IF(K329="W",IF(G329&lt;0,H329*100/ABS(G329),H329*G329/100),IF(K329="L",-H329,0))</f>
        <v/>
      </c>
      <c r="M329" s="11">
        <f>Settings!$B$4+SUM(L$2:L329)</f>
        <v/>
      </c>
    </row>
    <row r="330">
      <c r="J330" s="12">
        <f>IF(I330="","",I330-F330)</f>
        <v/>
      </c>
      <c r="L330" s="11">
        <f>IF(K330="W",IF(G330&lt;0,H330*100/ABS(G330),H330*G330/100),IF(K330="L",-H330,0))</f>
        <v/>
      </c>
      <c r="M330" s="11">
        <f>Settings!$B$4+SUM(L$2:L330)</f>
        <v/>
      </c>
    </row>
    <row r="331">
      <c r="J331" s="12">
        <f>IF(I331="","",I331-F331)</f>
        <v/>
      </c>
      <c r="L331" s="11">
        <f>IF(K331="W",IF(G331&lt;0,H331*100/ABS(G331),H331*G331/100),IF(K331="L",-H331,0))</f>
        <v/>
      </c>
      <c r="M331" s="11">
        <f>Settings!$B$4+SUM(L$2:L331)</f>
        <v/>
      </c>
    </row>
    <row r="332">
      <c r="J332" s="12">
        <f>IF(I332="","",I332-F332)</f>
        <v/>
      </c>
      <c r="L332" s="11">
        <f>IF(K332="W",IF(G332&lt;0,H332*100/ABS(G332),H332*G332/100),IF(K332="L",-H332,0))</f>
        <v/>
      </c>
      <c r="M332" s="11">
        <f>Settings!$B$4+SUM(L$2:L332)</f>
        <v/>
      </c>
    </row>
    <row r="333">
      <c r="J333" s="12">
        <f>IF(I333="","",I333-F333)</f>
        <v/>
      </c>
      <c r="L333" s="11">
        <f>IF(K333="W",IF(G333&lt;0,H333*100/ABS(G333),H333*G333/100),IF(K333="L",-H333,0))</f>
        <v/>
      </c>
      <c r="M333" s="11">
        <f>Settings!$B$4+SUM(L$2:L333)</f>
        <v/>
      </c>
    </row>
    <row r="334">
      <c r="J334" s="12">
        <f>IF(I334="","",I334-F334)</f>
        <v/>
      </c>
      <c r="L334" s="11">
        <f>IF(K334="W",IF(G334&lt;0,H334*100/ABS(G334),H334*G334/100),IF(K334="L",-H334,0))</f>
        <v/>
      </c>
      <c r="M334" s="11">
        <f>Settings!$B$4+SUM(L$2:L334)</f>
        <v/>
      </c>
    </row>
    <row r="335">
      <c r="J335" s="12">
        <f>IF(I335="","",I335-F335)</f>
        <v/>
      </c>
      <c r="L335" s="11">
        <f>IF(K335="W",IF(G335&lt;0,H335*100/ABS(G335),H335*G335/100),IF(K335="L",-H335,0))</f>
        <v/>
      </c>
      <c r="M335" s="11">
        <f>Settings!$B$4+SUM(L$2:L335)</f>
        <v/>
      </c>
    </row>
    <row r="336">
      <c r="J336" s="12">
        <f>IF(I336="","",I336-F336)</f>
        <v/>
      </c>
      <c r="L336" s="11">
        <f>IF(K336="W",IF(G336&lt;0,H336*100/ABS(G336),H336*G336/100),IF(K336="L",-H336,0))</f>
        <v/>
      </c>
      <c r="M336" s="11">
        <f>Settings!$B$4+SUM(L$2:L336)</f>
        <v/>
      </c>
    </row>
    <row r="337">
      <c r="J337" s="12">
        <f>IF(I337="","",I337-F337)</f>
        <v/>
      </c>
      <c r="L337" s="11">
        <f>IF(K337="W",IF(G337&lt;0,H337*100/ABS(G337),H337*G337/100),IF(K337="L",-H337,0))</f>
        <v/>
      </c>
      <c r="M337" s="11">
        <f>Settings!$B$4+SUM(L$2:L337)</f>
        <v/>
      </c>
    </row>
    <row r="338">
      <c r="J338" s="12">
        <f>IF(I338="","",I338-F338)</f>
        <v/>
      </c>
      <c r="L338" s="11">
        <f>IF(K338="W",IF(G338&lt;0,H338*100/ABS(G338),H338*G338/100),IF(K338="L",-H338,0))</f>
        <v/>
      </c>
      <c r="M338" s="11">
        <f>Settings!$B$4+SUM(L$2:L338)</f>
        <v/>
      </c>
    </row>
    <row r="339">
      <c r="J339" s="12">
        <f>IF(I339="","",I339-F339)</f>
        <v/>
      </c>
      <c r="L339" s="11">
        <f>IF(K339="W",IF(G339&lt;0,H339*100/ABS(G339),H339*G339/100),IF(K339="L",-H339,0))</f>
        <v/>
      </c>
      <c r="M339" s="11">
        <f>Settings!$B$4+SUM(L$2:L339)</f>
        <v/>
      </c>
    </row>
    <row r="340">
      <c r="J340" s="12">
        <f>IF(I340="","",I340-F340)</f>
        <v/>
      </c>
      <c r="L340" s="11">
        <f>IF(K340="W",IF(G340&lt;0,H340*100/ABS(G340),H340*G340/100),IF(K340="L",-H340,0))</f>
        <v/>
      </c>
      <c r="M340" s="11">
        <f>Settings!$B$4+SUM(L$2:L340)</f>
        <v/>
      </c>
    </row>
    <row r="341">
      <c r="J341" s="12">
        <f>IF(I341="","",I341-F341)</f>
        <v/>
      </c>
      <c r="L341" s="11">
        <f>IF(K341="W",IF(G341&lt;0,H341*100/ABS(G341),H341*G341/100),IF(K341="L",-H341,0))</f>
        <v/>
      </c>
      <c r="M341" s="11">
        <f>Settings!$B$4+SUM(L$2:L341)</f>
        <v/>
      </c>
    </row>
    <row r="342">
      <c r="J342" s="12">
        <f>IF(I342="","",I342-F342)</f>
        <v/>
      </c>
      <c r="L342" s="11">
        <f>IF(K342="W",IF(G342&lt;0,H342*100/ABS(G342),H342*G342/100),IF(K342="L",-H342,0))</f>
        <v/>
      </c>
      <c r="M342" s="11">
        <f>Settings!$B$4+SUM(L$2:L342)</f>
        <v/>
      </c>
    </row>
    <row r="343">
      <c r="J343" s="12">
        <f>IF(I343="","",I343-F343)</f>
        <v/>
      </c>
      <c r="L343" s="11">
        <f>IF(K343="W",IF(G343&lt;0,H343*100/ABS(G343),H343*G343/100),IF(K343="L",-H343,0))</f>
        <v/>
      </c>
      <c r="M343" s="11">
        <f>Settings!$B$4+SUM(L$2:L343)</f>
        <v/>
      </c>
    </row>
    <row r="344">
      <c r="J344" s="12">
        <f>IF(I344="","",I344-F344)</f>
        <v/>
      </c>
      <c r="L344" s="11">
        <f>IF(K344="W",IF(G344&lt;0,H344*100/ABS(G344),H344*G344/100),IF(K344="L",-H344,0))</f>
        <v/>
      </c>
      <c r="M344" s="11">
        <f>Settings!$B$4+SUM(L$2:L344)</f>
        <v/>
      </c>
    </row>
    <row r="345">
      <c r="J345" s="12">
        <f>IF(I345="","",I345-F345)</f>
        <v/>
      </c>
      <c r="L345" s="11">
        <f>IF(K345="W",IF(G345&lt;0,H345*100/ABS(G345),H345*G345/100),IF(K345="L",-H345,0))</f>
        <v/>
      </c>
      <c r="M345" s="11">
        <f>Settings!$B$4+SUM(L$2:L345)</f>
        <v/>
      </c>
    </row>
    <row r="346">
      <c r="J346" s="12">
        <f>IF(I346="","",I346-F346)</f>
        <v/>
      </c>
      <c r="L346" s="11">
        <f>IF(K346="W",IF(G346&lt;0,H346*100/ABS(G346),H346*G346/100),IF(K346="L",-H346,0))</f>
        <v/>
      </c>
      <c r="M346" s="11">
        <f>Settings!$B$4+SUM(L$2:L346)</f>
        <v/>
      </c>
    </row>
    <row r="347">
      <c r="J347" s="12">
        <f>IF(I347="","",I347-F347)</f>
        <v/>
      </c>
      <c r="L347" s="11">
        <f>IF(K347="W",IF(G347&lt;0,H347*100/ABS(G347),H347*G347/100),IF(K347="L",-H347,0))</f>
        <v/>
      </c>
      <c r="M347" s="11">
        <f>Settings!$B$4+SUM(L$2:L347)</f>
        <v/>
      </c>
    </row>
    <row r="348">
      <c r="J348" s="12">
        <f>IF(I348="","",I348-F348)</f>
        <v/>
      </c>
      <c r="L348" s="11">
        <f>IF(K348="W",IF(G348&lt;0,H348*100/ABS(G348),H348*G348/100),IF(K348="L",-H348,0))</f>
        <v/>
      </c>
      <c r="M348" s="11">
        <f>Settings!$B$4+SUM(L$2:L348)</f>
        <v/>
      </c>
    </row>
    <row r="349">
      <c r="J349" s="12">
        <f>IF(I349="","",I349-F349)</f>
        <v/>
      </c>
      <c r="L349" s="11">
        <f>IF(K349="W",IF(G349&lt;0,H349*100/ABS(G349),H349*G349/100),IF(K349="L",-H349,0))</f>
        <v/>
      </c>
      <c r="M349" s="11">
        <f>Settings!$B$4+SUM(L$2:L349)</f>
        <v/>
      </c>
    </row>
    <row r="350">
      <c r="J350" s="12">
        <f>IF(I350="","",I350-F350)</f>
        <v/>
      </c>
      <c r="L350" s="11">
        <f>IF(K350="W",IF(G350&lt;0,H350*100/ABS(G350),H350*G350/100),IF(K350="L",-H350,0))</f>
        <v/>
      </c>
      <c r="M350" s="11">
        <f>Settings!$B$4+SUM(L$2:L350)</f>
        <v/>
      </c>
    </row>
    <row r="351">
      <c r="J351" s="12">
        <f>IF(I351="","",I351-F351)</f>
        <v/>
      </c>
      <c r="L351" s="11">
        <f>IF(K351="W",IF(G351&lt;0,H351*100/ABS(G351),H351*G351/100),IF(K351="L",-H351,0))</f>
        <v/>
      </c>
      <c r="M351" s="11">
        <f>Settings!$B$4+SUM(L$2:L351)</f>
        <v/>
      </c>
    </row>
    <row r="352">
      <c r="J352" s="12">
        <f>IF(I352="","",I352-F352)</f>
        <v/>
      </c>
      <c r="L352" s="11">
        <f>IF(K352="W",IF(G352&lt;0,H352*100/ABS(G352),H352*G352/100),IF(K352="L",-H352,0))</f>
        <v/>
      </c>
      <c r="M352" s="11">
        <f>Settings!$B$4+SUM(L$2:L352)</f>
        <v/>
      </c>
    </row>
    <row r="353">
      <c r="J353" s="12">
        <f>IF(I353="","",I353-F353)</f>
        <v/>
      </c>
      <c r="L353" s="11">
        <f>IF(K353="W",IF(G353&lt;0,H353*100/ABS(G353),H353*G353/100),IF(K353="L",-H353,0))</f>
        <v/>
      </c>
      <c r="M353" s="11">
        <f>Settings!$B$4+SUM(L$2:L353)</f>
        <v/>
      </c>
    </row>
    <row r="354">
      <c r="J354" s="12">
        <f>IF(I354="","",I354-F354)</f>
        <v/>
      </c>
      <c r="L354" s="11">
        <f>IF(K354="W",IF(G354&lt;0,H354*100/ABS(G354),H354*G354/100),IF(K354="L",-H354,0))</f>
        <v/>
      </c>
      <c r="M354" s="11">
        <f>Settings!$B$4+SUM(L$2:L354)</f>
        <v/>
      </c>
    </row>
    <row r="355">
      <c r="J355" s="12">
        <f>IF(I355="","",I355-F355)</f>
        <v/>
      </c>
      <c r="L355" s="11">
        <f>IF(K355="W",IF(G355&lt;0,H355*100/ABS(G355),H355*G355/100),IF(K355="L",-H355,0))</f>
        <v/>
      </c>
      <c r="M355" s="11">
        <f>Settings!$B$4+SUM(L$2:L355)</f>
        <v/>
      </c>
    </row>
    <row r="356">
      <c r="J356" s="12">
        <f>IF(I356="","",I356-F356)</f>
        <v/>
      </c>
      <c r="L356" s="11">
        <f>IF(K356="W",IF(G356&lt;0,H356*100/ABS(G356),H356*G356/100),IF(K356="L",-H356,0))</f>
        <v/>
      </c>
      <c r="M356" s="11">
        <f>Settings!$B$4+SUM(L$2:L356)</f>
        <v/>
      </c>
    </row>
    <row r="357">
      <c r="J357" s="12">
        <f>IF(I357="","",I357-F357)</f>
        <v/>
      </c>
      <c r="L357" s="11">
        <f>IF(K357="W",IF(G357&lt;0,H357*100/ABS(G357),H357*G357/100),IF(K357="L",-H357,0))</f>
        <v/>
      </c>
      <c r="M357" s="11">
        <f>Settings!$B$4+SUM(L$2:L357)</f>
        <v/>
      </c>
    </row>
    <row r="358">
      <c r="J358" s="12">
        <f>IF(I358="","",I358-F358)</f>
        <v/>
      </c>
      <c r="L358" s="11">
        <f>IF(K358="W",IF(G358&lt;0,H358*100/ABS(G358),H358*G358/100),IF(K358="L",-H358,0))</f>
        <v/>
      </c>
      <c r="M358" s="11">
        <f>Settings!$B$4+SUM(L$2:L358)</f>
        <v/>
      </c>
    </row>
    <row r="359">
      <c r="J359" s="12">
        <f>IF(I359="","",I359-F359)</f>
        <v/>
      </c>
      <c r="L359" s="11">
        <f>IF(K359="W",IF(G359&lt;0,H359*100/ABS(G359),H359*G359/100),IF(K359="L",-H359,0))</f>
        <v/>
      </c>
      <c r="M359" s="11">
        <f>Settings!$B$4+SUM(L$2:L359)</f>
        <v/>
      </c>
    </row>
    <row r="360">
      <c r="J360" s="12">
        <f>IF(I360="","",I360-F360)</f>
        <v/>
      </c>
      <c r="L360" s="11">
        <f>IF(K360="W",IF(G360&lt;0,H360*100/ABS(G360),H360*G360/100),IF(K360="L",-H360,0))</f>
        <v/>
      </c>
      <c r="M360" s="11">
        <f>Settings!$B$4+SUM(L$2:L360)</f>
        <v/>
      </c>
    </row>
    <row r="361">
      <c r="J361" s="12">
        <f>IF(I361="","",I361-F361)</f>
        <v/>
      </c>
      <c r="L361" s="11">
        <f>IF(K361="W",IF(G361&lt;0,H361*100/ABS(G361),H361*G361/100),IF(K361="L",-H361,0))</f>
        <v/>
      </c>
      <c r="M361" s="11">
        <f>Settings!$B$4+SUM(L$2:L361)</f>
        <v/>
      </c>
    </row>
    <row r="362">
      <c r="J362" s="12">
        <f>IF(I362="","",I362-F362)</f>
        <v/>
      </c>
      <c r="L362" s="11">
        <f>IF(K362="W",IF(G362&lt;0,H362*100/ABS(G362),H362*G362/100),IF(K362="L",-H362,0))</f>
        <v/>
      </c>
      <c r="M362" s="11">
        <f>Settings!$B$4+SUM(L$2:L362)</f>
        <v/>
      </c>
    </row>
    <row r="363">
      <c r="J363" s="12">
        <f>IF(I363="","",I363-F363)</f>
        <v/>
      </c>
      <c r="L363" s="11">
        <f>IF(K363="W",IF(G363&lt;0,H363*100/ABS(G363),H363*G363/100),IF(K363="L",-H363,0))</f>
        <v/>
      </c>
      <c r="M363" s="11">
        <f>Settings!$B$4+SUM(L$2:L363)</f>
        <v/>
      </c>
    </row>
    <row r="364">
      <c r="J364" s="12">
        <f>IF(I364="","",I364-F364)</f>
        <v/>
      </c>
      <c r="L364" s="11">
        <f>IF(K364="W",IF(G364&lt;0,H364*100/ABS(G364),H364*G364/100),IF(K364="L",-H364,0))</f>
        <v/>
      </c>
      <c r="M364" s="11">
        <f>Settings!$B$4+SUM(L$2:L364)</f>
        <v/>
      </c>
    </row>
    <row r="365">
      <c r="J365" s="12">
        <f>IF(I365="","",I365-F365)</f>
        <v/>
      </c>
      <c r="L365" s="11">
        <f>IF(K365="W",IF(G365&lt;0,H365*100/ABS(G365),H365*G365/100),IF(K365="L",-H365,0))</f>
        <v/>
      </c>
      <c r="M365" s="11">
        <f>Settings!$B$4+SUM(L$2:L365)</f>
        <v/>
      </c>
    </row>
    <row r="366">
      <c r="J366" s="12">
        <f>IF(I366="","",I366-F366)</f>
        <v/>
      </c>
      <c r="L366" s="11">
        <f>IF(K366="W",IF(G366&lt;0,H366*100/ABS(G366),H366*G366/100),IF(K366="L",-H366,0))</f>
        <v/>
      </c>
      <c r="M366" s="11">
        <f>Settings!$B$4+SUM(L$2:L366)</f>
        <v/>
      </c>
    </row>
    <row r="367">
      <c r="J367" s="12">
        <f>IF(I367="","",I367-F367)</f>
        <v/>
      </c>
      <c r="L367" s="11">
        <f>IF(K367="W",IF(G367&lt;0,H367*100/ABS(G367),H367*G367/100),IF(K367="L",-H367,0))</f>
        <v/>
      </c>
      <c r="M367" s="11">
        <f>Settings!$B$4+SUM(L$2:L367)</f>
        <v/>
      </c>
    </row>
    <row r="368">
      <c r="J368" s="12">
        <f>IF(I368="","",I368-F368)</f>
        <v/>
      </c>
      <c r="L368" s="11">
        <f>IF(K368="W",IF(G368&lt;0,H368*100/ABS(G368),H368*G368/100),IF(K368="L",-H368,0))</f>
        <v/>
      </c>
      <c r="M368" s="11">
        <f>Settings!$B$4+SUM(L$2:L368)</f>
        <v/>
      </c>
    </row>
    <row r="369">
      <c r="J369" s="12">
        <f>IF(I369="","",I369-F369)</f>
        <v/>
      </c>
      <c r="L369" s="11">
        <f>IF(K369="W",IF(G369&lt;0,H369*100/ABS(G369),H369*G369/100),IF(K369="L",-H369,0))</f>
        <v/>
      </c>
      <c r="M369" s="11">
        <f>Settings!$B$4+SUM(L$2:L369)</f>
        <v/>
      </c>
    </row>
    <row r="370">
      <c r="J370" s="12">
        <f>IF(I370="","",I370-F370)</f>
        <v/>
      </c>
      <c r="L370" s="11">
        <f>IF(K370="W",IF(G370&lt;0,H370*100/ABS(G370),H370*G370/100),IF(K370="L",-H370,0))</f>
        <v/>
      </c>
      <c r="M370" s="11">
        <f>Settings!$B$4+SUM(L$2:L370)</f>
        <v/>
      </c>
    </row>
    <row r="371">
      <c r="J371" s="12">
        <f>IF(I371="","",I371-F371)</f>
        <v/>
      </c>
      <c r="L371" s="11">
        <f>IF(K371="W",IF(G371&lt;0,H371*100/ABS(G371),H371*G371/100),IF(K371="L",-H371,0))</f>
        <v/>
      </c>
      <c r="M371" s="11">
        <f>Settings!$B$4+SUM(L$2:L371)</f>
        <v/>
      </c>
    </row>
    <row r="372">
      <c r="J372" s="12">
        <f>IF(I372="","",I372-F372)</f>
        <v/>
      </c>
      <c r="L372" s="11">
        <f>IF(K372="W",IF(G372&lt;0,H372*100/ABS(G372),H372*G372/100),IF(K372="L",-H372,0))</f>
        <v/>
      </c>
      <c r="M372" s="11">
        <f>Settings!$B$4+SUM(L$2:L372)</f>
        <v/>
      </c>
    </row>
    <row r="373">
      <c r="J373" s="12">
        <f>IF(I373="","",I373-F373)</f>
        <v/>
      </c>
      <c r="L373" s="11">
        <f>IF(K373="W",IF(G373&lt;0,H373*100/ABS(G373),H373*G373/100),IF(K373="L",-H373,0))</f>
        <v/>
      </c>
      <c r="M373" s="11">
        <f>Settings!$B$4+SUM(L$2:L373)</f>
        <v/>
      </c>
    </row>
    <row r="374">
      <c r="J374" s="12">
        <f>IF(I374="","",I374-F374)</f>
        <v/>
      </c>
      <c r="L374" s="11">
        <f>IF(K374="W",IF(G374&lt;0,H374*100/ABS(G374),H374*G374/100),IF(K374="L",-H374,0))</f>
        <v/>
      </c>
      <c r="M374" s="11">
        <f>Settings!$B$4+SUM(L$2:L374)</f>
        <v/>
      </c>
    </row>
    <row r="375">
      <c r="J375" s="12">
        <f>IF(I375="","",I375-F375)</f>
        <v/>
      </c>
      <c r="L375" s="11">
        <f>IF(K375="W",IF(G375&lt;0,H375*100/ABS(G375),H375*G375/100),IF(K375="L",-H375,0))</f>
        <v/>
      </c>
      <c r="M375" s="11">
        <f>Settings!$B$4+SUM(L$2:L375)</f>
        <v/>
      </c>
    </row>
    <row r="376">
      <c r="J376" s="12">
        <f>IF(I376="","",I376-F376)</f>
        <v/>
      </c>
      <c r="L376" s="11">
        <f>IF(K376="W",IF(G376&lt;0,H376*100/ABS(G376),H376*G376/100),IF(K376="L",-H376,0))</f>
        <v/>
      </c>
      <c r="M376" s="11">
        <f>Settings!$B$4+SUM(L$2:L376)</f>
        <v/>
      </c>
    </row>
    <row r="377">
      <c r="J377" s="12">
        <f>IF(I377="","",I377-F377)</f>
        <v/>
      </c>
      <c r="L377" s="11">
        <f>IF(K377="W",IF(G377&lt;0,H377*100/ABS(G377),H377*G377/100),IF(K377="L",-H377,0))</f>
        <v/>
      </c>
      <c r="M377" s="11">
        <f>Settings!$B$4+SUM(L$2:L377)</f>
        <v/>
      </c>
    </row>
    <row r="378">
      <c r="J378" s="12">
        <f>IF(I378="","",I378-F378)</f>
        <v/>
      </c>
      <c r="L378" s="11">
        <f>IF(K378="W",IF(G378&lt;0,H378*100/ABS(G378),H378*G378/100),IF(K378="L",-H378,0))</f>
        <v/>
      </c>
      <c r="M378" s="11">
        <f>Settings!$B$4+SUM(L$2:L378)</f>
        <v/>
      </c>
    </row>
    <row r="379">
      <c r="J379" s="12">
        <f>IF(I379="","",I379-F379)</f>
        <v/>
      </c>
      <c r="L379" s="11">
        <f>IF(K379="W",IF(G379&lt;0,H379*100/ABS(G379),H379*G379/100),IF(K379="L",-H379,0))</f>
        <v/>
      </c>
      <c r="M379" s="11">
        <f>Settings!$B$4+SUM(L$2:L379)</f>
        <v/>
      </c>
    </row>
    <row r="380">
      <c r="J380" s="12">
        <f>IF(I380="","",I380-F380)</f>
        <v/>
      </c>
      <c r="L380" s="11">
        <f>IF(K380="W",IF(G380&lt;0,H380*100/ABS(G380),H380*G380/100),IF(K380="L",-H380,0))</f>
        <v/>
      </c>
      <c r="M380" s="11">
        <f>Settings!$B$4+SUM(L$2:L380)</f>
        <v/>
      </c>
    </row>
    <row r="381">
      <c r="J381" s="12">
        <f>IF(I381="","",I381-F381)</f>
        <v/>
      </c>
      <c r="L381" s="11">
        <f>IF(K381="W",IF(G381&lt;0,H381*100/ABS(G381),H381*G381/100),IF(K381="L",-H381,0))</f>
        <v/>
      </c>
      <c r="M381" s="11">
        <f>Settings!$B$4+SUM(L$2:L381)</f>
        <v/>
      </c>
    </row>
    <row r="382">
      <c r="J382" s="12">
        <f>IF(I382="","",I382-F382)</f>
        <v/>
      </c>
      <c r="L382" s="11">
        <f>IF(K382="W",IF(G382&lt;0,H382*100/ABS(G382),H382*G382/100),IF(K382="L",-H382,0))</f>
        <v/>
      </c>
      <c r="M382" s="11">
        <f>Settings!$B$4+SUM(L$2:L382)</f>
        <v/>
      </c>
    </row>
    <row r="383">
      <c r="J383" s="12">
        <f>IF(I383="","",I383-F383)</f>
        <v/>
      </c>
      <c r="L383" s="11">
        <f>IF(K383="W",IF(G383&lt;0,H383*100/ABS(G383),H383*G383/100),IF(K383="L",-H383,0))</f>
        <v/>
      </c>
      <c r="M383" s="11">
        <f>Settings!$B$4+SUM(L$2:L383)</f>
        <v/>
      </c>
    </row>
    <row r="384">
      <c r="J384" s="12">
        <f>IF(I384="","",I384-F384)</f>
        <v/>
      </c>
      <c r="L384" s="11">
        <f>IF(K384="W",IF(G384&lt;0,H384*100/ABS(G384),H384*G384/100),IF(K384="L",-H384,0))</f>
        <v/>
      </c>
      <c r="M384" s="11">
        <f>Settings!$B$4+SUM(L$2:L384)</f>
        <v/>
      </c>
    </row>
    <row r="385">
      <c r="J385" s="12">
        <f>IF(I385="","",I385-F385)</f>
        <v/>
      </c>
      <c r="L385" s="11">
        <f>IF(K385="W",IF(G385&lt;0,H385*100/ABS(G385),H385*G385/100),IF(K385="L",-H385,0))</f>
        <v/>
      </c>
      <c r="M385" s="11">
        <f>Settings!$B$4+SUM(L$2:L385)</f>
        <v/>
      </c>
    </row>
    <row r="386">
      <c r="J386" s="12">
        <f>IF(I386="","",I386-F386)</f>
        <v/>
      </c>
      <c r="L386" s="11">
        <f>IF(K386="W",IF(G386&lt;0,H386*100/ABS(G386),H386*G386/100),IF(K386="L",-H386,0))</f>
        <v/>
      </c>
      <c r="M386" s="11">
        <f>Settings!$B$4+SUM(L$2:L386)</f>
        <v/>
      </c>
    </row>
    <row r="387">
      <c r="J387" s="12">
        <f>IF(I387="","",I387-F387)</f>
        <v/>
      </c>
      <c r="L387" s="11">
        <f>IF(K387="W",IF(G387&lt;0,H387*100/ABS(G387),H387*G387/100),IF(K387="L",-H387,0))</f>
        <v/>
      </c>
      <c r="M387" s="11">
        <f>Settings!$B$4+SUM(L$2:L387)</f>
        <v/>
      </c>
    </row>
    <row r="388">
      <c r="J388" s="12">
        <f>IF(I388="","",I388-F388)</f>
        <v/>
      </c>
      <c r="L388" s="11">
        <f>IF(K388="W",IF(G388&lt;0,H388*100/ABS(G388),H388*G388/100),IF(K388="L",-H388,0))</f>
        <v/>
      </c>
      <c r="M388" s="11">
        <f>Settings!$B$4+SUM(L$2:L388)</f>
        <v/>
      </c>
    </row>
    <row r="389">
      <c r="J389" s="12">
        <f>IF(I389="","",I389-F389)</f>
        <v/>
      </c>
      <c r="L389" s="11">
        <f>IF(K389="W",IF(G389&lt;0,H389*100/ABS(G389),H389*G389/100),IF(K389="L",-H389,0))</f>
        <v/>
      </c>
      <c r="M389" s="11">
        <f>Settings!$B$4+SUM(L$2:L389)</f>
        <v/>
      </c>
    </row>
    <row r="390">
      <c r="J390" s="12">
        <f>IF(I390="","",I390-F390)</f>
        <v/>
      </c>
      <c r="L390" s="11">
        <f>IF(K390="W",IF(G390&lt;0,H390*100/ABS(G390),H390*G390/100),IF(K390="L",-H390,0))</f>
        <v/>
      </c>
      <c r="M390" s="11">
        <f>Settings!$B$4+SUM(L$2:L390)</f>
        <v/>
      </c>
    </row>
    <row r="391">
      <c r="J391" s="12">
        <f>IF(I391="","",I391-F391)</f>
        <v/>
      </c>
      <c r="L391" s="11">
        <f>IF(K391="W",IF(G391&lt;0,H391*100/ABS(G391),H391*G391/100),IF(K391="L",-H391,0))</f>
        <v/>
      </c>
      <c r="M391" s="11">
        <f>Settings!$B$4+SUM(L$2:L391)</f>
        <v/>
      </c>
    </row>
    <row r="392">
      <c r="J392" s="12">
        <f>IF(I392="","",I392-F392)</f>
        <v/>
      </c>
      <c r="L392" s="11">
        <f>IF(K392="W",IF(G392&lt;0,H392*100/ABS(G392),H392*G392/100),IF(K392="L",-H392,0))</f>
        <v/>
      </c>
      <c r="M392" s="11">
        <f>Settings!$B$4+SUM(L$2:L392)</f>
        <v/>
      </c>
    </row>
    <row r="393">
      <c r="J393" s="12">
        <f>IF(I393="","",I393-F393)</f>
        <v/>
      </c>
      <c r="L393" s="11">
        <f>IF(K393="W",IF(G393&lt;0,H393*100/ABS(G393),H393*G393/100),IF(K393="L",-H393,0))</f>
        <v/>
      </c>
      <c r="M393" s="11">
        <f>Settings!$B$4+SUM(L$2:L393)</f>
        <v/>
      </c>
    </row>
    <row r="394">
      <c r="J394" s="12">
        <f>IF(I394="","",I394-F394)</f>
        <v/>
      </c>
      <c r="L394" s="11">
        <f>IF(K394="W",IF(G394&lt;0,H394*100/ABS(G394),H394*G394/100),IF(K394="L",-H394,0))</f>
        <v/>
      </c>
      <c r="M394" s="11">
        <f>Settings!$B$4+SUM(L$2:L394)</f>
        <v/>
      </c>
    </row>
    <row r="395">
      <c r="J395" s="12">
        <f>IF(I395="","",I395-F395)</f>
        <v/>
      </c>
      <c r="L395" s="11">
        <f>IF(K395="W",IF(G395&lt;0,H395*100/ABS(G395),H395*G395/100),IF(K395="L",-H395,0))</f>
        <v/>
      </c>
      <c r="M395" s="11">
        <f>Settings!$B$4+SUM(L$2:L395)</f>
        <v/>
      </c>
    </row>
    <row r="396">
      <c r="J396" s="12">
        <f>IF(I396="","",I396-F396)</f>
        <v/>
      </c>
      <c r="L396" s="11">
        <f>IF(K396="W",IF(G396&lt;0,H396*100/ABS(G396),H396*G396/100),IF(K396="L",-H396,0))</f>
        <v/>
      </c>
      <c r="M396" s="11">
        <f>Settings!$B$4+SUM(L$2:L396)</f>
        <v/>
      </c>
    </row>
    <row r="397">
      <c r="J397" s="12">
        <f>IF(I397="","",I397-F397)</f>
        <v/>
      </c>
      <c r="L397" s="11">
        <f>IF(K397="W",IF(G397&lt;0,H397*100/ABS(G397),H397*G397/100),IF(K397="L",-H397,0))</f>
        <v/>
      </c>
      <c r="M397" s="11">
        <f>Settings!$B$4+SUM(L$2:L397)</f>
        <v/>
      </c>
    </row>
    <row r="398">
      <c r="J398" s="12">
        <f>IF(I398="","",I398-F398)</f>
        <v/>
      </c>
      <c r="L398" s="11">
        <f>IF(K398="W",IF(G398&lt;0,H398*100/ABS(G398),H398*G398/100),IF(K398="L",-H398,0))</f>
        <v/>
      </c>
      <c r="M398" s="11">
        <f>Settings!$B$4+SUM(L$2:L398)</f>
        <v/>
      </c>
    </row>
    <row r="399">
      <c r="J399" s="12">
        <f>IF(I399="","",I399-F399)</f>
        <v/>
      </c>
      <c r="L399" s="11">
        <f>IF(K399="W",IF(G399&lt;0,H399*100/ABS(G399),H399*G399/100),IF(K399="L",-H399,0))</f>
        <v/>
      </c>
      <c r="M399" s="11">
        <f>Settings!$B$4+SUM(L$2:L399)</f>
        <v/>
      </c>
    </row>
    <row r="400">
      <c r="J400" s="12">
        <f>IF(I400="","",I400-F400)</f>
        <v/>
      </c>
      <c r="L400" s="11">
        <f>IF(K400="W",IF(G400&lt;0,H400*100/ABS(G400),H400*G400/100),IF(K400="L",-H400,0))</f>
        <v/>
      </c>
      <c r="M400" s="11">
        <f>Settings!$B$4+SUM(L$2:L400)</f>
        <v/>
      </c>
    </row>
    <row r="401">
      <c r="J401" s="12">
        <f>IF(I401="","",I401-F401)</f>
        <v/>
      </c>
      <c r="L401" s="11">
        <f>IF(K401="W",IF(G401&lt;0,H401*100/ABS(G401),H401*G401/100),IF(K401="L",-H401,0))</f>
        <v/>
      </c>
      <c r="M401" s="11">
        <f>Settings!$B$4+SUM(L$2:L401)</f>
        <v/>
      </c>
    </row>
    <row r="402">
      <c r="J402" s="12">
        <f>IF(I402="","",I402-F402)</f>
        <v/>
      </c>
      <c r="L402" s="11">
        <f>IF(K402="W",IF(G402&lt;0,H402*100/ABS(G402),H402*G402/100),IF(K402="L",-H402,0))</f>
        <v/>
      </c>
      <c r="M402" s="11">
        <f>Settings!$B$4+SUM(L$2:L402)</f>
        <v/>
      </c>
    </row>
    <row r="403">
      <c r="J403" s="12">
        <f>IF(I403="","",I403-F403)</f>
        <v/>
      </c>
      <c r="L403" s="11">
        <f>IF(K403="W",IF(G403&lt;0,H403*100/ABS(G403),H403*G403/100),IF(K403="L",-H403,0))</f>
        <v/>
      </c>
      <c r="M403" s="11">
        <f>Settings!$B$4+SUM(L$2:L403)</f>
        <v/>
      </c>
    </row>
    <row r="404">
      <c r="J404" s="12">
        <f>IF(I404="","",I404-F404)</f>
        <v/>
      </c>
      <c r="L404" s="11">
        <f>IF(K404="W",IF(G404&lt;0,H404*100/ABS(G404),H404*G404/100),IF(K404="L",-H404,0))</f>
        <v/>
      </c>
      <c r="M404" s="11">
        <f>Settings!$B$4+SUM(L$2:L404)</f>
        <v/>
      </c>
    </row>
    <row r="405">
      <c r="J405" s="12">
        <f>IF(I405="","",I405-F405)</f>
        <v/>
      </c>
      <c r="L405" s="11">
        <f>IF(K405="W",IF(G405&lt;0,H405*100/ABS(G405),H405*G405/100),IF(K405="L",-H405,0))</f>
        <v/>
      </c>
      <c r="M405" s="11">
        <f>Settings!$B$4+SUM(L$2:L405)</f>
        <v/>
      </c>
    </row>
    <row r="406">
      <c r="J406" s="12">
        <f>IF(I406="","",I406-F406)</f>
        <v/>
      </c>
      <c r="L406" s="11">
        <f>IF(K406="W",IF(G406&lt;0,H406*100/ABS(G406),H406*G406/100),IF(K406="L",-H406,0))</f>
        <v/>
      </c>
      <c r="M406" s="11">
        <f>Settings!$B$4+SUM(L$2:L406)</f>
        <v/>
      </c>
    </row>
    <row r="407">
      <c r="J407" s="12">
        <f>IF(I407="","",I407-F407)</f>
        <v/>
      </c>
      <c r="L407" s="11">
        <f>IF(K407="W",IF(G407&lt;0,H407*100/ABS(G407),H407*G407/100),IF(K407="L",-H407,0))</f>
        <v/>
      </c>
      <c r="M407" s="11">
        <f>Settings!$B$4+SUM(L$2:L407)</f>
        <v/>
      </c>
    </row>
    <row r="408">
      <c r="J408" s="12">
        <f>IF(I408="","",I408-F408)</f>
        <v/>
      </c>
      <c r="L408" s="11">
        <f>IF(K408="W",IF(G408&lt;0,H408*100/ABS(G408),H408*G408/100),IF(K408="L",-H408,0))</f>
        <v/>
      </c>
      <c r="M408" s="11">
        <f>Settings!$B$4+SUM(L$2:L408)</f>
        <v/>
      </c>
    </row>
    <row r="409">
      <c r="J409" s="12">
        <f>IF(I409="","",I409-F409)</f>
        <v/>
      </c>
      <c r="L409" s="11">
        <f>IF(K409="W",IF(G409&lt;0,H409*100/ABS(G409),H409*G409/100),IF(K409="L",-H409,0))</f>
        <v/>
      </c>
      <c r="M409" s="11">
        <f>Settings!$B$4+SUM(L$2:L409)</f>
        <v/>
      </c>
    </row>
    <row r="410">
      <c r="J410" s="12">
        <f>IF(I410="","",I410-F410)</f>
        <v/>
      </c>
      <c r="L410" s="11">
        <f>IF(K410="W",IF(G410&lt;0,H410*100/ABS(G410),H410*G410/100),IF(K410="L",-H410,0))</f>
        <v/>
      </c>
      <c r="M410" s="11">
        <f>Settings!$B$4+SUM(L$2:L410)</f>
        <v/>
      </c>
    </row>
    <row r="411">
      <c r="J411" s="12">
        <f>IF(I411="","",I411-F411)</f>
        <v/>
      </c>
      <c r="L411" s="11">
        <f>IF(K411="W",IF(G411&lt;0,H411*100/ABS(G411),H411*G411/100),IF(K411="L",-H411,0))</f>
        <v/>
      </c>
      <c r="M411" s="11">
        <f>Settings!$B$4+SUM(L$2:L411)</f>
        <v/>
      </c>
    </row>
    <row r="412">
      <c r="J412" s="12">
        <f>IF(I412="","",I412-F412)</f>
        <v/>
      </c>
      <c r="L412" s="11">
        <f>IF(K412="W",IF(G412&lt;0,H412*100/ABS(G412),H412*G412/100),IF(K412="L",-H412,0))</f>
        <v/>
      </c>
      <c r="M412" s="11">
        <f>Settings!$B$4+SUM(L$2:L412)</f>
        <v/>
      </c>
    </row>
    <row r="413">
      <c r="J413" s="12">
        <f>IF(I413="","",I413-F413)</f>
        <v/>
      </c>
      <c r="L413" s="11">
        <f>IF(K413="W",IF(G413&lt;0,H413*100/ABS(G413),H413*G413/100),IF(K413="L",-H413,0))</f>
        <v/>
      </c>
      <c r="M413" s="11">
        <f>Settings!$B$4+SUM(L$2:L413)</f>
        <v/>
      </c>
    </row>
    <row r="414">
      <c r="J414" s="12">
        <f>IF(I414="","",I414-F414)</f>
        <v/>
      </c>
      <c r="L414" s="11">
        <f>IF(K414="W",IF(G414&lt;0,H414*100/ABS(G414),H414*G414/100),IF(K414="L",-H414,0))</f>
        <v/>
      </c>
      <c r="M414" s="11">
        <f>Settings!$B$4+SUM(L$2:L414)</f>
        <v/>
      </c>
    </row>
    <row r="415">
      <c r="J415" s="12">
        <f>IF(I415="","",I415-F415)</f>
        <v/>
      </c>
      <c r="L415" s="11">
        <f>IF(K415="W",IF(G415&lt;0,H415*100/ABS(G415),H415*G415/100),IF(K415="L",-H415,0))</f>
        <v/>
      </c>
      <c r="M415" s="11">
        <f>Settings!$B$4+SUM(L$2:L415)</f>
        <v/>
      </c>
    </row>
    <row r="416">
      <c r="J416" s="12">
        <f>IF(I416="","",I416-F416)</f>
        <v/>
      </c>
      <c r="L416" s="11">
        <f>IF(K416="W",IF(G416&lt;0,H416*100/ABS(G416),H416*G416/100),IF(K416="L",-H416,0))</f>
        <v/>
      </c>
      <c r="M416" s="11">
        <f>Settings!$B$4+SUM(L$2:L416)</f>
        <v/>
      </c>
    </row>
    <row r="417">
      <c r="J417" s="12">
        <f>IF(I417="","",I417-F417)</f>
        <v/>
      </c>
      <c r="L417" s="11">
        <f>IF(K417="W",IF(G417&lt;0,H417*100/ABS(G417),H417*G417/100),IF(K417="L",-H417,0))</f>
        <v/>
      </c>
      <c r="M417" s="11">
        <f>Settings!$B$4+SUM(L$2:L417)</f>
        <v/>
      </c>
    </row>
    <row r="418">
      <c r="J418" s="12">
        <f>IF(I418="","",I418-F418)</f>
        <v/>
      </c>
      <c r="L418" s="11">
        <f>IF(K418="W",IF(G418&lt;0,H418*100/ABS(G418),H418*G418/100),IF(K418="L",-H418,0))</f>
        <v/>
      </c>
      <c r="M418" s="11">
        <f>Settings!$B$4+SUM(L$2:L418)</f>
        <v/>
      </c>
    </row>
    <row r="419">
      <c r="J419" s="12">
        <f>IF(I419="","",I419-F419)</f>
        <v/>
      </c>
      <c r="L419" s="11">
        <f>IF(K419="W",IF(G419&lt;0,H419*100/ABS(G419),H419*G419/100),IF(K419="L",-H419,0))</f>
        <v/>
      </c>
      <c r="M419" s="11">
        <f>Settings!$B$4+SUM(L$2:L419)</f>
        <v/>
      </c>
    </row>
    <row r="420">
      <c r="J420" s="12">
        <f>IF(I420="","",I420-F420)</f>
        <v/>
      </c>
      <c r="L420" s="11">
        <f>IF(K420="W",IF(G420&lt;0,H420*100/ABS(G420),H420*G420/100),IF(K420="L",-H420,0))</f>
        <v/>
      </c>
      <c r="M420" s="11">
        <f>Settings!$B$4+SUM(L$2:L420)</f>
        <v/>
      </c>
    </row>
    <row r="421">
      <c r="J421" s="12">
        <f>IF(I421="","",I421-F421)</f>
        <v/>
      </c>
      <c r="L421" s="11">
        <f>IF(K421="W",IF(G421&lt;0,H421*100/ABS(G421),H421*G421/100),IF(K421="L",-H421,0))</f>
        <v/>
      </c>
      <c r="M421" s="11">
        <f>Settings!$B$4+SUM(L$2:L421)</f>
        <v/>
      </c>
    </row>
    <row r="422">
      <c r="J422" s="12">
        <f>IF(I422="","",I422-F422)</f>
        <v/>
      </c>
      <c r="L422" s="11">
        <f>IF(K422="W",IF(G422&lt;0,H422*100/ABS(G422),H422*G422/100),IF(K422="L",-H422,0))</f>
        <v/>
      </c>
      <c r="M422" s="11">
        <f>Settings!$B$4+SUM(L$2:L422)</f>
        <v/>
      </c>
    </row>
    <row r="423">
      <c r="J423" s="12">
        <f>IF(I423="","",I423-F423)</f>
        <v/>
      </c>
      <c r="L423" s="11">
        <f>IF(K423="W",IF(G423&lt;0,H423*100/ABS(G423),H423*G423/100),IF(K423="L",-H423,0))</f>
        <v/>
      </c>
      <c r="M423" s="11">
        <f>Settings!$B$4+SUM(L$2:L423)</f>
        <v/>
      </c>
    </row>
    <row r="424">
      <c r="J424" s="12">
        <f>IF(I424="","",I424-F424)</f>
        <v/>
      </c>
      <c r="L424" s="11">
        <f>IF(K424="W",IF(G424&lt;0,H424*100/ABS(G424),H424*G424/100),IF(K424="L",-H424,0))</f>
        <v/>
      </c>
      <c r="M424" s="11">
        <f>Settings!$B$4+SUM(L$2:L424)</f>
        <v/>
      </c>
    </row>
    <row r="425">
      <c r="J425" s="12">
        <f>IF(I425="","",I425-F425)</f>
        <v/>
      </c>
      <c r="L425" s="11">
        <f>IF(K425="W",IF(G425&lt;0,H425*100/ABS(G425),H425*G425/100),IF(K425="L",-H425,0))</f>
        <v/>
      </c>
      <c r="M425" s="11">
        <f>Settings!$B$4+SUM(L$2:L425)</f>
        <v/>
      </c>
    </row>
    <row r="426">
      <c r="J426" s="12">
        <f>IF(I426="","",I426-F426)</f>
        <v/>
      </c>
      <c r="L426" s="11">
        <f>IF(K426="W",IF(G426&lt;0,H426*100/ABS(G426),H426*G426/100),IF(K426="L",-H426,0))</f>
        <v/>
      </c>
      <c r="M426" s="11">
        <f>Settings!$B$4+SUM(L$2:L426)</f>
        <v/>
      </c>
    </row>
    <row r="427">
      <c r="J427" s="12">
        <f>IF(I427="","",I427-F427)</f>
        <v/>
      </c>
      <c r="L427" s="11">
        <f>IF(K427="W",IF(G427&lt;0,H427*100/ABS(G427),H427*G427/100),IF(K427="L",-H427,0))</f>
        <v/>
      </c>
      <c r="M427" s="11">
        <f>Settings!$B$4+SUM(L$2:L427)</f>
        <v/>
      </c>
    </row>
    <row r="428">
      <c r="J428" s="12">
        <f>IF(I428="","",I428-F428)</f>
        <v/>
      </c>
      <c r="L428" s="11">
        <f>IF(K428="W",IF(G428&lt;0,H428*100/ABS(G428),H428*G428/100),IF(K428="L",-H428,0))</f>
        <v/>
      </c>
      <c r="M428" s="11">
        <f>Settings!$B$4+SUM(L$2:L428)</f>
        <v/>
      </c>
    </row>
    <row r="429">
      <c r="J429" s="12">
        <f>IF(I429="","",I429-F429)</f>
        <v/>
      </c>
      <c r="L429" s="11">
        <f>IF(K429="W",IF(G429&lt;0,H429*100/ABS(G429),H429*G429/100),IF(K429="L",-H429,0))</f>
        <v/>
      </c>
      <c r="M429" s="11">
        <f>Settings!$B$4+SUM(L$2:L429)</f>
        <v/>
      </c>
    </row>
    <row r="430">
      <c r="J430" s="12">
        <f>IF(I430="","",I430-F430)</f>
        <v/>
      </c>
      <c r="L430" s="11">
        <f>IF(K430="W",IF(G430&lt;0,H430*100/ABS(G430),H430*G430/100),IF(K430="L",-H430,0))</f>
        <v/>
      </c>
      <c r="M430" s="11">
        <f>Settings!$B$4+SUM(L$2:L430)</f>
        <v/>
      </c>
    </row>
    <row r="431">
      <c r="J431" s="12">
        <f>IF(I431="","",I431-F431)</f>
        <v/>
      </c>
      <c r="L431" s="11">
        <f>IF(K431="W",IF(G431&lt;0,H431*100/ABS(G431),H431*G431/100),IF(K431="L",-H431,0))</f>
        <v/>
      </c>
      <c r="M431" s="11">
        <f>Settings!$B$4+SUM(L$2:L431)</f>
        <v/>
      </c>
    </row>
    <row r="432">
      <c r="J432" s="12">
        <f>IF(I432="","",I432-F432)</f>
        <v/>
      </c>
      <c r="L432" s="11">
        <f>IF(K432="W",IF(G432&lt;0,H432*100/ABS(G432),H432*G432/100),IF(K432="L",-H432,0))</f>
        <v/>
      </c>
      <c r="M432" s="11">
        <f>Settings!$B$4+SUM(L$2:L432)</f>
        <v/>
      </c>
    </row>
    <row r="433">
      <c r="J433" s="12">
        <f>IF(I433="","",I433-F433)</f>
        <v/>
      </c>
      <c r="L433" s="11">
        <f>IF(K433="W",IF(G433&lt;0,H433*100/ABS(G433),H433*G433/100),IF(K433="L",-H433,0))</f>
        <v/>
      </c>
      <c r="M433" s="11">
        <f>Settings!$B$4+SUM(L$2:L433)</f>
        <v/>
      </c>
    </row>
    <row r="434">
      <c r="J434" s="12">
        <f>IF(I434="","",I434-F434)</f>
        <v/>
      </c>
      <c r="L434" s="11">
        <f>IF(K434="W",IF(G434&lt;0,H434*100/ABS(G434),H434*G434/100),IF(K434="L",-H434,0))</f>
        <v/>
      </c>
      <c r="M434" s="11">
        <f>Settings!$B$4+SUM(L$2:L434)</f>
        <v/>
      </c>
    </row>
    <row r="435">
      <c r="J435" s="12">
        <f>IF(I435="","",I435-F435)</f>
        <v/>
      </c>
      <c r="L435" s="11">
        <f>IF(K435="W",IF(G435&lt;0,H435*100/ABS(G435),H435*G435/100),IF(K435="L",-H435,0))</f>
        <v/>
      </c>
      <c r="M435" s="11">
        <f>Settings!$B$4+SUM(L$2:L435)</f>
        <v/>
      </c>
    </row>
    <row r="436">
      <c r="J436" s="12">
        <f>IF(I436="","",I436-F436)</f>
        <v/>
      </c>
      <c r="L436" s="11">
        <f>IF(K436="W",IF(G436&lt;0,H436*100/ABS(G436),H436*G436/100),IF(K436="L",-H436,0))</f>
        <v/>
      </c>
      <c r="M436" s="11">
        <f>Settings!$B$4+SUM(L$2:L436)</f>
        <v/>
      </c>
    </row>
    <row r="437">
      <c r="J437" s="12">
        <f>IF(I437="","",I437-F437)</f>
        <v/>
      </c>
      <c r="L437" s="11">
        <f>IF(K437="W",IF(G437&lt;0,H437*100/ABS(G437),H437*G437/100),IF(K437="L",-H437,0))</f>
        <v/>
      </c>
      <c r="M437" s="11">
        <f>Settings!$B$4+SUM(L$2:L437)</f>
        <v/>
      </c>
    </row>
    <row r="438">
      <c r="J438" s="12">
        <f>IF(I438="","",I438-F438)</f>
        <v/>
      </c>
      <c r="L438" s="11">
        <f>IF(K438="W",IF(G438&lt;0,H438*100/ABS(G438),H438*G438/100),IF(K438="L",-H438,0))</f>
        <v/>
      </c>
      <c r="M438" s="11">
        <f>Settings!$B$4+SUM(L$2:L438)</f>
        <v/>
      </c>
    </row>
    <row r="439">
      <c r="J439" s="12">
        <f>IF(I439="","",I439-F439)</f>
        <v/>
      </c>
      <c r="L439" s="11">
        <f>IF(K439="W",IF(G439&lt;0,H439*100/ABS(G439),H439*G439/100),IF(K439="L",-H439,0))</f>
        <v/>
      </c>
      <c r="M439" s="11">
        <f>Settings!$B$4+SUM(L$2:L439)</f>
        <v/>
      </c>
    </row>
    <row r="440">
      <c r="J440" s="12">
        <f>IF(I440="","",I440-F440)</f>
        <v/>
      </c>
      <c r="L440" s="11">
        <f>IF(K440="W",IF(G440&lt;0,H440*100/ABS(G440),H440*G440/100),IF(K440="L",-H440,0))</f>
        <v/>
      </c>
      <c r="M440" s="11">
        <f>Settings!$B$4+SUM(L$2:L440)</f>
        <v/>
      </c>
    </row>
    <row r="441">
      <c r="J441" s="12">
        <f>IF(I441="","",I441-F441)</f>
        <v/>
      </c>
      <c r="L441" s="11">
        <f>IF(K441="W",IF(G441&lt;0,H441*100/ABS(G441),H441*G441/100),IF(K441="L",-H441,0))</f>
        <v/>
      </c>
      <c r="M441" s="11">
        <f>Settings!$B$4+SUM(L$2:L441)</f>
        <v/>
      </c>
    </row>
    <row r="442">
      <c r="J442" s="12">
        <f>IF(I442="","",I442-F442)</f>
        <v/>
      </c>
      <c r="L442" s="11">
        <f>IF(K442="W",IF(G442&lt;0,H442*100/ABS(G442),H442*G442/100),IF(K442="L",-H442,0))</f>
        <v/>
      </c>
      <c r="M442" s="11">
        <f>Settings!$B$4+SUM(L$2:L442)</f>
        <v/>
      </c>
    </row>
    <row r="443">
      <c r="J443" s="12">
        <f>IF(I443="","",I443-F443)</f>
        <v/>
      </c>
      <c r="L443" s="11">
        <f>IF(K443="W",IF(G443&lt;0,H443*100/ABS(G443),H443*G443/100),IF(K443="L",-H443,0))</f>
        <v/>
      </c>
      <c r="M443" s="11">
        <f>Settings!$B$4+SUM(L$2:L443)</f>
        <v/>
      </c>
    </row>
    <row r="444">
      <c r="J444" s="12">
        <f>IF(I444="","",I444-F444)</f>
        <v/>
      </c>
      <c r="L444" s="11">
        <f>IF(K444="W",IF(G444&lt;0,H444*100/ABS(G444),H444*G444/100),IF(K444="L",-H444,0))</f>
        <v/>
      </c>
      <c r="M444" s="11">
        <f>Settings!$B$4+SUM(L$2:L444)</f>
        <v/>
      </c>
    </row>
    <row r="445">
      <c r="J445" s="12">
        <f>IF(I445="","",I445-F445)</f>
        <v/>
      </c>
      <c r="L445" s="11">
        <f>IF(K445="W",IF(G445&lt;0,H445*100/ABS(G445),H445*G445/100),IF(K445="L",-H445,0))</f>
        <v/>
      </c>
      <c r="M445" s="11">
        <f>Settings!$B$4+SUM(L$2:L445)</f>
        <v/>
      </c>
    </row>
    <row r="446">
      <c r="J446" s="12">
        <f>IF(I446="","",I446-F446)</f>
        <v/>
      </c>
      <c r="L446" s="11">
        <f>IF(K446="W",IF(G446&lt;0,H446*100/ABS(G446),H446*G446/100),IF(K446="L",-H446,0))</f>
        <v/>
      </c>
      <c r="M446" s="11">
        <f>Settings!$B$4+SUM(L$2:L446)</f>
        <v/>
      </c>
    </row>
    <row r="447">
      <c r="J447" s="12">
        <f>IF(I447="","",I447-F447)</f>
        <v/>
      </c>
      <c r="L447" s="11">
        <f>IF(K447="W",IF(G447&lt;0,H447*100/ABS(G447),H447*G447/100),IF(K447="L",-H447,0))</f>
        <v/>
      </c>
      <c r="M447" s="11">
        <f>Settings!$B$4+SUM(L$2:L447)</f>
        <v/>
      </c>
    </row>
    <row r="448">
      <c r="J448" s="12">
        <f>IF(I448="","",I448-F448)</f>
        <v/>
      </c>
      <c r="L448" s="11">
        <f>IF(K448="W",IF(G448&lt;0,H448*100/ABS(G448),H448*G448/100),IF(K448="L",-H448,0))</f>
        <v/>
      </c>
      <c r="M448" s="11">
        <f>Settings!$B$4+SUM(L$2:L448)</f>
        <v/>
      </c>
    </row>
    <row r="449">
      <c r="J449" s="12">
        <f>IF(I449="","",I449-F449)</f>
        <v/>
      </c>
      <c r="L449" s="11">
        <f>IF(K449="W",IF(G449&lt;0,H449*100/ABS(G449),H449*G449/100),IF(K449="L",-H449,0))</f>
        <v/>
      </c>
      <c r="M449" s="11">
        <f>Settings!$B$4+SUM(L$2:L449)</f>
        <v/>
      </c>
    </row>
    <row r="450">
      <c r="J450" s="12">
        <f>IF(I450="","",I450-F450)</f>
        <v/>
      </c>
      <c r="L450" s="11">
        <f>IF(K450="W",IF(G450&lt;0,H450*100/ABS(G450),H450*G450/100),IF(K450="L",-H450,0))</f>
        <v/>
      </c>
      <c r="M450" s="11">
        <f>Settings!$B$4+SUM(L$2:L450)</f>
        <v/>
      </c>
    </row>
    <row r="451">
      <c r="J451" s="12">
        <f>IF(I451="","",I451-F451)</f>
        <v/>
      </c>
      <c r="L451" s="11">
        <f>IF(K451="W",IF(G451&lt;0,H451*100/ABS(G451),H451*G451/100),IF(K451="L",-H451,0))</f>
        <v/>
      </c>
      <c r="M451" s="11">
        <f>Settings!$B$4+SUM(L$2:L451)</f>
        <v/>
      </c>
    </row>
    <row r="452">
      <c r="J452" s="12">
        <f>IF(I452="","",I452-F452)</f>
        <v/>
      </c>
      <c r="L452" s="11">
        <f>IF(K452="W",IF(G452&lt;0,H452*100/ABS(G452),H452*G452/100),IF(K452="L",-H452,0))</f>
        <v/>
      </c>
      <c r="M452" s="11">
        <f>Settings!$B$4+SUM(L$2:L452)</f>
        <v/>
      </c>
    </row>
    <row r="453">
      <c r="J453" s="12">
        <f>IF(I453="","",I453-F453)</f>
        <v/>
      </c>
      <c r="L453" s="11">
        <f>IF(K453="W",IF(G453&lt;0,H453*100/ABS(G453),H453*G453/100),IF(K453="L",-H453,0))</f>
        <v/>
      </c>
      <c r="M453" s="11">
        <f>Settings!$B$4+SUM(L$2:L453)</f>
        <v/>
      </c>
    </row>
    <row r="454">
      <c r="J454" s="12">
        <f>IF(I454="","",I454-F454)</f>
        <v/>
      </c>
      <c r="L454" s="11">
        <f>IF(K454="W",IF(G454&lt;0,H454*100/ABS(G454),H454*G454/100),IF(K454="L",-H454,0))</f>
        <v/>
      </c>
      <c r="M454" s="11">
        <f>Settings!$B$4+SUM(L$2:L454)</f>
        <v/>
      </c>
    </row>
    <row r="455">
      <c r="J455" s="12">
        <f>IF(I455="","",I455-F455)</f>
        <v/>
      </c>
      <c r="L455" s="11">
        <f>IF(K455="W",IF(G455&lt;0,H455*100/ABS(G455),H455*G455/100),IF(K455="L",-H455,0))</f>
        <v/>
      </c>
      <c r="M455" s="11">
        <f>Settings!$B$4+SUM(L$2:L455)</f>
        <v/>
      </c>
    </row>
    <row r="456">
      <c r="J456" s="12">
        <f>IF(I456="","",I456-F456)</f>
        <v/>
      </c>
      <c r="L456" s="11">
        <f>IF(K456="W",IF(G456&lt;0,H456*100/ABS(G456),H456*G456/100),IF(K456="L",-H456,0))</f>
        <v/>
      </c>
      <c r="M456" s="11">
        <f>Settings!$B$4+SUM(L$2:L456)</f>
        <v/>
      </c>
    </row>
    <row r="457">
      <c r="J457" s="12">
        <f>IF(I457="","",I457-F457)</f>
        <v/>
      </c>
      <c r="L457" s="11">
        <f>IF(K457="W",IF(G457&lt;0,H457*100/ABS(G457),H457*G457/100),IF(K457="L",-H457,0))</f>
        <v/>
      </c>
      <c r="M457" s="11">
        <f>Settings!$B$4+SUM(L$2:L457)</f>
        <v/>
      </c>
    </row>
    <row r="458">
      <c r="J458" s="12">
        <f>IF(I458="","",I458-F458)</f>
        <v/>
      </c>
      <c r="L458" s="11">
        <f>IF(K458="W",IF(G458&lt;0,H458*100/ABS(G458),H458*G458/100),IF(K458="L",-H458,0))</f>
        <v/>
      </c>
      <c r="M458" s="11">
        <f>Settings!$B$4+SUM(L$2:L458)</f>
        <v/>
      </c>
    </row>
    <row r="459">
      <c r="J459" s="12">
        <f>IF(I459="","",I459-F459)</f>
        <v/>
      </c>
      <c r="L459" s="11">
        <f>IF(K459="W",IF(G459&lt;0,H459*100/ABS(G459),H459*G459/100),IF(K459="L",-H459,0))</f>
        <v/>
      </c>
      <c r="M459" s="11">
        <f>Settings!$B$4+SUM(L$2:L459)</f>
        <v/>
      </c>
    </row>
    <row r="460">
      <c r="J460" s="12">
        <f>IF(I460="","",I460-F460)</f>
        <v/>
      </c>
      <c r="L460" s="11">
        <f>IF(K460="W",IF(G460&lt;0,H460*100/ABS(G460),H460*G460/100),IF(K460="L",-H460,0))</f>
        <v/>
      </c>
      <c r="M460" s="11">
        <f>Settings!$B$4+SUM(L$2:L460)</f>
        <v/>
      </c>
    </row>
    <row r="461">
      <c r="J461" s="12">
        <f>IF(I461="","",I461-F461)</f>
        <v/>
      </c>
      <c r="L461" s="11">
        <f>IF(K461="W",IF(G461&lt;0,H461*100/ABS(G461),H461*G461/100),IF(K461="L",-H461,0))</f>
        <v/>
      </c>
      <c r="M461" s="11">
        <f>Settings!$B$4+SUM(L$2:L461)</f>
        <v/>
      </c>
    </row>
    <row r="462">
      <c r="J462" s="12">
        <f>IF(I462="","",I462-F462)</f>
        <v/>
      </c>
      <c r="L462" s="11">
        <f>IF(K462="W",IF(G462&lt;0,H462*100/ABS(G462),H462*G462/100),IF(K462="L",-H462,0))</f>
        <v/>
      </c>
      <c r="M462" s="11">
        <f>Settings!$B$4+SUM(L$2:L462)</f>
        <v/>
      </c>
    </row>
    <row r="463">
      <c r="J463" s="12">
        <f>IF(I463="","",I463-F463)</f>
        <v/>
      </c>
      <c r="L463" s="11">
        <f>IF(K463="W",IF(G463&lt;0,H463*100/ABS(G463),H463*G463/100),IF(K463="L",-H463,0))</f>
        <v/>
      </c>
      <c r="M463" s="11">
        <f>Settings!$B$4+SUM(L$2:L463)</f>
        <v/>
      </c>
    </row>
    <row r="464">
      <c r="J464" s="12">
        <f>IF(I464="","",I464-F464)</f>
        <v/>
      </c>
      <c r="L464" s="11">
        <f>IF(K464="W",IF(G464&lt;0,H464*100/ABS(G464),H464*G464/100),IF(K464="L",-H464,0))</f>
        <v/>
      </c>
      <c r="M464" s="11">
        <f>Settings!$B$4+SUM(L$2:L464)</f>
        <v/>
      </c>
    </row>
    <row r="465">
      <c r="J465" s="12">
        <f>IF(I465="","",I465-F465)</f>
        <v/>
      </c>
      <c r="L465" s="11">
        <f>IF(K465="W",IF(G465&lt;0,H465*100/ABS(G465),H465*G465/100),IF(K465="L",-H465,0))</f>
        <v/>
      </c>
      <c r="M465" s="11">
        <f>Settings!$B$4+SUM(L$2:L465)</f>
        <v/>
      </c>
    </row>
    <row r="466">
      <c r="J466" s="12">
        <f>IF(I466="","",I466-F466)</f>
        <v/>
      </c>
      <c r="L466" s="11">
        <f>IF(K466="W",IF(G466&lt;0,H466*100/ABS(G466),H466*G466/100),IF(K466="L",-H466,0))</f>
        <v/>
      </c>
      <c r="M466" s="11">
        <f>Settings!$B$4+SUM(L$2:L466)</f>
        <v/>
      </c>
    </row>
    <row r="467">
      <c r="J467" s="12">
        <f>IF(I467="","",I467-F467)</f>
        <v/>
      </c>
      <c r="L467" s="11">
        <f>IF(K467="W",IF(G467&lt;0,H467*100/ABS(G467),H467*G467/100),IF(K467="L",-H467,0))</f>
        <v/>
      </c>
      <c r="M467" s="11">
        <f>Settings!$B$4+SUM(L$2:L467)</f>
        <v/>
      </c>
    </row>
    <row r="468">
      <c r="J468" s="12">
        <f>IF(I468="","",I468-F468)</f>
        <v/>
      </c>
      <c r="L468" s="11">
        <f>IF(K468="W",IF(G468&lt;0,H468*100/ABS(G468),H468*G468/100),IF(K468="L",-H468,0))</f>
        <v/>
      </c>
      <c r="M468" s="11">
        <f>Settings!$B$4+SUM(L$2:L468)</f>
        <v/>
      </c>
    </row>
    <row r="469">
      <c r="J469" s="12">
        <f>IF(I469="","",I469-F469)</f>
        <v/>
      </c>
      <c r="L469" s="11">
        <f>IF(K469="W",IF(G469&lt;0,H469*100/ABS(G469),H469*G469/100),IF(K469="L",-H469,0))</f>
        <v/>
      </c>
      <c r="M469" s="11">
        <f>Settings!$B$4+SUM(L$2:L469)</f>
        <v/>
      </c>
    </row>
    <row r="470">
      <c r="J470" s="12">
        <f>IF(I470="","",I470-F470)</f>
        <v/>
      </c>
      <c r="L470" s="11">
        <f>IF(K470="W",IF(G470&lt;0,H470*100/ABS(G470),H470*G470/100),IF(K470="L",-H470,0))</f>
        <v/>
      </c>
      <c r="M470" s="11">
        <f>Settings!$B$4+SUM(L$2:L470)</f>
        <v/>
      </c>
    </row>
    <row r="471">
      <c r="J471" s="12">
        <f>IF(I471="","",I471-F471)</f>
        <v/>
      </c>
      <c r="L471" s="11">
        <f>IF(K471="W",IF(G471&lt;0,H471*100/ABS(G471),H471*G471/100),IF(K471="L",-H471,0))</f>
        <v/>
      </c>
      <c r="M471" s="11">
        <f>Settings!$B$4+SUM(L$2:L471)</f>
        <v/>
      </c>
    </row>
    <row r="472">
      <c r="J472" s="12">
        <f>IF(I472="","",I472-F472)</f>
        <v/>
      </c>
      <c r="L472" s="11">
        <f>IF(K472="W",IF(G472&lt;0,H472*100/ABS(G472),H472*G472/100),IF(K472="L",-H472,0))</f>
        <v/>
      </c>
      <c r="M472" s="11">
        <f>Settings!$B$4+SUM(L$2:L472)</f>
        <v/>
      </c>
    </row>
    <row r="473">
      <c r="J473" s="12">
        <f>IF(I473="","",I473-F473)</f>
        <v/>
      </c>
      <c r="L473" s="11">
        <f>IF(K473="W",IF(G473&lt;0,H473*100/ABS(G473),H473*G473/100),IF(K473="L",-H473,0))</f>
        <v/>
      </c>
      <c r="M473" s="11">
        <f>Settings!$B$4+SUM(L$2:L473)</f>
        <v/>
      </c>
    </row>
    <row r="474">
      <c r="J474" s="12">
        <f>IF(I474="","",I474-F474)</f>
        <v/>
      </c>
      <c r="L474" s="11">
        <f>IF(K474="W",IF(G474&lt;0,H474*100/ABS(G474),H474*G474/100),IF(K474="L",-H474,0))</f>
        <v/>
      </c>
      <c r="M474" s="11">
        <f>Settings!$B$4+SUM(L$2:L474)</f>
        <v/>
      </c>
    </row>
    <row r="475">
      <c r="J475" s="12">
        <f>IF(I475="","",I475-F475)</f>
        <v/>
      </c>
      <c r="L475" s="11">
        <f>IF(K475="W",IF(G475&lt;0,H475*100/ABS(G475),H475*G475/100),IF(K475="L",-H475,0))</f>
        <v/>
      </c>
      <c r="M475" s="11">
        <f>Settings!$B$4+SUM(L$2:L475)</f>
        <v/>
      </c>
    </row>
    <row r="476">
      <c r="J476" s="12">
        <f>IF(I476="","",I476-F476)</f>
        <v/>
      </c>
      <c r="L476" s="11">
        <f>IF(K476="W",IF(G476&lt;0,H476*100/ABS(G476),H476*G476/100),IF(K476="L",-H476,0))</f>
        <v/>
      </c>
      <c r="M476" s="11">
        <f>Settings!$B$4+SUM(L$2:L476)</f>
        <v/>
      </c>
    </row>
    <row r="477">
      <c r="J477" s="12">
        <f>IF(I477="","",I477-F477)</f>
        <v/>
      </c>
      <c r="L477" s="11">
        <f>IF(K477="W",IF(G477&lt;0,H477*100/ABS(G477),H477*G477/100),IF(K477="L",-H477,0))</f>
        <v/>
      </c>
      <c r="M477" s="11">
        <f>Settings!$B$4+SUM(L$2:L477)</f>
        <v/>
      </c>
    </row>
    <row r="478">
      <c r="J478" s="12">
        <f>IF(I478="","",I478-F478)</f>
        <v/>
      </c>
      <c r="L478" s="11">
        <f>IF(K478="W",IF(G478&lt;0,H478*100/ABS(G478),H478*G478/100),IF(K478="L",-H478,0))</f>
        <v/>
      </c>
      <c r="M478" s="11">
        <f>Settings!$B$4+SUM(L$2:L478)</f>
        <v/>
      </c>
    </row>
    <row r="479">
      <c r="J479" s="12">
        <f>IF(I479="","",I479-F479)</f>
        <v/>
      </c>
      <c r="L479" s="11">
        <f>IF(K479="W",IF(G479&lt;0,H479*100/ABS(G479),H479*G479/100),IF(K479="L",-H479,0))</f>
        <v/>
      </c>
      <c r="M479" s="11">
        <f>Settings!$B$4+SUM(L$2:L479)</f>
        <v/>
      </c>
    </row>
    <row r="480">
      <c r="J480" s="12">
        <f>IF(I480="","",I480-F480)</f>
        <v/>
      </c>
      <c r="L480" s="11">
        <f>IF(K480="W",IF(G480&lt;0,H480*100/ABS(G480),H480*G480/100),IF(K480="L",-H480,0))</f>
        <v/>
      </c>
      <c r="M480" s="11">
        <f>Settings!$B$4+SUM(L$2:L480)</f>
        <v/>
      </c>
    </row>
    <row r="481">
      <c r="J481" s="12">
        <f>IF(I481="","",I481-F481)</f>
        <v/>
      </c>
      <c r="L481" s="11">
        <f>IF(K481="W",IF(G481&lt;0,H481*100/ABS(G481),H481*G481/100),IF(K481="L",-H481,0))</f>
        <v/>
      </c>
      <c r="M481" s="11">
        <f>Settings!$B$4+SUM(L$2:L481)</f>
        <v/>
      </c>
    </row>
    <row r="482">
      <c r="J482" s="12">
        <f>IF(I482="","",I482-F482)</f>
        <v/>
      </c>
      <c r="L482" s="11">
        <f>IF(K482="W",IF(G482&lt;0,H482*100/ABS(G482),H482*G482/100),IF(K482="L",-H482,0))</f>
        <v/>
      </c>
      <c r="M482" s="11">
        <f>Settings!$B$4+SUM(L$2:L482)</f>
        <v/>
      </c>
    </row>
    <row r="483">
      <c r="J483" s="12">
        <f>IF(I483="","",I483-F483)</f>
        <v/>
      </c>
      <c r="L483" s="11">
        <f>IF(K483="W",IF(G483&lt;0,H483*100/ABS(G483),H483*G483/100),IF(K483="L",-H483,0))</f>
        <v/>
      </c>
      <c r="M483" s="11">
        <f>Settings!$B$4+SUM(L$2:L483)</f>
        <v/>
      </c>
    </row>
    <row r="484">
      <c r="J484" s="12">
        <f>IF(I484="","",I484-F484)</f>
        <v/>
      </c>
      <c r="L484" s="11">
        <f>IF(K484="W",IF(G484&lt;0,H484*100/ABS(G484),H484*G484/100),IF(K484="L",-H484,0))</f>
        <v/>
      </c>
      <c r="M484" s="11">
        <f>Settings!$B$4+SUM(L$2:L484)</f>
        <v/>
      </c>
    </row>
    <row r="485">
      <c r="J485" s="12">
        <f>IF(I485="","",I485-F485)</f>
        <v/>
      </c>
      <c r="L485" s="11">
        <f>IF(K485="W",IF(G485&lt;0,H485*100/ABS(G485),H485*G485/100),IF(K485="L",-H485,0))</f>
        <v/>
      </c>
      <c r="M485" s="11">
        <f>Settings!$B$4+SUM(L$2:L485)</f>
        <v/>
      </c>
    </row>
    <row r="486">
      <c r="J486" s="12">
        <f>IF(I486="","",I486-F486)</f>
        <v/>
      </c>
      <c r="L486" s="11">
        <f>IF(K486="W",IF(G486&lt;0,H486*100/ABS(G486),H486*G486/100),IF(K486="L",-H486,0))</f>
        <v/>
      </c>
      <c r="M486" s="11">
        <f>Settings!$B$4+SUM(L$2:L486)</f>
        <v/>
      </c>
    </row>
    <row r="487">
      <c r="J487" s="12">
        <f>IF(I487="","",I487-F487)</f>
        <v/>
      </c>
      <c r="L487" s="11">
        <f>IF(K487="W",IF(G487&lt;0,H487*100/ABS(G487),H487*G487/100),IF(K487="L",-H487,0))</f>
        <v/>
      </c>
      <c r="M487" s="11">
        <f>Settings!$B$4+SUM(L$2:L487)</f>
        <v/>
      </c>
    </row>
    <row r="488">
      <c r="J488" s="12">
        <f>IF(I488="","",I488-F488)</f>
        <v/>
      </c>
      <c r="L488" s="11">
        <f>IF(K488="W",IF(G488&lt;0,H488*100/ABS(G488),H488*G488/100),IF(K488="L",-H488,0))</f>
        <v/>
      </c>
      <c r="M488" s="11">
        <f>Settings!$B$4+SUM(L$2:L488)</f>
        <v/>
      </c>
    </row>
    <row r="489">
      <c r="J489" s="12">
        <f>IF(I489="","",I489-F489)</f>
        <v/>
      </c>
      <c r="L489" s="11">
        <f>IF(K489="W",IF(G489&lt;0,H489*100/ABS(G489),H489*G489/100),IF(K489="L",-H489,0))</f>
        <v/>
      </c>
      <c r="M489" s="11">
        <f>Settings!$B$4+SUM(L$2:L489)</f>
        <v/>
      </c>
    </row>
    <row r="490">
      <c r="J490" s="12">
        <f>IF(I490="","",I490-F490)</f>
        <v/>
      </c>
      <c r="L490" s="11">
        <f>IF(K490="W",IF(G490&lt;0,H490*100/ABS(G490),H490*G490/100),IF(K490="L",-H490,0))</f>
        <v/>
      </c>
      <c r="M490" s="11">
        <f>Settings!$B$4+SUM(L$2:L490)</f>
        <v/>
      </c>
    </row>
    <row r="491">
      <c r="J491" s="12">
        <f>IF(I491="","",I491-F491)</f>
        <v/>
      </c>
      <c r="L491" s="11">
        <f>IF(K491="W",IF(G491&lt;0,H491*100/ABS(G491),H491*G491/100),IF(K491="L",-H491,0))</f>
        <v/>
      </c>
      <c r="M491" s="11">
        <f>Settings!$B$4+SUM(L$2:L491)</f>
        <v/>
      </c>
    </row>
    <row r="492">
      <c r="J492" s="12">
        <f>IF(I492="","",I492-F492)</f>
        <v/>
      </c>
      <c r="L492" s="11">
        <f>IF(K492="W",IF(G492&lt;0,H492*100/ABS(G492),H492*G492/100),IF(K492="L",-H492,0))</f>
        <v/>
      </c>
      <c r="M492" s="11">
        <f>Settings!$B$4+SUM(L$2:L492)</f>
        <v/>
      </c>
    </row>
    <row r="493">
      <c r="J493" s="12">
        <f>IF(I493="","",I493-F493)</f>
        <v/>
      </c>
      <c r="L493" s="11">
        <f>IF(K493="W",IF(G493&lt;0,H493*100/ABS(G493),H493*G493/100),IF(K493="L",-H493,0))</f>
        <v/>
      </c>
      <c r="M493" s="11">
        <f>Settings!$B$4+SUM(L$2:L493)</f>
        <v/>
      </c>
    </row>
    <row r="494">
      <c r="J494" s="12">
        <f>IF(I494="","",I494-F494)</f>
        <v/>
      </c>
      <c r="L494" s="11">
        <f>IF(K494="W",IF(G494&lt;0,H494*100/ABS(G494),H494*G494/100),IF(K494="L",-H494,0))</f>
        <v/>
      </c>
      <c r="M494" s="11">
        <f>Settings!$B$4+SUM(L$2:L494)</f>
        <v/>
      </c>
    </row>
    <row r="495">
      <c r="J495" s="12">
        <f>IF(I495="","",I495-F495)</f>
        <v/>
      </c>
      <c r="L495" s="11">
        <f>IF(K495="W",IF(G495&lt;0,H495*100/ABS(G495),H495*G495/100),IF(K495="L",-H495,0))</f>
        <v/>
      </c>
      <c r="M495" s="11">
        <f>Settings!$B$4+SUM(L$2:L495)</f>
        <v/>
      </c>
    </row>
    <row r="496">
      <c r="J496" s="12">
        <f>IF(I496="","",I496-F496)</f>
        <v/>
      </c>
      <c r="L496" s="11">
        <f>IF(K496="W",IF(G496&lt;0,H496*100/ABS(G496),H496*G496/100),IF(K496="L",-H496,0))</f>
        <v/>
      </c>
      <c r="M496" s="11">
        <f>Settings!$B$4+SUM(L$2:L496)</f>
        <v/>
      </c>
    </row>
    <row r="497">
      <c r="J497" s="12">
        <f>IF(I497="","",I497-F497)</f>
        <v/>
      </c>
      <c r="L497" s="11">
        <f>IF(K497="W",IF(G497&lt;0,H497*100/ABS(G497),H497*G497/100),IF(K497="L",-H497,0))</f>
        <v/>
      </c>
      <c r="M497" s="11">
        <f>Settings!$B$4+SUM(L$2:L497)</f>
        <v/>
      </c>
    </row>
    <row r="498">
      <c r="J498" s="12">
        <f>IF(I498="","",I498-F498)</f>
        <v/>
      </c>
      <c r="L498" s="11">
        <f>IF(K498="W",IF(G498&lt;0,H498*100/ABS(G498),H498*G498/100),IF(K498="L",-H498,0))</f>
        <v/>
      </c>
      <c r="M498" s="11">
        <f>Settings!$B$4+SUM(L$2:L498)</f>
        <v/>
      </c>
    </row>
    <row r="499">
      <c r="J499" s="12">
        <f>IF(I499="","",I499-F499)</f>
        <v/>
      </c>
      <c r="L499" s="11">
        <f>IF(K499="W",IF(G499&lt;0,H499*100/ABS(G499),H499*G499/100),IF(K499="L",-H499,0))</f>
        <v/>
      </c>
      <c r="M499" s="11">
        <f>Settings!$B$4+SUM(L$2:L499)</f>
        <v/>
      </c>
    </row>
    <row r="500">
      <c r="J500" s="12">
        <f>IF(I500="","",I500-F500)</f>
        <v/>
      </c>
      <c r="L500" s="11">
        <f>IF(K500="W",IF(G500&lt;0,H500*100/ABS(G500),H500*G500/100),IF(K500="L",-H500,0))</f>
        <v/>
      </c>
      <c r="M500" s="11">
        <f>Settings!$B$4+SUM(L$2:L500)</f>
        <v/>
      </c>
    </row>
    <row r="503">
      <c r="A503" s="2" t="inlineStr">
        <is>
          <t>CLV note: Closing Line - Line Taken. For a favorite (negative number), a less-negative closing line than what you bet means the market moved toward you -- positive CLV. Read each row in context of which side you took.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zoomScaleNormal="100" workbookViewId="0">
      <selection pane="bottomLeft" activeCell="D25" sqref="D25"/>
    </sheetView>
  </sheetViews>
  <sheetFormatPr baseColWidth="8" defaultColWidth="8.7265625" defaultRowHeight="14.5"/>
  <cols>
    <col width="16" customWidth="1" min="1" max="1"/>
    <col width="37" customWidth="1" min="2" max="2"/>
    <col width="7.1796875" customWidth="1" min="3" max="3"/>
    <col width="17" customWidth="1" min="4" max="4"/>
    <col width="12" customWidth="1" min="5" max="5"/>
    <col width="10" customWidth="1" min="6" max="7"/>
    <col width="11" customWidth="1" min="8" max="8"/>
    <col width="60" customWidth="1" min="9" max="9"/>
  </cols>
  <sheetData>
    <row r="1" ht="25.5" customHeight="1">
      <c r="A1" s="5" t="inlineStr">
        <is>
          <t>Team</t>
        </is>
      </c>
      <c r="B1" s="5" t="inlineStr">
        <is>
          <t>Prior Conference</t>
        </is>
      </c>
      <c r="C1" s="5" t="inlineStr">
        <is>
          <t>Joined 2026</t>
        </is>
      </c>
      <c r="D1" s="5" t="inlineStr">
        <is>
          <t>Model Power Rating</t>
        </is>
      </c>
      <c r="E1" s="5" t="inlineStr">
        <is>
          <t>SP+ Rating</t>
        </is>
      </c>
      <c r="F1" s="5" t="inlineStr">
        <is>
          <t>Off PPA</t>
        </is>
      </c>
      <c r="G1" s="5" t="inlineStr">
        <is>
          <t>Def PPA</t>
        </is>
      </c>
      <c r="H1" s="5" t="inlineStr">
        <is>
          <t>Talent Rank</t>
        </is>
      </c>
      <c r="I1" s="5" t="inlineStr">
        <is>
          <t>Notes</t>
        </is>
      </c>
    </row>
    <row r="2" ht="14.25" customHeight="1">
      <c r="A2" s="6" t="inlineStr">
        <is>
          <t>North Dakota State</t>
        </is>
      </c>
      <c r="B2" s="6" t="inlineStr">
        <is>
          <t>FCS (Missouri Valley Football Conference)</t>
        </is>
      </c>
      <c r="C2" s="6" t="inlineStr">
        <is>
          <t>Y</t>
        </is>
      </c>
      <c r="D2" s="9" t="n">
        <v>1760.7</v>
      </c>
      <c r="E2" s="9" t="n">
        <v>7.8</v>
      </c>
      <c r="F2" s="9" t="n">
        <v>0.156824607490598</v>
      </c>
      <c r="G2" s="9" t="n">
        <v>-0.1560976801881319</v>
      </c>
      <c r="H2" s="9" t="n">
        <v>117</v>
      </c>
      <c r="I2" s="2" t="inlineStr">
        <is>
          <t>Full MW history available. Option offense; home elevation ~6,621 ft.</t>
        </is>
      </c>
    </row>
    <row r="3" ht="14.25" customHeight="1">
      <c r="A3" s="6" t="inlineStr">
        <is>
          <t>UNLV</t>
        </is>
      </c>
      <c r="B3" s="6" t="inlineStr">
        <is>
          <t>Mountain West</t>
        </is>
      </c>
      <c r="C3" s="6" t="inlineStr">
        <is>
          <t>N</t>
        </is>
      </c>
      <c r="D3" s="9" t="n">
        <v>1606.6</v>
      </c>
      <c r="E3" s="9" t="n">
        <v>-2.4</v>
      </c>
      <c r="F3" s="9" t="n">
        <v>0.0529135687229341</v>
      </c>
      <c r="G3" s="9" t="n">
        <v>0.07570992671064915</v>
      </c>
      <c r="H3" s="9" t="n">
        <v>63</v>
      </c>
      <c r="I3" s="2" t="inlineStr">
        <is>
          <t>Full history. Travel distance/time-zone is a real situational factor for every road game.</t>
        </is>
      </c>
    </row>
    <row r="4" ht="14.25" customHeight="1">
      <c r="A4" s="6" t="inlineStr">
        <is>
          <t>New Mexico</t>
        </is>
      </c>
      <c r="B4" s="6" t="inlineStr">
        <is>
          <t>Mountain West</t>
        </is>
      </c>
      <c r="C4" s="6" t="inlineStr">
        <is>
          <t>N</t>
        </is>
      </c>
      <c r="D4" s="9" t="n">
        <v>1597.5</v>
      </c>
      <c r="E4" s="9" t="n">
        <v>7.7</v>
      </c>
      <c r="F4" s="9" t="n">
        <v>0.1625145914195359</v>
      </c>
      <c r="G4" s="9" t="n">
        <v>-0.1458178721495771</v>
      </c>
      <c r="H4" s="9" t="n">
        <v>87</v>
      </c>
      <c r="I4" s="2" t="inlineStr">
        <is>
          <t>Full history available.</t>
        </is>
      </c>
    </row>
    <row r="5" ht="14.25" customHeight="1">
      <c r="A5" s="6" t="inlineStr">
        <is>
          <t>Hawai'i</t>
        </is>
      </c>
      <c r="B5" s="6" t="inlineStr">
        <is>
          <t>Mountain West</t>
        </is>
      </c>
      <c r="C5" s="6" t="inlineStr">
        <is>
          <t>N</t>
        </is>
      </c>
      <c r="D5" s="9" t="n">
        <v>1474.3</v>
      </c>
      <c r="E5" s="9" t="n">
        <v>-12.2</v>
      </c>
      <c r="F5" s="9" t="n">
        <v>0.04162559361040279</v>
      </c>
      <c r="G5" s="9" t="n">
        <v>0.2126961152776524</v>
      </c>
      <c r="H5" s="9" t="n">
        <v>124</v>
      </c>
      <c r="I5" s="2" t="inlineStr">
        <is>
          <t>Full history. Home elevation ~5,000+ ft.</t>
        </is>
      </c>
    </row>
    <row r="6" ht="14.25" customHeight="1">
      <c r="A6" s="6" t="inlineStr">
        <is>
          <t>Air Force</t>
        </is>
      </c>
      <c r="B6" s="6" t="inlineStr">
        <is>
          <t>Mountain West</t>
        </is>
      </c>
      <c r="C6" s="6" t="inlineStr">
        <is>
          <t>N</t>
        </is>
      </c>
      <c r="D6" s="9" t="n">
        <v>1521.6</v>
      </c>
      <c r="E6" s="9" t="n">
        <v>-3.4</v>
      </c>
      <c r="F6" s="9" t="n">
        <v>0.2974661943078536</v>
      </c>
      <c r="G6" s="9" t="n">
        <v>0.004400601889996306</v>
      </c>
      <c r="H6" s="9" t="n">
        <v>141</v>
      </c>
      <c r="I6" s="2" t="inlineStr">
        <is>
          <t>Zero FBS history — historically dominant FCS program. Pull its FCS-era schedule separately (see pull_ndsu_games() in pull_games.py) since a plain division='fbs' query will not surface it before 2026. Likely market-mispricing candidate in year one since books/public have thin FBS-level reference data on it.</t>
        </is>
      </c>
    </row>
    <row r="7" ht="14.25" customHeight="1">
      <c r="A7" s="6" t="inlineStr">
        <is>
          <t>Wyoming</t>
        </is>
      </c>
      <c r="B7" s="6" t="inlineStr">
        <is>
          <t>Mountain West</t>
        </is>
      </c>
      <c r="C7" s="6" t="inlineStr">
        <is>
          <t>N</t>
        </is>
      </c>
      <c r="D7" s="9" t="n">
        <v>1431</v>
      </c>
      <c r="E7" s="9" t="n">
        <v>-12.7</v>
      </c>
      <c r="F7" s="9" t="n">
        <v>0.1562028838199938</v>
      </c>
      <c r="G7" s="9" t="n">
        <v>0.1233751116920913</v>
      </c>
      <c r="H7" s="9" t="n">
        <v>114</v>
      </c>
      <c r="I7" s="2" t="inlineStr">
        <is>
          <t>No MW history; bring its full MAC-era game log (already FBS, so it's in a plain division='fbs' pull).</t>
        </is>
      </c>
    </row>
    <row r="8" ht="14.25" customHeight="1">
      <c r="A8" s="6" t="inlineStr">
        <is>
          <t>Northern Illinois</t>
        </is>
      </c>
      <c r="B8" s="6" t="inlineStr">
        <is>
          <t>MAC</t>
        </is>
      </c>
      <c r="C8" s="6" t="inlineStr">
        <is>
          <t>Y</t>
        </is>
      </c>
      <c r="D8" s="9" t="n">
        <v>1363.9</v>
      </c>
      <c r="E8" s="9" t="n">
        <v>-23.9</v>
      </c>
      <c r="F8" s="9" t="n">
        <v>-0.1206541817533527</v>
      </c>
      <c r="G8" s="9" t="n">
        <v>0.1585638897780007</v>
      </c>
      <c r="H8" s="9" t="n">
        <v>82</v>
      </c>
      <c r="I8" s="2" t="inlineStr">
        <is>
          <t>Full history available. Watch for 'San Jose State' (no accent) in some sources — same team.</t>
        </is>
      </c>
    </row>
    <row r="9" ht="14.25" customHeight="1">
      <c r="A9" s="6" t="inlineStr">
        <is>
          <t>San José State</t>
        </is>
      </c>
      <c r="B9" s="6" t="inlineStr">
        <is>
          <t>Mountain West</t>
        </is>
      </c>
      <c r="C9" s="6" t="inlineStr">
        <is>
          <t>N</t>
        </is>
      </c>
      <c r="D9" s="9" t="n">
        <v>1428.8</v>
      </c>
      <c r="E9" s="9" t="n">
        <v>-15.1</v>
      </c>
      <c r="F9" s="9" t="n">
        <v>0.08220884405806574</v>
      </c>
      <c r="G9" s="9" t="n">
        <v>0.06609743084098561</v>
      </c>
      <c r="H9" s="9" t="n">
        <v>129</v>
      </c>
      <c r="I9" s="2" t="inlineStr">
        <is>
          <t>Full history available.</t>
        </is>
      </c>
    </row>
    <row r="10" ht="14.25" customHeight="1">
      <c r="A10" s="6" t="inlineStr">
        <is>
          <t>Nevada</t>
        </is>
      </c>
      <c r="B10" s="6" t="inlineStr">
        <is>
          <t>Mountain West</t>
        </is>
      </c>
      <c r="C10" s="6" t="inlineStr">
        <is>
          <t>N</t>
        </is>
      </c>
      <c r="D10" s="9" t="n">
        <v>1381.4</v>
      </c>
      <c r="E10" s="9" t="n">
        <v>-6.5</v>
      </c>
      <c r="F10" s="9" t="n">
        <v>0.09346339458213704</v>
      </c>
      <c r="G10" s="9" t="n">
        <v>0.1491230792017593</v>
      </c>
      <c r="H10" s="9" t="n">
        <v>98</v>
      </c>
      <c r="I10" s="2" t="inlineStr">
        <is>
          <t>No MW history; bring its full C-USA-era game log (already FBS).</t>
        </is>
      </c>
    </row>
    <row r="11" ht="14.25" customHeight="1">
      <c r="A11" s="6" t="inlineStr">
        <is>
          <t>UTEP</t>
        </is>
      </c>
      <c r="B11" s="6" t="inlineStr">
        <is>
          <t>Conference USA</t>
        </is>
      </c>
      <c r="C11" s="6" t="inlineStr">
        <is>
          <t>Y</t>
        </is>
      </c>
      <c r="D11" s="9" t="n">
        <v>1341</v>
      </c>
      <c r="E11" s="9" t="n">
        <v>-24</v>
      </c>
      <c r="F11" s="9" t="n">
        <v>-0.1789529945845773</v>
      </c>
      <c r="G11" s="9" t="n">
        <v>0.2519532316649529</v>
      </c>
      <c r="H11" s="9" t="n">
        <v>92</v>
      </c>
      <c r="I11" s="2" t="inlineStr">
        <is>
          <t>Full history. Home elevation ~7,220 ft — coldest, highest venue in the league.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9"/>
  <sheetViews>
    <sheetView showGridLines="0" workbookViewId="0">
      <selection pane="topRight" activeCell="A1" sqref="A1"/>
      <selection pane="bottomLeft" activeCell="A1" sqref="A1"/>
      <selection pane="bottomRight" activeCell="W5" sqref="W5"/>
    </sheetView>
  </sheetViews>
  <sheetFormatPr baseColWidth="8" defaultRowHeight="14.5"/>
  <cols>
    <col width="22" customWidth="1" min="1" max="1"/>
    <col width="10" customWidth="1" min="2" max="5"/>
    <col width="10" customWidth="1" min="3" max="3"/>
    <col width="10" customWidth="1" min="4" max="4"/>
    <col width="10" customWidth="1" min="5" max="5"/>
    <col width="10" customWidth="1" min="6" max="6"/>
    <col width="24" customWidth="1" min="22" max="22"/>
    <col width="16" customWidth="1" min="23" max="23"/>
  </cols>
  <sheetData>
    <row r="1" ht="15.5" customHeight="1">
      <c r="A1" s="32" t="inlineStr">
        <is>
          <t>Team</t>
        </is>
      </c>
      <c r="B1" s="33" t="inlineStr">
        <is>
          <t>Week 1</t>
        </is>
      </c>
      <c r="C1" s="33" t="inlineStr">
        <is>
          <t>Week 2</t>
        </is>
      </c>
      <c r="D1" s="33" t="inlineStr">
        <is>
          <t>Week 3</t>
        </is>
      </c>
      <c r="E1" s="33" t="inlineStr">
        <is>
          <t>Week 4</t>
        </is>
      </c>
      <c r="F1" s="33" t="inlineStr">
        <is>
          <t>Week 5</t>
        </is>
      </c>
      <c r="V1" s="34" t="inlineStr">
        <is>
          <t>Matchup Spread Calculator</t>
        </is>
      </c>
    </row>
    <row r="2">
      <c r="A2" s="35" t="inlineStr">
        <is>
          <t>Indiana</t>
        </is>
      </c>
      <c r="B2" s="35" t="n">
        <v>97</v>
      </c>
      <c r="C2" s="35" t="n">
        <v>97</v>
      </c>
      <c r="D2" s="35" t="n">
        <v>96.5</v>
      </c>
      <c r="E2" s="35" t="n">
        <v>94.90000000000001</v>
      </c>
      <c r="F2" s="35" t="n">
        <v>94.59999999999999</v>
      </c>
    </row>
    <row r="3">
      <c r="A3" s="35" t="inlineStr">
        <is>
          <t>Ohio State</t>
        </is>
      </c>
      <c r="B3" s="35" t="n">
        <v>93.40000000000001</v>
      </c>
      <c r="C3" s="35" t="n">
        <v>92.40000000000001</v>
      </c>
      <c r="D3" s="35" t="n">
        <v>93.8</v>
      </c>
      <c r="E3" s="35" t="n">
        <v>94</v>
      </c>
      <c r="F3" s="35" t="n">
        <v>94</v>
      </c>
      <c r="V3" s="35" t="inlineStr">
        <is>
          <t>Home Team</t>
        </is>
      </c>
      <c r="W3" s="14" t="inlineStr">
        <is>
          <t>Delaware</t>
        </is>
      </c>
    </row>
    <row r="4">
      <c r="A4" s="35" t="inlineStr">
        <is>
          <t>Miami</t>
        </is>
      </c>
      <c r="B4" s="35" t="n">
        <v>89.90000000000001</v>
      </c>
      <c r="C4" s="35" t="n">
        <v>91.7</v>
      </c>
      <c r="D4" s="35" t="n">
        <v>89</v>
      </c>
      <c r="E4" s="35" t="n">
        <v>90.40000000000001</v>
      </c>
      <c r="F4" s="35" t="n">
        <v>90.40000000000001</v>
      </c>
      <c r="V4" s="35" t="inlineStr">
        <is>
          <t>Away Team</t>
        </is>
      </c>
      <c r="W4" s="14" t="inlineStr">
        <is>
          <t>Liberty</t>
        </is>
      </c>
    </row>
    <row r="5">
      <c r="A5" s="35" t="inlineStr">
        <is>
          <t>Georgia</t>
        </is>
      </c>
      <c r="B5" s="35" t="n">
        <v>83.5</v>
      </c>
      <c r="C5" s="35" t="n">
        <v>85.8</v>
      </c>
      <c r="D5" s="35" t="n">
        <v>86.90000000000001</v>
      </c>
      <c r="E5" s="35" t="n">
        <v>89</v>
      </c>
      <c r="F5" s="35" t="n">
        <v>89.90000000000001</v>
      </c>
      <c r="V5" s="35" t="inlineStr">
        <is>
          <t>Neutral Site? (Y/N)</t>
        </is>
      </c>
      <c r="W5" s="14" t="inlineStr">
        <is>
          <t>N</t>
        </is>
      </c>
    </row>
    <row r="6">
      <c r="A6" s="35" t="inlineStr">
        <is>
          <t>Oregon</t>
        </is>
      </c>
      <c r="B6" s="35" t="n">
        <v>86.90000000000001</v>
      </c>
      <c r="C6" s="35" t="n">
        <v>83.2</v>
      </c>
      <c r="D6" s="35" t="n">
        <v>87.8</v>
      </c>
      <c r="E6" s="35" t="n">
        <v>88</v>
      </c>
      <c r="F6" s="35" t="n">
        <v>88</v>
      </c>
    </row>
    <row r="7">
      <c r="A7" s="35" t="inlineStr">
        <is>
          <t>Notre Dame</t>
        </is>
      </c>
      <c r="B7" s="35" t="n">
        <v>88.5</v>
      </c>
      <c r="C7" s="35" t="n">
        <v>89.5</v>
      </c>
      <c r="D7" s="35" t="n">
        <v>89</v>
      </c>
      <c r="E7" s="35" t="n">
        <v>89.40000000000001</v>
      </c>
      <c r="F7" s="35" t="n">
        <v>87.7</v>
      </c>
      <c r="V7" s="35" t="inlineStr">
        <is>
          <t>HFA (model constant)</t>
        </is>
      </c>
      <c r="W7" s="35" t="n">
        <v>4</v>
      </c>
    </row>
    <row r="8">
      <c r="A8" s="35" t="inlineStr">
        <is>
          <t>Alabama</t>
        </is>
      </c>
      <c r="B8" s="35" t="n">
        <v>80.90000000000001</v>
      </c>
      <c r="C8" s="35" t="n">
        <v>82.40000000000001</v>
      </c>
      <c r="D8" s="35" t="n">
        <v>82.40000000000001</v>
      </c>
      <c r="E8" s="35" t="n">
        <v>83.90000000000001</v>
      </c>
      <c r="F8" s="35" t="n">
        <v>85.8</v>
      </c>
    </row>
    <row r="9">
      <c r="A9" s="35" t="inlineStr">
        <is>
          <t>Texas</t>
        </is>
      </c>
      <c r="B9" s="35" t="n">
        <v>85.09999999999999</v>
      </c>
      <c r="C9" s="35" t="n">
        <v>86</v>
      </c>
      <c r="D9" s="35" t="n">
        <v>86.40000000000001</v>
      </c>
      <c r="E9" s="35" t="n">
        <v>85.59999999999999</v>
      </c>
      <c r="F9" s="35" t="n">
        <v>85.59999999999999</v>
      </c>
      <c r="V9" s="36" t="inlineStr">
        <is>
          <t>Predicted Spread (Home)</t>
        </is>
      </c>
      <c r="W9" s="36">
        <f>IF(OR(W3="",W4=""),"",INDEX($F$2:$F$139,MATCH(W4,$A$2:$A$139,0))-INDEX($F$2:$F$139,MATCH(W3,$A$2:$A$139,0))-IF(UPPER(W5)="Y",0,W7))</f>
        <v/>
      </c>
    </row>
    <row r="10">
      <c r="A10" s="35" t="inlineStr">
        <is>
          <t>Utah</t>
        </is>
      </c>
      <c r="B10" s="35" t="n">
        <v>81.59999999999999</v>
      </c>
      <c r="C10" s="35" t="n">
        <v>83.5</v>
      </c>
      <c r="D10" s="35" t="n">
        <v>84.2</v>
      </c>
      <c r="E10" s="35" t="n">
        <v>84.3</v>
      </c>
      <c r="F10" s="35" t="n">
        <v>84.3</v>
      </c>
      <c r="V10" s="37" t="inlineStr">
        <is>
          <t>(negative = home team favored, e.g. "Home -6.5")</t>
        </is>
      </c>
    </row>
    <row r="11">
      <c r="A11" s="35" t="inlineStr">
        <is>
          <t>Texas Tech</t>
        </is>
      </c>
      <c r="B11" s="35" t="n">
        <v>87.3</v>
      </c>
      <c r="C11" s="35" t="n">
        <v>85.09999999999999</v>
      </c>
      <c r="D11" s="35" t="n">
        <v>84.7</v>
      </c>
      <c r="E11" s="35" t="n">
        <v>84.3</v>
      </c>
      <c r="F11" s="35" t="n">
        <v>84.3</v>
      </c>
    </row>
    <row r="12">
      <c r="A12" s="35" t="inlineStr">
        <is>
          <t>LSU</t>
        </is>
      </c>
      <c r="B12" s="35" t="n">
        <v>79.09999999999999</v>
      </c>
      <c r="C12" s="35" t="n">
        <v>80.09999999999999</v>
      </c>
      <c r="D12" s="35" t="n">
        <v>79.7</v>
      </c>
      <c r="E12" s="35" t="n">
        <v>82.5</v>
      </c>
      <c r="F12" s="35" t="n">
        <v>82.5</v>
      </c>
    </row>
    <row r="13">
      <c r="A13" s="35" t="inlineStr">
        <is>
          <t>Iowa</t>
        </is>
      </c>
      <c r="B13" s="35" t="n">
        <v>81.2</v>
      </c>
      <c r="C13" s="35" t="n">
        <v>80.2</v>
      </c>
      <c r="D13" s="35" t="n">
        <v>81.7</v>
      </c>
      <c r="E13" s="35" t="n">
        <v>81.3</v>
      </c>
      <c r="F13" s="35" t="n">
        <v>81.40000000000001</v>
      </c>
    </row>
    <row r="14">
      <c r="A14" s="35" t="inlineStr">
        <is>
          <t>Ole Miss</t>
        </is>
      </c>
      <c r="B14" s="35" t="n">
        <v>84.90000000000001</v>
      </c>
      <c r="C14" s="35" t="n">
        <v>84</v>
      </c>
      <c r="D14" s="35" t="n">
        <v>84.5</v>
      </c>
      <c r="E14" s="35" t="n">
        <v>81.09999999999999</v>
      </c>
      <c r="F14" s="35" t="n">
        <v>81.09999999999999</v>
      </c>
    </row>
    <row r="15">
      <c r="A15" s="35" t="inlineStr">
        <is>
          <t>Tennessee</t>
        </is>
      </c>
      <c r="B15" s="35" t="n">
        <v>76.8</v>
      </c>
      <c r="C15" s="35" t="n">
        <v>77.8</v>
      </c>
      <c r="D15" s="35" t="n">
        <v>78.90000000000001</v>
      </c>
      <c r="E15" s="35" t="n">
        <v>79.7</v>
      </c>
      <c r="F15" s="35" t="n">
        <v>79.7</v>
      </c>
    </row>
    <row r="16">
      <c r="A16" s="35" t="inlineStr">
        <is>
          <t>Florida</t>
        </is>
      </c>
      <c r="B16" s="35" t="n">
        <v>75.2</v>
      </c>
      <c r="C16" s="35" t="n">
        <v>76.59999999999999</v>
      </c>
      <c r="D16" s="35" t="n">
        <v>76.3</v>
      </c>
      <c r="E16" s="35" t="n">
        <v>79.5</v>
      </c>
      <c r="F16" s="35" t="n">
        <v>79.59999999999999</v>
      </c>
    </row>
    <row r="17">
      <c r="A17" s="35" t="inlineStr">
        <is>
          <t>Virginia</t>
        </is>
      </c>
      <c r="B17" s="35" t="n">
        <v>79.2</v>
      </c>
      <c r="C17" s="35" t="n">
        <v>81.09999999999999</v>
      </c>
      <c r="D17" s="35" t="n">
        <v>77.59999999999999</v>
      </c>
      <c r="E17" s="35" t="n">
        <v>79.5</v>
      </c>
      <c r="F17" s="35" t="n">
        <v>79.5</v>
      </c>
    </row>
    <row r="18">
      <c r="A18" s="35" t="inlineStr">
        <is>
          <t>Texas A&amp;M</t>
        </is>
      </c>
      <c r="B18" s="35" t="n">
        <v>82.8</v>
      </c>
      <c r="C18" s="35" t="n">
        <v>84.3</v>
      </c>
      <c r="D18" s="35" t="n">
        <v>81.7</v>
      </c>
      <c r="E18" s="35" t="n">
        <v>78.90000000000001</v>
      </c>
      <c r="F18" s="35" t="n">
        <v>78.90000000000001</v>
      </c>
    </row>
    <row r="19">
      <c r="A19" s="35" t="inlineStr">
        <is>
          <t>BYU</t>
        </is>
      </c>
      <c r="B19" s="35" t="n">
        <v>78.3</v>
      </c>
      <c r="C19" s="35" t="n">
        <v>79</v>
      </c>
      <c r="D19" s="35" t="n">
        <v>78.2</v>
      </c>
      <c r="E19" s="35" t="n">
        <v>78.2</v>
      </c>
      <c r="F19" s="35" t="n">
        <v>78.2</v>
      </c>
    </row>
    <row r="20">
      <c r="A20" s="35" t="inlineStr">
        <is>
          <t>Duke</t>
        </is>
      </c>
      <c r="B20" s="35" t="n">
        <v>75</v>
      </c>
      <c r="C20" s="35" t="n">
        <v>74.8</v>
      </c>
      <c r="D20" s="35" t="n">
        <v>76.2</v>
      </c>
      <c r="E20" s="35" t="n">
        <v>78.09999999999999</v>
      </c>
      <c r="F20" s="35" t="n">
        <v>78.2</v>
      </c>
    </row>
    <row r="21">
      <c r="A21" s="35" t="inlineStr">
        <is>
          <t>Wake Forest</t>
        </is>
      </c>
      <c r="B21" s="35" t="n">
        <v>71</v>
      </c>
      <c r="C21" s="35" t="n">
        <v>69.8</v>
      </c>
      <c r="D21" s="35" t="n">
        <v>72.40000000000001</v>
      </c>
      <c r="E21" s="35" t="n">
        <v>72.90000000000001</v>
      </c>
      <c r="F21" s="35" t="n">
        <v>78</v>
      </c>
    </row>
    <row r="22">
      <c r="A22" s="35" t="inlineStr">
        <is>
          <t>Penn State</t>
        </is>
      </c>
      <c r="B22" s="35" t="n">
        <v>80.90000000000001</v>
      </c>
      <c r="C22" s="35" t="n">
        <v>80.3</v>
      </c>
      <c r="D22" s="35" t="n">
        <v>81.2</v>
      </c>
      <c r="E22" s="35" t="n">
        <v>80.2</v>
      </c>
      <c r="F22" s="35" t="n">
        <v>77.8</v>
      </c>
    </row>
    <row r="23">
      <c r="A23" s="35" t="inlineStr">
        <is>
          <t>Oklahoma</t>
        </is>
      </c>
      <c r="B23" s="35" t="n">
        <v>81.2</v>
      </c>
      <c r="C23" s="35" t="n">
        <v>79.5</v>
      </c>
      <c r="D23" s="35" t="n">
        <v>79.7</v>
      </c>
      <c r="E23" s="35" t="n">
        <v>77.7</v>
      </c>
      <c r="F23" s="35" t="n">
        <v>77.59999999999999</v>
      </c>
    </row>
    <row r="24">
      <c r="A24" s="35" t="inlineStr">
        <is>
          <t>South Carolina</t>
        </is>
      </c>
      <c r="B24" s="35" t="n">
        <v>75.09999999999999</v>
      </c>
      <c r="C24" s="35" t="n">
        <v>79.2</v>
      </c>
      <c r="D24" s="35" t="n">
        <v>79.09999999999999</v>
      </c>
      <c r="E24" s="35" t="n">
        <v>77.5</v>
      </c>
      <c r="F24" s="35" t="n">
        <v>77.5</v>
      </c>
    </row>
    <row r="25">
      <c r="A25" s="35" t="inlineStr">
        <is>
          <t>Louisville</t>
        </is>
      </c>
      <c r="B25" s="35" t="n">
        <v>74.7</v>
      </c>
      <c r="C25" s="35" t="n">
        <v>77.2</v>
      </c>
      <c r="D25" s="35" t="n">
        <v>77.90000000000001</v>
      </c>
      <c r="E25" s="35" t="n">
        <v>77.2</v>
      </c>
      <c r="F25" s="35" t="n">
        <v>77.2</v>
      </c>
    </row>
    <row r="26">
      <c r="A26" s="35" t="inlineStr">
        <is>
          <t>USC</t>
        </is>
      </c>
      <c r="B26" s="35" t="n">
        <v>78</v>
      </c>
      <c r="C26" s="35" t="n">
        <v>77.40000000000001</v>
      </c>
      <c r="D26" s="35" t="n">
        <v>77.40000000000001</v>
      </c>
      <c r="E26" s="35" t="n">
        <v>77</v>
      </c>
      <c r="F26" s="35" t="n">
        <v>77</v>
      </c>
    </row>
    <row r="27">
      <c r="A27" s="35" t="inlineStr">
        <is>
          <t>Vanderbilt</t>
        </is>
      </c>
      <c r="B27" s="35" t="n">
        <v>80.40000000000001</v>
      </c>
      <c r="C27" s="35" t="n">
        <v>79</v>
      </c>
      <c r="D27" s="35" t="n">
        <v>78.90000000000001</v>
      </c>
      <c r="E27" s="35" t="n">
        <v>77.5</v>
      </c>
      <c r="F27" s="35" t="n">
        <v>76.59999999999999</v>
      </c>
    </row>
    <row r="28">
      <c r="A28" s="35" t="inlineStr">
        <is>
          <t>Washington</t>
        </is>
      </c>
      <c r="B28" s="35" t="n">
        <v>79.09999999999999</v>
      </c>
      <c r="C28" s="35" t="n">
        <v>78.2</v>
      </c>
      <c r="D28" s="35" t="n">
        <v>77.5</v>
      </c>
      <c r="E28" s="35" t="n">
        <v>76.3</v>
      </c>
      <c r="F28" s="35" t="n">
        <v>76.3</v>
      </c>
    </row>
    <row r="29">
      <c r="A29" s="35" t="inlineStr">
        <is>
          <t>James Madison</t>
        </is>
      </c>
      <c r="B29" s="35" t="n">
        <v>67.8</v>
      </c>
      <c r="C29" s="35" t="n">
        <v>73.59999999999999</v>
      </c>
      <c r="D29" s="35" t="n">
        <v>74.2</v>
      </c>
      <c r="E29" s="35" t="n">
        <v>76.09999999999999</v>
      </c>
      <c r="F29" s="35" t="n">
        <v>76.2</v>
      </c>
    </row>
    <row r="30">
      <c r="A30" s="35" t="inlineStr">
        <is>
          <t>North Dakota State</t>
        </is>
      </c>
      <c r="B30" s="35" t="n">
        <v>79.5</v>
      </c>
      <c r="C30" s="35" t="n">
        <v>77.90000000000001</v>
      </c>
      <c r="D30" s="35" t="n">
        <v>76</v>
      </c>
      <c r="E30" s="35" t="n">
        <v>76</v>
      </c>
      <c r="F30" s="35" t="n">
        <v>76</v>
      </c>
    </row>
    <row r="31">
      <c r="A31" s="35" t="inlineStr">
        <is>
          <t>Pittsburgh</t>
        </is>
      </c>
      <c r="B31" s="35" t="n">
        <v>75.3</v>
      </c>
      <c r="C31" s="35" t="n">
        <v>74.7</v>
      </c>
      <c r="D31" s="35" t="n">
        <v>74.09999999999999</v>
      </c>
      <c r="E31" s="35" t="n">
        <v>76.59999999999999</v>
      </c>
      <c r="F31" s="35" t="n">
        <v>75.90000000000001</v>
      </c>
    </row>
    <row r="32">
      <c r="A32" s="35" t="inlineStr">
        <is>
          <t>Nebraska</t>
        </is>
      </c>
      <c r="B32" s="35" t="n">
        <v>72.09999999999999</v>
      </c>
      <c r="C32" s="35" t="n">
        <v>74.7</v>
      </c>
      <c r="D32" s="35" t="n">
        <v>74.3</v>
      </c>
      <c r="E32" s="35" t="n">
        <v>75.3</v>
      </c>
      <c r="F32" s="35" t="n">
        <v>75.3</v>
      </c>
    </row>
    <row r="33">
      <c r="A33" s="35" t="inlineStr">
        <is>
          <t>Northwestern</t>
        </is>
      </c>
      <c r="B33" s="35" t="n">
        <v>68.09999999999999</v>
      </c>
      <c r="C33" s="35" t="n">
        <v>68.09999999999999</v>
      </c>
      <c r="D33" s="35" t="n">
        <v>71.2</v>
      </c>
      <c r="E33" s="35" t="n">
        <v>72.8</v>
      </c>
      <c r="F33" s="35" t="n">
        <v>75.2</v>
      </c>
    </row>
    <row r="34">
      <c r="A34" s="35" t="inlineStr">
        <is>
          <t>SMU</t>
        </is>
      </c>
      <c r="B34" s="35" t="n">
        <v>75.40000000000001</v>
      </c>
      <c r="C34" s="35" t="n">
        <v>77</v>
      </c>
      <c r="D34" s="35" t="n">
        <v>75.8</v>
      </c>
      <c r="E34" s="35" t="n">
        <v>74.40000000000001</v>
      </c>
      <c r="F34" s="35" t="n">
        <v>73.7</v>
      </c>
    </row>
    <row r="35">
      <c r="A35" s="35" t="inlineStr">
        <is>
          <t>Houston</t>
        </is>
      </c>
      <c r="B35" s="35" t="n">
        <v>68.90000000000001</v>
      </c>
      <c r="C35" s="35" t="n">
        <v>73.40000000000001</v>
      </c>
      <c r="D35" s="35" t="n">
        <v>73.59999999999999</v>
      </c>
      <c r="E35" s="35" t="n">
        <v>73.2</v>
      </c>
      <c r="F35" s="35" t="n">
        <v>73.3</v>
      </c>
    </row>
    <row r="36">
      <c r="A36" s="35" t="inlineStr">
        <is>
          <t>Michigan</t>
        </is>
      </c>
      <c r="B36" s="35" t="n">
        <v>71.2</v>
      </c>
      <c r="C36" s="35" t="n">
        <v>72.90000000000001</v>
      </c>
      <c r="D36" s="35" t="n">
        <v>73.5</v>
      </c>
      <c r="E36" s="35" t="n">
        <v>74.09999999999999</v>
      </c>
      <c r="F36" s="35" t="n">
        <v>73.3</v>
      </c>
    </row>
    <row r="37">
      <c r="A37" s="35" t="inlineStr">
        <is>
          <t>Kansas State</t>
        </is>
      </c>
      <c r="B37" s="35" t="n">
        <v>70.7</v>
      </c>
      <c r="C37" s="35" t="n">
        <v>73.2</v>
      </c>
      <c r="D37" s="35" t="n">
        <v>73.40000000000001</v>
      </c>
      <c r="E37" s="35" t="n">
        <v>72.90000000000001</v>
      </c>
      <c r="F37" s="35" t="n">
        <v>72.90000000000001</v>
      </c>
    </row>
    <row r="38">
      <c r="A38" s="35" t="inlineStr">
        <is>
          <t>Arizona</t>
        </is>
      </c>
      <c r="B38" s="35" t="n">
        <v>73.40000000000001</v>
      </c>
      <c r="C38" s="35" t="n">
        <v>72.7</v>
      </c>
      <c r="D38" s="35" t="n">
        <v>72.40000000000001</v>
      </c>
      <c r="E38" s="35" t="n">
        <v>72.8</v>
      </c>
      <c r="F38" s="35" t="n">
        <v>72.8</v>
      </c>
    </row>
    <row r="39">
      <c r="A39" s="35" t="inlineStr">
        <is>
          <t>Missouri</t>
        </is>
      </c>
      <c r="B39" s="35" t="n">
        <v>74.59999999999999</v>
      </c>
      <c r="C39" s="35" t="n">
        <v>74.90000000000001</v>
      </c>
      <c r="D39" s="35" t="n">
        <v>73.7</v>
      </c>
      <c r="E39" s="35" t="n">
        <v>72.7</v>
      </c>
      <c r="F39" s="35" t="n">
        <v>72.7</v>
      </c>
    </row>
    <row r="40">
      <c r="A40" s="35" t="inlineStr">
        <is>
          <t>Auburn</t>
        </is>
      </c>
      <c r="B40" s="35" t="n">
        <v>69.40000000000001</v>
      </c>
      <c r="C40" s="35" t="n">
        <v>71</v>
      </c>
      <c r="D40" s="35" t="n">
        <v>71.09999999999999</v>
      </c>
      <c r="E40" s="35" t="n">
        <v>72.40000000000001</v>
      </c>
      <c r="F40" s="35" t="n">
        <v>72.40000000000001</v>
      </c>
    </row>
    <row r="41">
      <c r="A41" s="35" t="inlineStr">
        <is>
          <t>Boise State</t>
        </is>
      </c>
      <c r="B41" s="35" t="n">
        <v>70.2</v>
      </c>
      <c r="C41" s="35" t="n">
        <v>71.8</v>
      </c>
      <c r="D41" s="35" t="n">
        <v>70.2</v>
      </c>
      <c r="E41" s="35" t="n">
        <v>72.2</v>
      </c>
      <c r="F41" s="35" t="n">
        <v>72.2</v>
      </c>
    </row>
    <row r="42">
      <c r="A42" s="35" t="inlineStr">
        <is>
          <t>TCU</t>
        </is>
      </c>
      <c r="B42" s="35" t="n">
        <v>69.09999999999999</v>
      </c>
      <c r="C42" s="35" t="n">
        <v>72.59999999999999</v>
      </c>
      <c r="D42" s="35" t="n">
        <v>73.59999999999999</v>
      </c>
      <c r="E42" s="35" t="n">
        <v>71.90000000000001</v>
      </c>
      <c r="F42" s="35" t="n">
        <v>71.90000000000001</v>
      </c>
    </row>
    <row r="43">
      <c r="A43" s="35" t="inlineStr">
        <is>
          <t>Illinois</t>
        </is>
      </c>
      <c r="B43" s="35" t="n">
        <v>71</v>
      </c>
      <c r="C43" s="35" t="n">
        <v>71.2</v>
      </c>
      <c r="D43" s="35" t="n">
        <v>72</v>
      </c>
      <c r="E43" s="35" t="n">
        <v>71.7</v>
      </c>
      <c r="F43" s="35" t="n">
        <v>71.8</v>
      </c>
    </row>
    <row r="44">
      <c r="A44" s="35" t="inlineStr">
        <is>
          <t>UCLA</t>
        </is>
      </c>
      <c r="B44" s="35" t="n">
        <v>63.8</v>
      </c>
      <c r="C44" s="35" t="n">
        <v>65.8</v>
      </c>
      <c r="D44" s="35" t="n">
        <v>66.7</v>
      </c>
      <c r="E44" s="35" t="n">
        <v>71.40000000000001</v>
      </c>
      <c r="F44" s="35" t="n">
        <v>71.40000000000001</v>
      </c>
    </row>
    <row r="45">
      <c r="A45" s="35" t="inlineStr">
        <is>
          <t>Minnesota</t>
        </is>
      </c>
      <c r="B45" s="35" t="n">
        <v>69.8</v>
      </c>
      <c r="C45" s="35" t="n">
        <v>67.2</v>
      </c>
      <c r="D45" s="35" t="n">
        <v>69</v>
      </c>
      <c r="E45" s="35" t="n">
        <v>70.2</v>
      </c>
      <c r="F45" s="35" t="n">
        <v>71</v>
      </c>
    </row>
    <row r="46">
      <c r="A46" s="35" t="inlineStr">
        <is>
          <t>Iowa State</t>
        </is>
      </c>
      <c r="B46" s="35" t="n">
        <v>68.3</v>
      </c>
      <c r="C46" s="35" t="n">
        <v>69.3</v>
      </c>
      <c r="D46" s="35" t="n">
        <v>71.8</v>
      </c>
      <c r="E46" s="35" t="n">
        <v>71.7</v>
      </c>
      <c r="F46" s="35" t="n">
        <v>71</v>
      </c>
    </row>
    <row r="47">
      <c r="A47" s="35" t="inlineStr">
        <is>
          <t>Cincinnati</t>
        </is>
      </c>
      <c r="B47" s="35" t="n">
        <v>69.3</v>
      </c>
      <c r="C47" s="35" t="n">
        <v>71.8</v>
      </c>
      <c r="D47" s="35" t="n">
        <v>70.5</v>
      </c>
      <c r="E47" s="35" t="n">
        <v>70.90000000000001</v>
      </c>
      <c r="F47" s="35" t="n">
        <v>70.90000000000001</v>
      </c>
    </row>
    <row r="48">
      <c r="A48" s="35" t="inlineStr">
        <is>
          <t>NC State</t>
        </is>
      </c>
      <c r="B48" s="35" t="n">
        <v>67.2</v>
      </c>
      <c r="C48" s="35" t="n">
        <v>72.09999999999999</v>
      </c>
      <c r="D48" s="35" t="n">
        <v>71.90000000000001</v>
      </c>
      <c r="E48" s="35" t="n">
        <v>70.7</v>
      </c>
      <c r="F48" s="35" t="n">
        <v>70.7</v>
      </c>
    </row>
    <row r="49">
      <c r="A49" s="35" t="inlineStr">
        <is>
          <t>New Mexico</t>
        </is>
      </c>
      <c r="B49" s="35" t="n">
        <v>66.59999999999999</v>
      </c>
      <c r="C49" s="35" t="n">
        <v>71</v>
      </c>
      <c r="D49" s="35" t="n">
        <v>70.09999999999999</v>
      </c>
      <c r="E49" s="35" t="n">
        <v>70.40000000000001</v>
      </c>
      <c r="F49" s="35" t="n">
        <v>70.2</v>
      </c>
    </row>
    <row r="50">
      <c r="A50" s="35" t="inlineStr">
        <is>
          <t>Kansas</t>
        </is>
      </c>
      <c r="B50" s="35" t="n">
        <v>65.7</v>
      </c>
      <c r="C50" s="35" t="n">
        <v>65.40000000000001</v>
      </c>
      <c r="D50" s="35" t="n">
        <v>65.7</v>
      </c>
      <c r="E50" s="35" t="n">
        <v>65.7</v>
      </c>
      <c r="F50" s="35" t="n">
        <v>70.09999999999999</v>
      </c>
    </row>
    <row r="51">
      <c r="A51" s="35" t="inlineStr">
        <is>
          <t>Mississippi State</t>
        </is>
      </c>
      <c r="B51" s="35" t="n">
        <v>68.8</v>
      </c>
      <c r="C51" s="35" t="n">
        <v>71.3</v>
      </c>
      <c r="D51" s="35" t="n">
        <v>70.90000000000001</v>
      </c>
      <c r="E51" s="35" t="n">
        <v>71.90000000000001</v>
      </c>
      <c r="F51" s="35" t="n">
        <v>70</v>
      </c>
    </row>
    <row r="52">
      <c r="A52" s="35" t="inlineStr">
        <is>
          <t>Wisconsin</t>
        </is>
      </c>
      <c r="B52" s="35" t="n">
        <v>64.59999999999999</v>
      </c>
      <c r="C52" s="35" t="n">
        <v>64.3</v>
      </c>
      <c r="D52" s="35" t="n">
        <v>66.09999999999999</v>
      </c>
      <c r="E52" s="35" t="n">
        <v>67.09999999999999</v>
      </c>
      <c r="F52" s="35" t="n">
        <v>69.8</v>
      </c>
    </row>
    <row r="53">
      <c r="A53" s="35" t="inlineStr">
        <is>
          <t>Baylor</t>
        </is>
      </c>
      <c r="B53" s="35" t="n">
        <v>66.8</v>
      </c>
      <c r="C53" s="35" t="n">
        <v>68.90000000000001</v>
      </c>
      <c r="D53" s="35" t="n">
        <v>69.09999999999999</v>
      </c>
      <c r="E53" s="35" t="n">
        <v>69.40000000000001</v>
      </c>
      <c r="F53" s="35" t="n">
        <v>69.40000000000001</v>
      </c>
    </row>
    <row r="54">
      <c r="A54" s="35" t="inlineStr">
        <is>
          <t>Clemson</t>
        </is>
      </c>
      <c r="B54" s="35" t="n">
        <v>67.8</v>
      </c>
      <c r="C54" s="35" t="n">
        <v>68.2</v>
      </c>
      <c r="D54" s="35" t="n">
        <v>68.09999999999999</v>
      </c>
      <c r="E54" s="35" t="n">
        <v>68.8</v>
      </c>
      <c r="F54" s="35" t="n">
        <v>68.8</v>
      </c>
    </row>
    <row r="55">
      <c r="A55" s="35" t="inlineStr">
        <is>
          <t>Kentucky</t>
        </is>
      </c>
      <c r="B55" s="35" t="n">
        <v>66.5</v>
      </c>
      <c r="C55" s="35" t="n">
        <v>65</v>
      </c>
      <c r="D55" s="35" t="n">
        <v>67.59999999999999</v>
      </c>
      <c r="E55" s="35" t="n">
        <v>68.59999999999999</v>
      </c>
      <c r="F55" s="35" t="n">
        <v>68.59999999999999</v>
      </c>
    </row>
    <row r="56">
      <c r="A56" s="35" t="inlineStr">
        <is>
          <t>Memphis</t>
        </is>
      </c>
      <c r="B56" s="35" t="n">
        <v>68.2</v>
      </c>
      <c r="C56" s="35" t="n">
        <v>66.59999999999999</v>
      </c>
      <c r="D56" s="35" t="n">
        <v>65.59999999999999</v>
      </c>
      <c r="E56" s="35" t="n">
        <v>65.40000000000001</v>
      </c>
      <c r="F56" s="35" t="n">
        <v>68.3</v>
      </c>
    </row>
    <row r="57">
      <c r="A57" s="35" t="inlineStr">
        <is>
          <t>Virginia Tech</t>
        </is>
      </c>
      <c r="B57" s="35" t="n">
        <v>64.40000000000001</v>
      </c>
      <c r="C57" s="35" t="n">
        <v>67.5</v>
      </c>
      <c r="D57" s="35" t="n">
        <v>67.59999999999999</v>
      </c>
      <c r="E57" s="35" t="n">
        <v>67.2</v>
      </c>
      <c r="F57" s="35" t="n">
        <v>67.90000000000001</v>
      </c>
    </row>
    <row r="58">
      <c r="A58" s="35" t="inlineStr">
        <is>
          <t>Arizona State</t>
        </is>
      </c>
      <c r="B58" s="35" t="n">
        <v>69.59999999999999</v>
      </c>
      <c r="C58" s="35" t="n">
        <v>68.09999999999999</v>
      </c>
      <c r="D58" s="35" t="n">
        <v>67.7</v>
      </c>
      <c r="E58" s="35" t="n">
        <v>67.7</v>
      </c>
      <c r="F58" s="35" t="n">
        <v>67.7</v>
      </c>
    </row>
    <row r="59">
      <c r="A59" s="35" t="inlineStr">
        <is>
          <t>South Florida</t>
        </is>
      </c>
      <c r="B59" s="35" t="n">
        <v>68.2</v>
      </c>
      <c r="C59" s="35" t="n">
        <v>68.3</v>
      </c>
      <c r="D59" s="35" t="n">
        <v>69.2</v>
      </c>
      <c r="E59" s="35" t="n">
        <v>67.7</v>
      </c>
      <c r="F59" s="35" t="n">
        <v>67.7</v>
      </c>
    </row>
    <row r="60">
      <c r="A60" s="35" t="inlineStr">
        <is>
          <t>Texas State</t>
        </is>
      </c>
      <c r="B60" s="35" t="n">
        <v>60.5</v>
      </c>
      <c r="C60" s="35" t="n">
        <v>61.5</v>
      </c>
      <c r="D60" s="35" t="n">
        <v>64.09999999999999</v>
      </c>
      <c r="E60" s="35" t="n">
        <v>67.59999999999999</v>
      </c>
      <c r="F60" s="35" t="n">
        <v>67.5</v>
      </c>
    </row>
    <row r="61">
      <c r="A61" s="35" t="inlineStr">
        <is>
          <t>Florida State</t>
        </is>
      </c>
      <c r="B61" s="35" t="n">
        <v>67.2</v>
      </c>
      <c r="C61" s="35" t="n">
        <v>67.2</v>
      </c>
      <c r="D61" s="35" t="n">
        <v>67.2</v>
      </c>
      <c r="E61" s="35" t="n">
        <v>67.3</v>
      </c>
      <c r="F61" s="35" t="n">
        <v>67.2</v>
      </c>
    </row>
    <row r="62">
      <c r="A62" s="35" t="inlineStr">
        <is>
          <t>Navy</t>
        </is>
      </c>
      <c r="B62" s="35" t="n">
        <v>72.2</v>
      </c>
      <c r="C62" s="35" t="n">
        <v>69.40000000000001</v>
      </c>
      <c r="D62" s="35" t="n">
        <v>69.40000000000001</v>
      </c>
      <c r="E62" s="35" t="n">
        <v>67.8</v>
      </c>
      <c r="F62" s="35" t="n">
        <v>66.90000000000001</v>
      </c>
    </row>
    <row r="63">
      <c r="A63" s="35" t="inlineStr">
        <is>
          <t>Toledo</t>
        </is>
      </c>
      <c r="B63" s="35" t="n">
        <v>62.1</v>
      </c>
      <c r="C63" s="35" t="n">
        <v>65</v>
      </c>
      <c r="D63" s="35" t="n">
        <v>64.09999999999999</v>
      </c>
      <c r="E63" s="35" t="n">
        <v>66.3</v>
      </c>
      <c r="F63" s="35" t="n">
        <v>66.3</v>
      </c>
    </row>
    <row r="64">
      <c r="A64" s="35" t="inlineStr">
        <is>
          <t>Old Dominion</t>
        </is>
      </c>
      <c r="B64" s="35" t="n">
        <v>72.59999999999999</v>
      </c>
      <c r="C64" s="35" t="n">
        <v>69.5</v>
      </c>
      <c r="D64" s="35" t="n">
        <v>68.5</v>
      </c>
      <c r="E64" s="35" t="n">
        <v>66.3</v>
      </c>
      <c r="F64" s="35" t="n">
        <v>66.3</v>
      </c>
    </row>
    <row r="65">
      <c r="A65" s="35" t="inlineStr">
        <is>
          <t>Arkansas</t>
        </is>
      </c>
      <c r="B65" s="35" t="n">
        <v>66.90000000000001</v>
      </c>
      <c r="C65" s="35" t="n">
        <v>65.09999999999999</v>
      </c>
      <c r="D65" s="35" t="n">
        <v>64</v>
      </c>
      <c r="E65" s="35" t="n">
        <v>65.90000000000001</v>
      </c>
      <c r="F65" s="35" t="n">
        <v>65.90000000000001</v>
      </c>
    </row>
    <row r="66">
      <c r="A66" s="35" t="inlineStr">
        <is>
          <t>Georgia Tech</t>
        </is>
      </c>
      <c r="B66" s="35" t="n">
        <v>67.7</v>
      </c>
      <c r="C66" s="35" t="n">
        <v>66.7</v>
      </c>
      <c r="D66" s="35" t="n">
        <v>67.40000000000001</v>
      </c>
      <c r="E66" s="35" t="n">
        <v>65.8</v>
      </c>
      <c r="F66" s="35" t="n">
        <v>65.8</v>
      </c>
    </row>
    <row r="67">
      <c r="A67" s="35" t="inlineStr">
        <is>
          <t>North Texas</t>
        </is>
      </c>
      <c r="B67" s="35" t="n">
        <v>63.9</v>
      </c>
      <c r="C67" s="35" t="n">
        <v>67.40000000000001</v>
      </c>
      <c r="D67" s="35" t="n">
        <v>64.8</v>
      </c>
      <c r="E67" s="35" t="n">
        <v>66.90000000000001</v>
      </c>
      <c r="F67" s="35" t="n">
        <v>65.8</v>
      </c>
    </row>
    <row r="68">
      <c r="A68" s="35" t="inlineStr">
        <is>
          <t>East Carolina</t>
        </is>
      </c>
      <c r="B68" s="35" t="n">
        <v>64.8</v>
      </c>
      <c r="C68" s="35" t="n">
        <v>63.1</v>
      </c>
      <c r="D68" s="35" t="n">
        <v>64.09999999999999</v>
      </c>
      <c r="E68" s="35" t="n">
        <v>65.09999999999999</v>
      </c>
      <c r="F68" s="35" t="n">
        <v>65.09999999999999</v>
      </c>
    </row>
    <row r="69">
      <c r="A69" s="35" t="inlineStr">
        <is>
          <t>UTSA</t>
        </is>
      </c>
      <c r="B69" s="35" t="n">
        <v>66.59999999999999</v>
      </c>
      <c r="C69" s="35" t="n">
        <v>65.59999999999999</v>
      </c>
      <c r="D69" s="35" t="n">
        <v>65.2</v>
      </c>
      <c r="E69" s="35" t="n">
        <v>64.7</v>
      </c>
      <c r="F69" s="35" t="n">
        <v>64.7</v>
      </c>
    </row>
    <row r="70">
      <c r="A70" s="35" t="inlineStr">
        <is>
          <t>UCF</t>
        </is>
      </c>
      <c r="B70" s="35" t="n">
        <v>62.3</v>
      </c>
      <c r="C70" s="35" t="n">
        <v>63</v>
      </c>
      <c r="D70" s="35" t="n">
        <v>63</v>
      </c>
      <c r="E70" s="35" t="n">
        <v>64.7</v>
      </c>
      <c r="F70" s="35" t="n">
        <v>64.59999999999999</v>
      </c>
    </row>
    <row r="71">
      <c r="A71" s="35" t="inlineStr">
        <is>
          <t>Rutgers</t>
        </is>
      </c>
      <c r="B71" s="35" t="n">
        <v>61.1</v>
      </c>
      <c r="C71" s="35" t="n">
        <v>62</v>
      </c>
      <c r="D71" s="35" t="n">
        <v>62.1</v>
      </c>
      <c r="E71" s="35" t="n">
        <v>64.7</v>
      </c>
      <c r="F71" s="35" t="n">
        <v>64.3</v>
      </c>
    </row>
    <row r="72">
      <c r="A72" s="35" t="inlineStr">
        <is>
          <t>Army</t>
        </is>
      </c>
      <c r="B72" s="35" t="n">
        <v>64.5</v>
      </c>
      <c r="C72" s="35" t="n">
        <v>64.5</v>
      </c>
      <c r="D72" s="35" t="n">
        <v>64.5</v>
      </c>
      <c r="E72" s="35" t="n">
        <v>64.2</v>
      </c>
      <c r="F72" s="35" t="n">
        <v>64.2</v>
      </c>
    </row>
    <row r="73">
      <c r="A73" s="35" t="inlineStr">
        <is>
          <t>North Carolina</t>
        </is>
      </c>
      <c r="B73" s="35" t="n">
        <v>61.3</v>
      </c>
      <c r="C73" s="35" t="n">
        <v>62.7</v>
      </c>
      <c r="D73" s="35" t="n">
        <v>62.4</v>
      </c>
      <c r="E73" s="35" t="n">
        <v>62.3</v>
      </c>
      <c r="F73" s="35" t="n">
        <v>64.09999999999999</v>
      </c>
    </row>
    <row r="74">
      <c r="A74" s="35" t="inlineStr">
        <is>
          <t>Washington State</t>
        </is>
      </c>
      <c r="B74" s="35" t="n">
        <v>66.09999999999999</v>
      </c>
      <c r="C74" s="35" t="n">
        <v>63.7</v>
      </c>
      <c r="D74" s="35" t="n">
        <v>64.5</v>
      </c>
      <c r="E74" s="35" t="n">
        <v>63.9</v>
      </c>
      <c r="F74" s="35" t="n">
        <v>63.9</v>
      </c>
    </row>
    <row r="75">
      <c r="A75" s="35" t="inlineStr">
        <is>
          <t>Western Michigan</t>
        </is>
      </c>
      <c r="B75" s="35" t="n">
        <v>68.09999999999999</v>
      </c>
      <c r="C75" s="35" t="n">
        <v>69.2</v>
      </c>
      <c r="D75" s="35" t="n">
        <v>67.2</v>
      </c>
      <c r="E75" s="35" t="n">
        <v>65.09999999999999</v>
      </c>
      <c r="F75" s="35" t="n">
        <v>63.8</v>
      </c>
    </row>
    <row r="76">
      <c r="A76" s="35" t="inlineStr">
        <is>
          <t>Michigan State</t>
        </is>
      </c>
      <c r="B76" s="35" t="n">
        <v>66</v>
      </c>
      <c r="C76" s="35" t="n">
        <v>66.90000000000001</v>
      </c>
      <c r="D76" s="35" t="n">
        <v>67.5</v>
      </c>
      <c r="E76" s="35" t="n">
        <v>66.40000000000001</v>
      </c>
      <c r="F76" s="35" t="n">
        <v>63.7</v>
      </c>
    </row>
    <row r="77">
      <c r="A77" s="35" t="inlineStr">
        <is>
          <t>Colorado</t>
        </is>
      </c>
      <c r="B77" s="35" t="n">
        <v>64.90000000000001</v>
      </c>
      <c r="C77" s="35" t="n">
        <v>66.09999999999999</v>
      </c>
      <c r="D77" s="35" t="n">
        <v>62.5</v>
      </c>
      <c r="E77" s="35" t="n">
        <v>62.2</v>
      </c>
      <c r="F77" s="35" t="n">
        <v>62.2</v>
      </c>
    </row>
    <row r="78">
      <c r="A78" s="35" t="inlineStr">
        <is>
          <t>Tulane</t>
        </is>
      </c>
      <c r="B78" s="35" t="n">
        <v>63.9</v>
      </c>
      <c r="C78" s="35" t="n">
        <v>63.1</v>
      </c>
      <c r="D78" s="35" t="n">
        <v>62.9</v>
      </c>
      <c r="E78" s="35" t="n">
        <v>61.7</v>
      </c>
      <c r="F78" s="35" t="n">
        <v>61.7</v>
      </c>
    </row>
    <row r="79">
      <c r="A79" s="35" t="inlineStr">
        <is>
          <t>West Virginia</t>
        </is>
      </c>
      <c r="B79" s="35" t="n">
        <v>58.2</v>
      </c>
      <c r="C79" s="35" t="n">
        <v>60.5</v>
      </c>
      <c r="D79" s="35" t="n">
        <v>63.4</v>
      </c>
      <c r="E79" s="35" t="n">
        <v>60.9</v>
      </c>
      <c r="F79" s="35" t="n">
        <v>61.6</v>
      </c>
    </row>
    <row r="80">
      <c r="A80" s="35" t="inlineStr">
        <is>
          <t>Miami (OH)</t>
        </is>
      </c>
      <c r="B80" s="35" t="n">
        <v>55.2</v>
      </c>
      <c r="C80" s="35" t="n">
        <v>58.2</v>
      </c>
      <c r="D80" s="35" t="n">
        <v>58.7</v>
      </c>
      <c r="E80" s="35" t="n">
        <v>61.5</v>
      </c>
      <c r="F80" s="35" t="n">
        <v>61.5</v>
      </c>
    </row>
    <row r="81">
      <c r="A81" s="35" t="inlineStr">
        <is>
          <t>Utah State</t>
        </is>
      </c>
      <c r="B81" s="35" t="n">
        <v>60.9</v>
      </c>
      <c r="C81" s="35" t="n">
        <v>61.8</v>
      </c>
      <c r="D81" s="35" t="n">
        <v>61.1</v>
      </c>
      <c r="E81" s="35" t="n">
        <v>61.4</v>
      </c>
      <c r="F81" s="35" t="n">
        <v>61.4</v>
      </c>
    </row>
    <row r="82">
      <c r="A82" s="35" t="inlineStr">
        <is>
          <t>UNLV</t>
        </is>
      </c>
      <c r="B82" s="35" t="n">
        <v>62.6</v>
      </c>
      <c r="C82" s="35" t="n">
        <v>59</v>
      </c>
      <c r="D82" s="35" t="n">
        <v>59</v>
      </c>
      <c r="E82" s="35" t="n">
        <v>60.9</v>
      </c>
      <c r="F82" s="35" t="n">
        <v>60.9</v>
      </c>
    </row>
    <row r="83">
      <c r="A83" s="35" t="inlineStr">
        <is>
          <t>Liberty</t>
        </is>
      </c>
      <c r="B83" s="35" t="n">
        <v>57.2</v>
      </c>
      <c r="C83" s="35" t="n">
        <v>55.5</v>
      </c>
      <c r="D83" s="35" t="n">
        <v>58</v>
      </c>
      <c r="E83" s="35" t="n">
        <v>59.2</v>
      </c>
      <c r="F83" s="35" t="n">
        <v>60.4</v>
      </c>
    </row>
    <row r="84">
      <c r="A84" s="35" t="inlineStr">
        <is>
          <t>Maryland</t>
        </is>
      </c>
      <c r="B84" s="35" t="n">
        <v>62.3</v>
      </c>
      <c r="C84" s="35" t="n">
        <v>64.90000000000001</v>
      </c>
      <c r="D84" s="35" t="n">
        <v>64.90000000000001</v>
      </c>
      <c r="E84" s="35" t="n">
        <v>60.2</v>
      </c>
      <c r="F84" s="35" t="n">
        <v>60.2</v>
      </c>
    </row>
    <row r="85">
      <c r="A85" s="35" t="inlineStr">
        <is>
          <t>Fresno State</t>
        </is>
      </c>
      <c r="B85" s="35" t="n">
        <v>56</v>
      </c>
      <c r="C85" s="35" t="n">
        <v>59.2</v>
      </c>
      <c r="D85" s="35" t="n">
        <v>60</v>
      </c>
      <c r="E85" s="35" t="n">
        <v>60.1</v>
      </c>
      <c r="F85" s="35" t="n">
        <v>60.1</v>
      </c>
    </row>
    <row r="86">
      <c r="A86" s="35" t="inlineStr">
        <is>
          <t>Oregon State</t>
        </is>
      </c>
      <c r="B86" s="35" t="n">
        <v>54.3</v>
      </c>
      <c r="C86" s="35" t="n">
        <v>56.5</v>
      </c>
      <c r="D86" s="35" t="n">
        <v>59.6</v>
      </c>
      <c r="E86" s="35" t="n">
        <v>59.9</v>
      </c>
      <c r="F86" s="35" t="n">
        <v>59.9</v>
      </c>
    </row>
    <row r="87">
      <c r="A87" s="35" t="inlineStr">
        <is>
          <t>San Diego State</t>
        </is>
      </c>
      <c r="B87" s="35" t="n">
        <v>64.59999999999999</v>
      </c>
      <c r="C87" s="35" t="n">
        <v>62.6</v>
      </c>
      <c r="D87" s="35" t="n">
        <v>62</v>
      </c>
      <c r="E87" s="35" t="n">
        <v>59.7</v>
      </c>
      <c r="F87" s="35" t="n">
        <v>59.7</v>
      </c>
    </row>
    <row r="88">
      <c r="A88" s="35" t="inlineStr">
        <is>
          <t>Air Force</t>
        </is>
      </c>
      <c r="B88" s="35" t="n">
        <v>57.5</v>
      </c>
      <c r="C88" s="35" t="n">
        <v>59.1</v>
      </c>
      <c r="D88" s="35" t="n">
        <v>59.1</v>
      </c>
      <c r="E88" s="35" t="n">
        <v>58.7</v>
      </c>
      <c r="F88" s="35" t="n">
        <v>59.7</v>
      </c>
    </row>
    <row r="89">
      <c r="A89" s="35" t="inlineStr">
        <is>
          <t>Oklahoma State</t>
        </is>
      </c>
      <c r="B89" s="35" t="n">
        <v>50.2</v>
      </c>
      <c r="C89" s="35" t="n">
        <v>54</v>
      </c>
      <c r="D89" s="35" t="n">
        <v>57.8</v>
      </c>
      <c r="E89" s="35" t="n">
        <v>59.6</v>
      </c>
      <c r="F89" s="35" t="n">
        <v>59.6</v>
      </c>
    </row>
    <row r="90">
      <c r="A90" s="35" t="inlineStr">
        <is>
          <t>California</t>
        </is>
      </c>
      <c r="B90" s="35" t="n">
        <v>60.4</v>
      </c>
      <c r="C90" s="35" t="n">
        <v>59.8</v>
      </c>
      <c r="D90" s="35" t="n">
        <v>60.5</v>
      </c>
      <c r="E90" s="35" t="n">
        <v>59.5</v>
      </c>
      <c r="F90" s="35" t="n">
        <v>59.6</v>
      </c>
    </row>
    <row r="91">
      <c r="A91" s="35" t="inlineStr">
        <is>
          <t>Ohio</t>
        </is>
      </c>
      <c r="B91" s="35" t="n">
        <v>58.8</v>
      </c>
      <c r="C91" s="35" t="n">
        <v>59</v>
      </c>
      <c r="D91" s="35" t="n">
        <v>58.2</v>
      </c>
      <c r="E91" s="35" t="n">
        <v>59.6</v>
      </c>
      <c r="F91" s="35" t="n">
        <v>59.4</v>
      </c>
    </row>
    <row r="92">
      <c r="A92" s="35" t="inlineStr">
        <is>
          <t>Temple</t>
        </is>
      </c>
      <c r="B92" s="35" t="n">
        <v>56.9</v>
      </c>
      <c r="C92" s="35" t="n">
        <v>57.5</v>
      </c>
      <c r="D92" s="35" t="n">
        <v>58.3</v>
      </c>
      <c r="E92" s="35" t="n">
        <v>58.5</v>
      </c>
      <c r="F92" s="35" t="n">
        <v>58.5</v>
      </c>
    </row>
    <row r="93">
      <c r="A93" s="35" t="inlineStr">
        <is>
          <t>Jacksonville State</t>
        </is>
      </c>
      <c r="B93" s="35" t="n">
        <v>58</v>
      </c>
      <c r="C93" s="35" t="n">
        <v>57.7</v>
      </c>
      <c r="D93" s="35" t="n">
        <v>57.9</v>
      </c>
      <c r="E93" s="35" t="n">
        <v>58</v>
      </c>
      <c r="F93" s="35" t="n">
        <v>58</v>
      </c>
    </row>
    <row r="94">
      <c r="A94" s="35" t="inlineStr">
        <is>
          <t>Louisiana</t>
        </is>
      </c>
      <c r="B94" s="35" t="n">
        <v>54.3</v>
      </c>
      <c r="C94" s="35" t="n">
        <v>54.8</v>
      </c>
      <c r="D94" s="35" t="n">
        <v>55.3</v>
      </c>
      <c r="E94" s="35" t="n">
        <v>57</v>
      </c>
      <c r="F94" s="35" t="n">
        <v>57</v>
      </c>
    </row>
    <row r="95">
      <c r="A95" s="35" t="inlineStr">
        <is>
          <t>Tulsa</t>
        </is>
      </c>
      <c r="B95" s="35" t="n">
        <v>55.3</v>
      </c>
      <c r="C95" s="35" t="n">
        <v>55.4</v>
      </c>
      <c r="D95" s="35" t="n">
        <v>58.2</v>
      </c>
      <c r="E95" s="35" t="n">
        <v>55.9</v>
      </c>
      <c r="F95" s="35" t="n">
        <v>56.9</v>
      </c>
    </row>
    <row r="96">
      <c r="A96" s="35" t="inlineStr">
        <is>
          <t>Syracuse</t>
        </is>
      </c>
      <c r="B96" s="35" t="n">
        <v>55.7</v>
      </c>
      <c r="C96" s="35" t="n">
        <v>56.3</v>
      </c>
      <c r="D96" s="35" t="n">
        <v>56.8</v>
      </c>
      <c r="E96" s="35" t="n">
        <v>56.8</v>
      </c>
      <c r="F96" s="35" t="n">
        <v>56.8</v>
      </c>
    </row>
    <row r="97">
      <c r="A97" s="35" t="inlineStr">
        <is>
          <t>Louisiana Tech</t>
        </is>
      </c>
      <c r="B97" s="35" t="n">
        <v>58.3</v>
      </c>
      <c r="C97" s="35" t="n">
        <v>57.3</v>
      </c>
      <c r="D97" s="35" t="n">
        <v>56.7</v>
      </c>
      <c r="E97" s="35" t="n">
        <v>56.7</v>
      </c>
      <c r="F97" s="35" t="n">
        <v>56.7</v>
      </c>
    </row>
    <row r="98">
      <c r="A98" s="35" t="inlineStr">
        <is>
          <t>Arkansas State</t>
        </is>
      </c>
      <c r="B98" s="35" t="n">
        <v>54.6</v>
      </c>
      <c r="C98" s="35" t="n">
        <v>58.5</v>
      </c>
      <c r="D98" s="35" t="n">
        <v>56.6</v>
      </c>
      <c r="E98" s="35" t="n">
        <v>56.6</v>
      </c>
      <c r="F98" s="35" t="n">
        <v>56.6</v>
      </c>
    </row>
    <row r="99">
      <c r="A99" s="35" t="inlineStr">
        <is>
          <t>Purdue</t>
        </is>
      </c>
      <c r="B99" s="35" t="n">
        <v>56.7</v>
      </c>
      <c r="C99" s="35" t="n">
        <v>57.9</v>
      </c>
      <c r="D99" s="35" t="n">
        <v>57</v>
      </c>
      <c r="E99" s="35" t="n">
        <v>56.5</v>
      </c>
      <c r="F99" s="35" t="n">
        <v>56.5</v>
      </c>
    </row>
    <row r="100">
      <c r="A100" s="35" t="inlineStr">
        <is>
          <t>Stanford</t>
        </is>
      </c>
      <c r="B100" s="35" t="n">
        <v>61.4</v>
      </c>
      <c r="C100" s="35" t="n">
        <v>61.4</v>
      </c>
      <c r="D100" s="35" t="n">
        <v>59.9</v>
      </c>
      <c r="E100" s="35" t="n">
        <v>61.4</v>
      </c>
      <c r="F100" s="35" t="n">
        <v>56.3</v>
      </c>
    </row>
    <row r="101">
      <c r="A101" s="35" t="inlineStr">
        <is>
          <t>Georgia Southern</t>
        </is>
      </c>
      <c r="B101" s="35" t="n">
        <v>56.1</v>
      </c>
      <c r="C101" s="35" t="n">
        <v>55.8</v>
      </c>
      <c r="D101" s="35" t="n">
        <v>55.6</v>
      </c>
      <c r="E101" s="35" t="n">
        <v>56</v>
      </c>
      <c r="F101" s="35" t="n">
        <v>56</v>
      </c>
    </row>
    <row r="102">
      <c r="A102" s="35" t="inlineStr">
        <is>
          <t>Boston College</t>
        </is>
      </c>
      <c r="B102" s="35" t="n">
        <v>57.5</v>
      </c>
      <c r="C102" s="35" t="n">
        <v>56.6</v>
      </c>
      <c r="D102" s="35" t="n">
        <v>55.1</v>
      </c>
      <c r="E102" s="35" t="n">
        <v>55.2</v>
      </c>
      <c r="F102" s="35" t="n">
        <v>55.9</v>
      </c>
    </row>
    <row r="103">
      <c r="A103" s="35" t="inlineStr">
        <is>
          <t>Florida Atlantic</t>
        </is>
      </c>
      <c r="B103" s="35" t="n">
        <v>50.4</v>
      </c>
      <c r="C103" s="35" t="n">
        <v>53.3</v>
      </c>
      <c r="D103" s="35" t="n">
        <v>54.2</v>
      </c>
      <c r="E103" s="35" t="n">
        <v>55.8</v>
      </c>
      <c r="F103" s="35" t="n">
        <v>55.8</v>
      </c>
    </row>
    <row r="104">
      <c r="A104" s="35" t="inlineStr">
        <is>
          <t>Florida International</t>
        </is>
      </c>
      <c r="B104" s="35" t="n">
        <v>55.5</v>
      </c>
      <c r="C104" s="35" t="n">
        <v>56.4</v>
      </c>
      <c r="D104" s="35" t="n">
        <v>55.5</v>
      </c>
      <c r="E104" s="35" t="n">
        <v>55.6</v>
      </c>
      <c r="F104" s="35" t="n">
        <v>55.3</v>
      </c>
    </row>
    <row r="105">
      <c r="A105" s="35" t="inlineStr">
        <is>
          <t>Delaware</t>
        </is>
      </c>
      <c r="B105" s="35" t="n">
        <v>56.1</v>
      </c>
      <c r="C105" s="35" t="n">
        <v>57.4</v>
      </c>
      <c r="D105" s="35" t="n">
        <v>57.8</v>
      </c>
      <c r="E105" s="35" t="n">
        <v>55.9</v>
      </c>
      <c r="F105" s="35" t="n">
        <v>54.6</v>
      </c>
    </row>
    <row r="106">
      <c r="A106" s="35" t="inlineStr">
        <is>
          <t>UConn</t>
        </is>
      </c>
      <c r="B106" s="35" t="n">
        <v>57.3</v>
      </c>
      <c r="C106" s="35" t="n">
        <v>54.7</v>
      </c>
      <c r="D106" s="35" t="n">
        <v>57.3</v>
      </c>
      <c r="E106" s="35" t="n">
        <v>54.4</v>
      </c>
      <c r="F106" s="35" t="n">
        <v>54.4</v>
      </c>
    </row>
    <row r="107">
      <c r="A107" s="35" t="inlineStr">
        <is>
          <t>Colorado State</t>
        </is>
      </c>
      <c r="B107" s="35" t="n">
        <v>51</v>
      </c>
      <c r="C107" s="35" t="n">
        <v>53.6</v>
      </c>
      <c r="D107" s="35" t="n">
        <v>53.8</v>
      </c>
      <c r="E107" s="35" t="n">
        <v>54.3</v>
      </c>
      <c r="F107" s="35" t="n">
        <v>54.3</v>
      </c>
    </row>
    <row r="108">
      <c r="A108" s="35" t="inlineStr">
        <is>
          <t>Troy</t>
        </is>
      </c>
      <c r="B108" s="35" t="n">
        <v>53.1</v>
      </c>
      <c r="C108" s="35" t="n">
        <v>53.7</v>
      </c>
      <c r="D108" s="35" t="n">
        <v>54.6</v>
      </c>
      <c r="E108" s="35" t="n">
        <v>54.2</v>
      </c>
      <c r="F108" s="35" t="n">
        <v>54.2</v>
      </c>
    </row>
    <row r="109">
      <c r="A109" s="35" t="inlineStr">
        <is>
          <t>Western Kentucky</t>
        </is>
      </c>
      <c r="B109" s="35" t="n">
        <v>56.1</v>
      </c>
      <c r="C109" s="35" t="n">
        <v>53.9</v>
      </c>
      <c r="D109" s="35" t="n">
        <v>54.4</v>
      </c>
      <c r="E109" s="35" t="n">
        <v>57.1</v>
      </c>
      <c r="F109" s="35" t="n">
        <v>53.9</v>
      </c>
    </row>
    <row r="110">
      <c r="A110" s="35" t="inlineStr">
        <is>
          <t>Missouri State</t>
        </is>
      </c>
      <c r="B110" s="35" t="n">
        <v>50.7</v>
      </c>
      <c r="C110" s="35" t="n">
        <v>53.9</v>
      </c>
      <c r="D110" s="35" t="n">
        <v>52.6</v>
      </c>
      <c r="E110" s="35" t="n">
        <v>53.9</v>
      </c>
      <c r="F110" s="35" t="n">
        <v>53.5</v>
      </c>
    </row>
    <row r="111">
      <c r="A111" s="35" t="inlineStr">
        <is>
          <t>UAB</t>
        </is>
      </c>
      <c r="B111" s="35" t="n">
        <v>52.6</v>
      </c>
      <c r="C111" s="35" t="n">
        <v>52.2</v>
      </c>
      <c r="D111" s="35" t="n">
        <v>51.7</v>
      </c>
      <c r="E111" s="35" t="n">
        <v>53.3</v>
      </c>
      <c r="F111" s="35" t="n">
        <v>53.3</v>
      </c>
    </row>
    <row r="112">
      <c r="A112" s="35" t="inlineStr">
        <is>
          <t>Hawai'i</t>
        </is>
      </c>
      <c r="B112" s="35" t="n">
        <v>54.2</v>
      </c>
      <c r="C112" s="35" t="n">
        <v>55.4</v>
      </c>
      <c r="D112" s="35" t="n">
        <v>55.4</v>
      </c>
      <c r="E112" s="35" t="n">
        <v>53.2</v>
      </c>
      <c r="F112" s="35" t="n">
        <v>53.2</v>
      </c>
    </row>
    <row r="113">
      <c r="A113" s="35" t="inlineStr">
        <is>
          <t>Central Michigan</t>
        </is>
      </c>
      <c r="B113" s="35" t="n">
        <v>55</v>
      </c>
      <c r="C113" s="35" t="n">
        <v>53.8</v>
      </c>
      <c r="D113" s="35" t="n">
        <v>54.6</v>
      </c>
      <c r="E113" s="35" t="n">
        <v>53.1</v>
      </c>
      <c r="F113" s="35" t="n">
        <v>53.1</v>
      </c>
    </row>
    <row r="114">
      <c r="A114" s="35" t="inlineStr">
        <is>
          <t>Kennesaw State</t>
        </is>
      </c>
      <c r="B114" s="35" t="n">
        <v>56</v>
      </c>
      <c r="C114" s="35" t="n">
        <v>53.7</v>
      </c>
      <c r="D114" s="35" t="n">
        <v>52.6</v>
      </c>
      <c r="E114" s="35" t="n">
        <v>52.5</v>
      </c>
      <c r="F114" s="35" t="n">
        <v>52.5</v>
      </c>
    </row>
    <row r="115">
      <c r="A115" s="35" t="inlineStr">
        <is>
          <t>South Alabama</t>
        </is>
      </c>
      <c r="B115" s="35" t="n">
        <v>51.6</v>
      </c>
      <c r="C115" s="35" t="n">
        <v>52.5</v>
      </c>
      <c r="D115" s="35" t="n">
        <v>53.3</v>
      </c>
      <c r="E115" s="35" t="n">
        <v>52.3</v>
      </c>
      <c r="F115" s="35" t="n">
        <v>52.3</v>
      </c>
    </row>
    <row r="116">
      <c r="A116" s="35" t="inlineStr">
        <is>
          <t>Nevada</t>
        </is>
      </c>
      <c r="B116" s="35" t="n">
        <v>54.6</v>
      </c>
      <c r="C116" s="35" t="n">
        <v>52.7</v>
      </c>
      <c r="D116" s="35" t="n">
        <v>51.8</v>
      </c>
      <c r="E116" s="35" t="n">
        <v>52.1</v>
      </c>
      <c r="F116" s="35" t="n">
        <v>52.1</v>
      </c>
    </row>
    <row r="117">
      <c r="A117" s="35" t="inlineStr">
        <is>
          <t>App State</t>
        </is>
      </c>
      <c r="B117" s="35" t="n">
        <v>49.2</v>
      </c>
      <c r="C117" s="35" t="n">
        <v>51</v>
      </c>
      <c r="D117" s="35" t="n">
        <v>50.9</v>
      </c>
      <c r="E117" s="35" t="n">
        <v>51.9</v>
      </c>
      <c r="F117" s="35" t="n">
        <v>52</v>
      </c>
    </row>
    <row r="118">
      <c r="A118" s="35" t="inlineStr">
        <is>
          <t>New Mexico State</t>
        </is>
      </c>
      <c r="B118" s="35" t="n">
        <v>50.6</v>
      </c>
      <c r="C118" s="35" t="n">
        <v>49.5</v>
      </c>
      <c r="D118" s="35" t="n">
        <v>49.5</v>
      </c>
      <c r="E118" s="35" t="n">
        <v>49.1</v>
      </c>
      <c r="F118" s="35" t="n">
        <v>51.9</v>
      </c>
    </row>
    <row r="119">
      <c r="A119" s="35" t="inlineStr">
        <is>
          <t>Coastal Carolina</t>
        </is>
      </c>
      <c r="B119" s="35" t="n">
        <v>51</v>
      </c>
      <c r="C119" s="35" t="n">
        <v>54.1</v>
      </c>
      <c r="D119" s="35" t="n">
        <v>53</v>
      </c>
      <c r="E119" s="35" t="n">
        <v>51.7</v>
      </c>
      <c r="F119" s="35" t="n">
        <v>51.8</v>
      </c>
    </row>
    <row r="120">
      <c r="A120" s="35" t="inlineStr">
        <is>
          <t>Marshall</t>
        </is>
      </c>
      <c r="B120" s="35" t="n">
        <v>52.1</v>
      </c>
      <c r="C120" s="35" t="n">
        <v>51.8</v>
      </c>
      <c r="D120" s="35" t="n">
        <v>52.5</v>
      </c>
      <c r="E120" s="35" t="n">
        <v>51.4</v>
      </c>
      <c r="F120" s="35" t="n">
        <v>51.3</v>
      </c>
    </row>
    <row r="121">
      <c r="A121" s="35" t="inlineStr">
        <is>
          <t>Southern Miss</t>
        </is>
      </c>
      <c r="B121" s="35" t="n">
        <v>54.4</v>
      </c>
      <c r="C121" s="35" t="n">
        <v>52.7</v>
      </c>
      <c r="D121" s="35" t="n">
        <v>50.1</v>
      </c>
      <c r="E121" s="35" t="n">
        <v>51.3</v>
      </c>
      <c r="F121" s="35" t="n">
        <v>51.3</v>
      </c>
    </row>
    <row r="122">
      <c r="A122" s="35" t="inlineStr">
        <is>
          <t>Georgia State</t>
        </is>
      </c>
      <c r="B122" s="35" t="n">
        <v>47.4</v>
      </c>
      <c r="C122" s="35" t="n">
        <v>49.7</v>
      </c>
      <c r="D122" s="35" t="n">
        <v>49.6</v>
      </c>
      <c r="E122" s="35" t="n">
        <v>51.2</v>
      </c>
      <c r="F122" s="35" t="n">
        <v>51.2</v>
      </c>
    </row>
    <row r="123">
      <c r="A123" s="35" t="inlineStr">
        <is>
          <t>San José State</t>
        </is>
      </c>
      <c r="B123" s="35" t="n">
        <v>51.7</v>
      </c>
      <c r="C123" s="35" t="n">
        <v>51.6</v>
      </c>
      <c r="D123" s="35" t="n">
        <v>50.5</v>
      </c>
      <c r="E123" s="35" t="n">
        <v>50.4</v>
      </c>
      <c r="F123" s="35" t="n">
        <v>50.4</v>
      </c>
    </row>
    <row r="124">
      <c r="A124" s="35" t="inlineStr">
        <is>
          <t>Buffalo</t>
        </is>
      </c>
      <c r="B124" s="35" t="n">
        <v>51.5</v>
      </c>
      <c r="C124" s="35" t="n">
        <v>50.6</v>
      </c>
      <c r="D124" s="35" t="n">
        <v>49.7</v>
      </c>
      <c r="E124" s="35" t="n">
        <v>48.8</v>
      </c>
      <c r="F124" s="35" t="n">
        <v>50</v>
      </c>
    </row>
    <row r="125">
      <c r="A125" s="35" t="inlineStr">
        <is>
          <t>Wyoming</t>
        </is>
      </c>
      <c r="B125" s="35" t="n">
        <v>48.6</v>
      </c>
      <c r="C125" s="35" t="n">
        <v>48.8</v>
      </c>
      <c r="D125" s="35" t="n">
        <v>47.5</v>
      </c>
      <c r="E125" s="35" t="n">
        <v>49.6</v>
      </c>
      <c r="F125" s="35" t="n">
        <v>49.6</v>
      </c>
    </row>
    <row r="126">
      <c r="A126" s="35" t="inlineStr">
        <is>
          <t>Rice</t>
        </is>
      </c>
      <c r="B126" s="35" t="n">
        <v>46.8</v>
      </c>
      <c r="C126" s="35" t="n">
        <v>45.8</v>
      </c>
      <c r="D126" s="35" t="n">
        <v>47.4</v>
      </c>
      <c r="E126" s="35" t="n">
        <v>47.3</v>
      </c>
      <c r="F126" s="35" t="n">
        <v>47.3</v>
      </c>
    </row>
    <row r="127">
      <c r="A127" s="35" t="inlineStr">
        <is>
          <t>Akron</t>
        </is>
      </c>
      <c r="B127" s="35" t="n">
        <v>48.5</v>
      </c>
      <c r="C127" s="35" t="n">
        <v>51.5</v>
      </c>
      <c r="D127" s="35" t="n">
        <v>49.3</v>
      </c>
      <c r="E127" s="35" t="n">
        <v>47.4</v>
      </c>
      <c r="F127" s="35" t="n">
        <v>47.2</v>
      </c>
    </row>
    <row r="128">
      <c r="A128" s="35" t="inlineStr">
        <is>
          <t>Eastern Michigan</t>
        </is>
      </c>
      <c r="B128" s="35" t="n">
        <v>47.2</v>
      </c>
      <c r="C128" s="35" t="n">
        <v>46.4</v>
      </c>
      <c r="D128" s="35" t="n">
        <v>44.4</v>
      </c>
      <c r="E128" s="35" t="n">
        <v>46.8</v>
      </c>
      <c r="F128" s="35" t="n">
        <v>46.4</v>
      </c>
    </row>
    <row r="129">
      <c r="A129" s="35" t="inlineStr">
        <is>
          <t>Kent State</t>
        </is>
      </c>
      <c r="B129" s="35" t="n">
        <v>45.6</v>
      </c>
      <c r="C129" s="35" t="n">
        <v>47.5</v>
      </c>
      <c r="D129" s="35" t="n">
        <v>45.5</v>
      </c>
      <c r="E129" s="35" t="n">
        <v>46.3</v>
      </c>
      <c r="F129" s="35" t="n">
        <v>46.3</v>
      </c>
    </row>
    <row r="130">
      <c r="A130" s="35" t="inlineStr">
        <is>
          <t>Sam Houston</t>
        </is>
      </c>
      <c r="B130" s="35" t="n">
        <v>41.1</v>
      </c>
      <c r="C130" s="35" t="n">
        <v>41.1</v>
      </c>
      <c r="D130" s="35" t="n">
        <v>46.5</v>
      </c>
      <c r="E130" s="35" t="n">
        <v>46.2</v>
      </c>
      <c r="F130" s="35" t="n">
        <v>46.2</v>
      </c>
    </row>
    <row r="131">
      <c r="A131" s="35" t="inlineStr">
        <is>
          <t>Bowling Green</t>
        </is>
      </c>
      <c r="B131" s="35" t="n">
        <v>48.8</v>
      </c>
      <c r="C131" s="35" t="n">
        <v>46.2</v>
      </c>
      <c r="D131" s="35" t="n">
        <v>43.7</v>
      </c>
      <c r="E131" s="35" t="n">
        <v>45.4</v>
      </c>
      <c r="F131" s="35" t="n">
        <v>45.4</v>
      </c>
    </row>
    <row r="132">
      <c r="A132" s="35" t="inlineStr">
        <is>
          <t>Massachusetts</t>
        </is>
      </c>
      <c r="B132" s="35" t="n">
        <v>37.6</v>
      </c>
      <c r="C132" s="35" t="n">
        <v>41.2</v>
      </c>
      <c r="D132" s="35" t="n">
        <v>41.1</v>
      </c>
      <c r="E132" s="35" t="n">
        <v>45.6</v>
      </c>
      <c r="F132" s="35" t="n">
        <v>45.4</v>
      </c>
    </row>
    <row r="133">
      <c r="A133" s="35" t="inlineStr">
        <is>
          <t>Middle Tennessee</t>
        </is>
      </c>
      <c r="B133" s="35" t="n">
        <v>47</v>
      </c>
      <c r="C133" s="35" t="n">
        <v>47.4</v>
      </c>
      <c r="D133" s="35" t="n">
        <v>48.6</v>
      </c>
      <c r="E133" s="35" t="n">
        <v>48.5</v>
      </c>
      <c r="F133" s="35" t="n">
        <v>44.2</v>
      </c>
    </row>
    <row r="134">
      <c r="A134" s="35" t="inlineStr">
        <is>
          <t>Northern Illinois</t>
        </is>
      </c>
      <c r="B134" s="35" t="n">
        <v>44.3</v>
      </c>
      <c r="C134" s="35" t="n">
        <v>43.6</v>
      </c>
      <c r="D134" s="35" t="n">
        <v>44.2</v>
      </c>
      <c r="E134" s="35" t="n">
        <v>42.6</v>
      </c>
      <c r="F134" s="35" t="n">
        <v>42.6</v>
      </c>
    </row>
    <row r="135">
      <c r="A135" s="35" t="inlineStr">
        <is>
          <t>UTEP</t>
        </is>
      </c>
      <c r="B135" s="35" t="n">
        <v>40.8</v>
      </c>
      <c r="C135" s="35" t="n">
        <v>44.5</v>
      </c>
      <c r="D135" s="35" t="n">
        <v>43.4</v>
      </c>
      <c r="E135" s="35" t="n">
        <v>42.3</v>
      </c>
      <c r="F135" s="35" t="n">
        <v>42.3</v>
      </c>
    </row>
    <row r="136">
      <c r="A136" s="35" t="inlineStr">
        <is>
          <t>Ball State</t>
        </is>
      </c>
      <c r="B136" s="35" t="n">
        <v>43</v>
      </c>
      <c r="C136" s="35" t="n">
        <v>45</v>
      </c>
      <c r="D136" s="35" t="n">
        <v>42.1</v>
      </c>
      <c r="E136" s="35" t="n">
        <v>41.2</v>
      </c>
      <c r="F136" s="35" t="n">
        <v>41.2</v>
      </c>
    </row>
    <row r="137">
      <c r="A137" s="35" t="inlineStr">
        <is>
          <t>UL Monroe</t>
        </is>
      </c>
      <c r="B137" s="35" t="n">
        <v>42.9</v>
      </c>
      <c r="C137" s="35" t="n">
        <v>43.3</v>
      </c>
      <c r="D137" s="35" t="n">
        <v>42.1</v>
      </c>
      <c r="E137" s="35" t="n">
        <v>40.7</v>
      </c>
      <c r="F137" s="35" t="n">
        <v>40.7</v>
      </c>
    </row>
    <row r="138">
      <c r="A138" s="35" t="inlineStr">
        <is>
          <t>Charlotte</t>
        </is>
      </c>
      <c r="B138" s="35" t="n">
        <v>44</v>
      </c>
      <c r="C138" s="35" t="n">
        <v>44.9</v>
      </c>
      <c r="D138" s="35" t="n">
        <v>45</v>
      </c>
      <c r="E138" s="35" t="n">
        <v>43.3</v>
      </c>
      <c r="F138" s="35" t="n">
        <v>40.4</v>
      </c>
    </row>
    <row r="139">
      <c r="A139" s="35" t="inlineStr">
        <is>
          <t>Sacramento State</t>
        </is>
      </c>
      <c r="B139" s="35" t="n">
        <v>41</v>
      </c>
      <c r="C139" s="35" t="n">
        <v>37.9</v>
      </c>
      <c r="D139" s="35" t="n">
        <v>39.8</v>
      </c>
      <c r="E139" s="35" t="n">
        <v>37.3</v>
      </c>
      <c r="F139" s="35" t="n">
        <v>37.2</v>
      </c>
    </row>
  </sheetData>
  <dataValidations count="1">
    <dataValidation sqref="W3:W4" showDropDown="0" showInputMessage="0" showErrorMessage="0" allowBlank="1" type="list">
      <formula1>$A$2:$A$139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zoomScale="67" workbookViewId="0">
      <selection pane="bottomLeft" activeCell="H28" sqref="H28"/>
    </sheetView>
  </sheetViews>
  <sheetFormatPr baseColWidth="8" defaultRowHeight="14.5"/>
  <cols>
    <col width="16" bestFit="1" customWidth="1" min="1" max="1"/>
    <col width="6" bestFit="1" customWidth="1" min="2" max="2"/>
    <col width="12" customWidth="1" min="3" max="3"/>
    <col width="16" customWidth="1" min="4" max="4"/>
    <col width="7" customWidth="1" min="5" max="5"/>
    <col width="13" customWidth="1" min="6" max="6"/>
    <col width="15" customWidth="1" min="7" max="7"/>
    <col width="11" customWidth="1" min="8" max="8"/>
    <col width="13" customWidth="1" min="9" max="9"/>
  </cols>
  <sheetData>
    <row r="1" ht="15.5" customHeight="1">
      <c r="A1" s="34" t="inlineStr">
        <is>
          <t>MW Team ATS -- 2026 Season (graded vs. the real market line, not any model)</t>
        </is>
      </c>
    </row>
    <row r="3">
      <c r="A3" s="33" t="inlineStr">
        <is>
          <t>Team</t>
        </is>
      </c>
      <c r="B3" s="33" t="inlineStr">
        <is>
          <t>ATS Record (C-L-P)</t>
        </is>
      </c>
      <c r="C3" s="33" t="inlineStr">
        <is>
          <t>Cover %</t>
        </is>
      </c>
    </row>
    <row r="4">
      <c r="A4" s="35" t="inlineStr">
        <is>
          <t>Air Force</t>
        </is>
      </c>
      <c r="B4" s="35" t="inlineStr">
        <is>
          <t>2-2-0</t>
        </is>
      </c>
      <c r="C4" s="38" t="n">
        <v>0.5</v>
      </c>
    </row>
    <row r="5">
      <c r="A5" s="35" t="inlineStr">
        <is>
          <t>Hawai'i</t>
        </is>
      </c>
      <c r="B5" s="35" t="inlineStr">
        <is>
          <t>1-3-0</t>
        </is>
      </c>
      <c r="C5" s="38" t="n">
        <v>0.25</v>
      </c>
    </row>
    <row r="6">
      <c r="A6" s="35" t="inlineStr">
        <is>
          <t>Nevada</t>
        </is>
      </c>
      <c r="B6" s="35" t="inlineStr">
        <is>
          <t>2-2-0</t>
        </is>
      </c>
      <c r="C6" s="38" t="n">
        <v>0.5</v>
      </c>
    </row>
    <row r="7">
      <c r="A7" s="35" t="inlineStr">
        <is>
          <t>New Mexico</t>
        </is>
      </c>
      <c r="B7" s="35" t="inlineStr">
        <is>
          <t>4-0-0</t>
        </is>
      </c>
      <c r="C7" s="38" t="n">
        <v>1</v>
      </c>
    </row>
    <row r="8">
      <c r="A8" s="35" t="inlineStr">
        <is>
          <t>North Dakota State</t>
        </is>
      </c>
      <c r="B8" s="35" t="inlineStr">
        <is>
          <t>2-2-0</t>
        </is>
      </c>
      <c r="C8" s="38" t="n">
        <v>0.5</v>
      </c>
    </row>
    <row r="9">
      <c r="A9" s="35" t="inlineStr">
        <is>
          <t>Northern Illinois</t>
        </is>
      </c>
      <c r="B9" s="35" t="inlineStr">
        <is>
          <t>1-3-0</t>
        </is>
      </c>
      <c r="C9" s="38" t="n">
        <v>0.25</v>
      </c>
    </row>
    <row r="10">
      <c r="A10" s="35" t="inlineStr">
        <is>
          <t>San José State</t>
        </is>
      </c>
      <c r="B10" s="35" t="inlineStr">
        <is>
          <t>2-2-0</t>
        </is>
      </c>
      <c r="C10" s="38" t="n">
        <v>0.5</v>
      </c>
    </row>
    <row r="11">
      <c r="A11" s="35" t="inlineStr">
        <is>
          <t>UNLV</t>
        </is>
      </c>
      <c r="B11" s="35" t="inlineStr">
        <is>
          <t>2-2-0</t>
        </is>
      </c>
      <c r="C11" s="38" t="n">
        <v>0.5</v>
      </c>
    </row>
    <row r="12">
      <c r="A12" s="35" t="inlineStr">
        <is>
          <t>UTEP</t>
        </is>
      </c>
      <c r="B12" s="35" t="inlineStr">
        <is>
          <t>1-3-0</t>
        </is>
      </c>
      <c r="C12" s="38" t="n">
        <v>0.25</v>
      </c>
    </row>
    <row r="13">
      <c r="A13" s="35" t="inlineStr">
        <is>
          <t>Wyoming</t>
        </is>
      </c>
      <c r="B13" s="35" t="inlineStr">
        <is>
          <t>1-3-0</t>
        </is>
      </c>
      <c r="C13" s="38" t="n">
        <v>0.25</v>
      </c>
    </row>
    <row r="16" ht="26.5" customHeight="1">
      <c r="A16" s="39" t="inlineStr">
        <is>
          <t>Team</t>
        </is>
      </c>
      <c r="B16" s="39" t="inlineStr">
        <is>
          <t>Week</t>
        </is>
      </c>
      <c r="C16" s="39" t="inlineStr">
        <is>
          <t>Date</t>
        </is>
      </c>
      <c r="D16" s="39" t="inlineStr">
        <is>
          <t>Opponent</t>
        </is>
      </c>
      <c r="E16" s="39" t="inlineStr">
        <is>
          <t>Site</t>
        </is>
      </c>
      <c r="F16" s="39" t="inlineStr">
        <is>
          <t>Team's Spread</t>
        </is>
      </c>
      <c r="G16" s="39" t="inlineStr">
        <is>
          <t>Result (Margin)</t>
        </is>
      </c>
      <c r="H16" s="39" t="inlineStr">
        <is>
          <t>ATS Result</t>
        </is>
      </c>
      <c r="I16" s="39" t="inlineStr">
        <is>
          <t>Cover Margin</t>
        </is>
      </c>
    </row>
    <row r="17">
      <c r="A17" s="35" t="inlineStr">
        <is>
          <t>Air Force</t>
        </is>
      </c>
      <c r="B17" s="35" t="n">
        <v>1</v>
      </c>
      <c r="C17" s="35" t="inlineStr">
        <is>
          <t>2026-09-05</t>
        </is>
      </c>
      <c r="D17" s="35" t="inlineStr">
        <is>
          <t>Duquesne</t>
        </is>
      </c>
      <c r="E17" s="35" t="inlineStr">
        <is>
          <t>Home</t>
        </is>
      </c>
      <c r="F17" s="35" t="n">
        <v>-30</v>
      </c>
      <c r="G17" s="35" t="n">
        <v>34</v>
      </c>
      <c r="H17" s="40" t="inlineStr">
        <is>
          <t>Cover</t>
        </is>
      </c>
      <c r="I17" s="35" t="n">
        <v>4</v>
      </c>
    </row>
    <row r="18">
      <c r="A18" s="35" t="inlineStr">
        <is>
          <t>Air Force</t>
        </is>
      </c>
      <c r="B18" s="35" t="n">
        <v>2</v>
      </c>
      <c r="C18" s="35" t="inlineStr">
        <is>
          <t>2026-09-13</t>
        </is>
      </c>
      <c r="D18" s="35" t="inlineStr">
        <is>
          <t>North Dakota State</t>
        </is>
      </c>
      <c r="E18" s="35" t="inlineStr">
        <is>
          <t>Home</t>
        </is>
      </c>
      <c r="F18" s="35" t="n">
        <v>1.8</v>
      </c>
      <c r="G18" s="35" t="n">
        <v>-6</v>
      </c>
      <c r="H18" s="41" t="inlineStr">
        <is>
          <t>No Cover</t>
        </is>
      </c>
      <c r="I18" s="35" t="n">
        <v>-4.2</v>
      </c>
    </row>
    <row r="19">
      <c r="A19" s="35" t="inlineStr">
        <is>
          <t>Air Force</t>
        </is>
      </c>
      <c r="B19" s="35" t="n">
        <v>4</v>
      </c>
      <c r="C19" s="35" t="inlineStr">
        <is>
          <t>2026-09-27</t>
        </is>
      </c>
      <c r="D19" s="35" t="inlineStr">
        <is>
          <t>Nevada</t>
        </is>
      </c>
      <c r="E19" s="35" t="inlineStr">
        <is>
          <t>Away</t>
        </is>
      </c>
      <c r="F19" s="35" t="n">
        <v>-5.2</v>
      </c>
      <c r="G19" s="35" t="n">
        <v>3</v>
      </c>
      <c r="H19" s="41" t="inlineStr">
        <is>
          <t>No Cover</t>
        </is>
      </c>
      <c r="I19" s="35" t="n">
        <v>-2.2</v>
      </c>
    </row>
    <row r="20">
      <c r="A20" s="35" t="inlineStr">
        <is>
          <t>Air Force</t>
        </is>
      </c>
      <c r="B20" s="35" t="n">
        <v>5</v>
      </c>
      <c r="C20" s="35" t="inlineStr">
        <is>
          <t>2026-10-03</t>
        </is>
      </c>
      <c r="D20" s="35" t="inlineStr">
        <is>
          <t>Navy</t>
        </is>
      </c>
      <c r="E20" s="35" t="inlineStr">
        <is>
          <t>Home</t>
        </is>
      </c>
      <c r="F20" s="35" t="n">
        <v>-3.2</v>
      </c>
      <c r="G20" s="35" t="n">
        <v>5</v>
      </c>
      <c r="H20" s="40" t="inlineStr">
        <is>
          <t>Cover</t>
        </is>
      </c>
      <c r="I20" s="35" t="n">
        <v>1.8</v>
      </c>
    </row>
    <row r="21">
      <c r="A21" s="35" t="inlineStr">
        <is>
          <t>Hawai'i</t>
        </is>
      </c>
      <c r="B21" s="35" t="n">
        <v>1</v>
      </c>
      <c r="C21" s="35" t="inlineStr">
        <is>
          <t>2026-08-29</t>
        </is>
      </c>
      <c r="D21" s="35" t="inlineStr">
        <is>
          <t>Stanford</t>
        </is>
      </c>
      <c r="E21" s="35" t="inlineStr">
        <is>
          <t>Away</t>
        </is>
      </c>
      <c r="F21" s="35" t="n">
        <v>4.8</v>
      </c>
      <c r="G21" s="35" t="n">
        <v>-10</v>
      </c>
      <c r="H21" s="41" t="inlineStr">
        <is>
          <t>No Cover</t>
        </is>
      </c>
      <c r="I21" s="35" t="n">
        <v>-5.2</v>
      </c>
    </row>
    <row r="22">
      <c r="A22" s="35" t="inlineStr">
        <is>
          <t>Hawai'i</t>
        </is>
      </c>
      <c r="B22" s="35" t="n">
        <v>1</v>
      </c>
      <c r="C22" s="35" t="inlineStr">
        <is>
          <t>2026-09-06</t>
        </is>
      </c>
      <c r="D22" s="35" t="inlineStr">
        <is>
          <t>UNLV</t>
        </is>
      </c>
      <c r="E22" s="35" t="inlineStr">
        <is>
          <t>Home</t>
        </is>
      </c>
      <c r="F22" s="35" t="n">
        <v>2.8</v>
      </c>
      <c r="G22" s="35" t="n">
        <v>-15</v>
      </c>
      <c r="H22" s="41" t="inlineStr">
        <is>
          <t>No Cover</t>
        </is>
      </c>
      <c r="I22" s="35" t="n">
        <v>-12.2</v>
      </c>
    </row>
    <row r="23">
      <c r="A23" s="35" t="inlineStr">
        <is>
          <t>Hawai'i</t>
        </is>
      </c>
      <c r="B23" s="35" t="n">
        <v>2</v>
      </c>
      <c r="C23" s="35" t="inlineStr">
        <is>
          <t>2026-09-13</t>
        </is>
      </c>
      <c r="D23" s="35" t="inlineStr">
        <is>
          <t>New Mexico State</t>
        </is>
      </c>
      <c r="E23" s="35" t="inlineStr">
        <is>
          <t>Home</t>
        </is>
      </c>
      <c r="F23" s="35" t="n">
        <v>-7.5</v>
      </c>
      <c r="G23" s="35" t="n">
        <v>10</v>
      </c>
      <c r="H23" s="40" t="inlineStr">
        <is>
          <t>Cover</t>
        </is>
      </c>
      <c r="I23" s="35" t="n">
        <v>2.5</v>
      </c>
    </row>
    <row r="24">
      <c r="A24" s="35" t="inlineStr">
        <is>
          <t>Hawai'i</t>
        </is>
      </c>
      <c r="B24" s="35" t="n">
        <v>4</v>
      </c>
      <c r="C24" s="35" t="inlineStr">
        <is>
          <t>2026-09-26</t>
        </is>
      </c>
      <c r="D24" s="35" t="inlineStr">
        <is>
          <t>Wyoming</t>
        </is>
      </c>
      <c r="E24" s="35" t="inlineStr">
        <is>
          <t>Away</t>
        </is>
      </c>
      <c r="F24" s="35" t="n">
        <v>-2.2</v>
      </c>
      <c r="G24" s="35" t="n">
        <v>-17</v>
      </c>
      <c r="H24" s="41" t="inlineStr">
        <is>
          <t>No Cover</t>
        </is>
      </c>
      <c r="I24" s="35" t="n">
        <v>-19.2</v>
      </c>
    </row>
    <row r="25">
      <c r="A25" s="35" t="inlineStr">
        <is>
          <t>Nevada</t>
        </is>
      </c>
      <c r="B25" s="35" t="n">
        <v>1</v>
      </c>
      <c r="C25" s="35" t="inlineStr">
        <is>
          <t>2026-09-06</t>
        </is>
      </c>
      <c r="D25" s="35" t="inlineStr">
        <is>
          <t>Western Kentucky</t>
        </is>
      </c>
      <c r="E25" s="35" t="inlineStr">
        <is>
          <t>Home</t>
        </is>
      </c>
      <c r="F25" s="35" t="n">
        <v>0.2</v>
      </c>
      <c r="G25" s="35" t="n">
        <v>35</v>
      </c>
      <c r="H25" s="40" t="inlineStr">
        <is>
          <t>Cover</t>
        </is>
      </c>
      <c r="I25" s="35" t="n">
        <v>35.2</v>
      </c>
    </row>
    <row r="26">
      <c r="A26" s="35" t="inlineStr">
        <is>
          <t>Nevada</t>
        </is>
      </c>
      <c r="B26" s="35" t="n">
        <v>2</v>
      </c>
      <c r="C26" s="35" t="inlineStr">
        <is>
          <t>2026-09-13</t>
        </is>
      </c>
      <c r="D26" s="35" t="inlineStr">
        <is>
          <t>Montana State</t>
        </is>
      </c>
      <c r="E26" s="35" t="inlineStr">
        <is>
          <t>Home</t>
        </is>
      </c>
      <c r="F26" s="35" t="n">
        <v>5</v>
      </c>
      <c r="G26" s="35" t="n">
        <v>-13</v>
      </c>
      <c r="H26" s="41" t="inlineStr">
        <is>
          <t>No Cover</t>
        </is>
      </c>
      <c r="I26" s="35" t="n">
        <v>-8</v>
      </c>
    </row>
    <row r="27">
      <c r="A27" s="35" t="inlineStr">
        <is>
          <t>Nevada</t>
        </is>
      </c>
      <c r="B27" s="35" t="n">
        <v>3</v>
      </c>
      <c r="C27" s="35" t="inlineStr">
        <is>
          <t>2026-09-19</t>
        </is>
      </c>
      <c r="D27" s="35" t="inlineStr">
        <is>
          <t>Middle Tennessee</t>
        </is>
      </c>
      <c r="E27" s="35" t="inlineStr">
        <is>
          <t>Away</t>
        </is>
      </c>
      <c r="F27" s="35" t="n">
        <v>-3.8</v>
      </c>
      <c r="G27" s="35" t="n">
        <v>-7</v>
      </c>
      <c r="H27" s="41" t="inlineStr">
        <is>
          <t>No Cover</t>
        </is>
      </c>
      <c r="I27" s="35" t="n">
        <v>-10.8</v>
      </c>
    </row>
    <row r="28">
      <c r="A28" s="35" t="inlineStr">
        <is>
          <t>Nevada</t>
        </is>
      </c>
      <c r="B28" s="35" t="n">
        <v>4</v>
      </c>
      <c r="C28" s="35" t="inlineStr">
        <is>
          <t>2026-09-27</t>
        </is>
      </c>
      <c r="D28" s="35" t="inlineStr">
        <is>
          <t>Air Force</t>
        </is>
      </c>
      <c r="E28" s="35" t="inlineStr">
        <is>
          <t>Home</t>
        </is>
      </c>
      <c r="F28" s="35" t="n">
        <v>5.2</v>
      </c>
      <c r="G28" s="35" t="n">
        <v>-3</v>
      </c>
      <c r="H28" s="40" t="inlineStr">
        <is>
          <t>Cover</t>
        </is>
      </c>
      <c r="I28" s="35" t="n">
        <v>2.2</v>
      </c>
    </row>
    <row r="29">
      <c r="A29" s="35" t="inlineStr">
        <is>
          <t>New Mexico</t>
        </is>
      </c>
      <c r="B29" s="35" t="n">
        <v>1</v>
      </c>
      <c r="C29" s="35" t="inlineStr">
        <is>
          <t>2026-09-06</t>
        </is>
      </c>
      <c r="D29" s="35" t="inlineStr">
        <is>
          <t>Central Michigan</t>
        </is>
      </c>
      <c r="E29" s="35" t="inlineStr">
        <is>
          <t>Home</t>
        </is>
      </c>
      <c r="F29" s="35" t="n">
        <v>-11.2</v>
      </c>
      <c r="G29" s="35" t="n">
        <v>31</v>
      </c>
      <c r="H29" s="40" t="inlineStr">
        <is>
          <t>Cover</t>
        </is>
      </c>
      <c r="I29" s="35" t="n">
        <v>19.8</v>
      </c>
    </row>
    <row r="30">
      <c r="A30" s="35" t="inlineStr">
        <is>
          <t>New Mexico</t>
        </is>
      </c>
      <c r="B30" s="35" t="n">
        <v>2</v>
      </c>
      <c r="C30" s="35" t="inlineStr">
        <is>
          <t>2026-09-12</t>
        </is>
      </c>
      <c r="D30" s="35" t="inlineStr">
        <is>
          <t>Mercyhurst</t>
        </is>
      </c>
      <c r="E30" s="35" t="inlineStr">
        <is>
          <t>Home</t>
        </is>
      </c>
      <c r="F30" s="35" t="n">
        <v>-42.2</v>
      </c>
      <c r="G30" s="35" t="n">
        <v>63</v>
      </c>
      <c r="H30" s="40" t="inlineStr">
        <is>
          <t>Cover</t>
        </is>
      </c>
      <c r="I30" s="35" t="n">
        <v>20.8</v>
      </c>
    </row>
    <row r="31">
      <c r="A31" s="35" t="inlineStr">
        <is>
          <t>New Mexico</t>
        </is>
      </c>
      <c r="B31" s="35" t="n">
        <v>3</v>
      </c>
      <c r="C31" s="35" t="inlineStr">
        <is>
          <t>2026-09-19</t>
        </is>
      </c>
      <c r="D31" s="35" t="inlineStr">
        <is>
          <t>Oklahoma</t>
        </is>
      </c>
      <c r="E31" s="35" t="inlineStr">
        <is>
          <t>Away</t>
        </is>
      </c>
      <c r="F31" s="35" t="n">
        <v>21.2</v>
      </c>
      <c r="G31" s="35" t="n">
        <v>-8</v>
      </c>
      <c r="H31" s="40" t="inlineStr">
        <is>
          <t>Cover</t>
        </is>
      </c>
      <c r="I31" s="35" t="n">
        <v>13.2</v>
      </c>
    </row>
    <row r="32">
      <c r="A32" s="35" t="inlineStr">
        <is>
          <t>New Mexico</t>
        </is>
      </c>
      <c r="B32" s="35" t="n">
        <v>4</v>
      </c>
      <c r="C32" s="35" t="inlineStr">
        <is>
          <t>2026-09-26</t>
        </is>
      </c>
      <c r="D32" s="35" t="inlineStr">
        <is>
          <t>New Mexico State</t>
        </is>
      </c>
      <c r="E32" s="35" t="inlineStr">
        <is>
          <t>Away</t>
        </is>
      </c>
      <c r="F32" s="35" t="n">
        <v>-11.5</v>
      </c>
      <c r="G32" s="35" t="n">
        <v>24</v>
      </c>
      <c r="H32" s="40" t="inlineStr">
        <is>
          <t>Cover</t>
        </is>
      </c>
      <c r="I32" s="35" t="n">
        <v>12.5</v>
      </c>
    </row>
    <row r="33">
      <c r="A33" s="35" t="inlineStr">
        <is>
          <t>North Dakota State</t>
        </is>
      </c>
      <c r="B33" s="35" t="n">
        <v>1</v>
      </c>
      <c r="C33" s="35" t="inlineStr">
        <is>
          <t>2026-08-29</t>
        </is>
      </c>
      <c r="D33" s="35" t="inlineStr">
        <is>
          <t>Jacksonville State</t>
        </is>
      </c>
      <c r="E33" s="35" t="inlineStr">
        <is>
          <t>Home</t>
        </is>
      </c>
      <c r="F33" s="35" t="n">
        <v>-6.8</v>
      </c>
      <c r="G33" s="35" t="n">
        <v>26</v>
      </c>
      <c r="H33" s="40" t="inlineStr">
        <is>
          <t>Cover</t>
        </is>
      </c>
      <c r="I33" s="35" t="n">
        <v>19.2</v>
      </c>
    </row>
    <row r="34">
      <c r="A34" s="35" t="inlineStr">
        <is>
          <t>North Dakota State</t>
        </is>
      </c>
      <c r="B34" s="35" t="n">
        <v>1</v>
      </c>
      <c r="C34" s="35" t="inlineStr">
        <is>
          <t>2026-09-05</t>
        </is>
      </c>
      <c r="D34" s="35" t="inlineStr">
        <is>
          <t>Fordham</t>
        </is>
      </c>
      <c r="E34" s="35" t="inlineStr">
        <is>
          <t>Home</t>
        </is>
      </c>
      <c r="F34" s="35" t="n">
        <v>-41.5</v>
      </c>
      <c r="G34" s="35" t="n">
        <v>38</v>
      </c>
      <c r="H34" s="41" t="inlineStr">
        <is>
          <t>No Cover</t>
        </is>
      </c>
      <c r="I34" s="35" t="n">
        <v>-3.5</v>
      </c>
    </row>
    <row r="35">
      <c r="A35" s="35" t="inlineStr">
        <is>
          <t>North Dakota State</t>
        </is>
      </c>
      <c r="B35" s="35" t="n">
        <v>2</v>
      </c>
      <c r="C35" s="35" t="inlineStr">
        <is>
          <t>2026-09-13</t>
        </is>
      </c>
      <c r="D35" s="35" t="inlineStr">
        <is>
          <t>Air Force</t>
        </is>
      </c>
      <c r="E35" s="35" t="inlineStr">
        <is>
          <t>Away</t>
        </is>
      </c>
      <c r="F35" s="35" t="n">
        <v>-1.8</v>
      </c>
      <c r="G35" s="35" t="n">
        <v>6</v>
      </c>
      <c r="H35" s="40" t="inlineStr">
        <is>
          <t>Cover</t>
        </is>
      </c>
      <c r="I35" s="35" t="n">
        <v>4.2</v>
      </c>
    </row>
    <row r="36">
      <c r="A36" s="35" t="inlineStr">
        <is>
          <t>North Dakota State</t>
        </is>
      </c>
      <c r="B36" s="35" t="n">
        <v>3</v>
      </c>
      <c r="C36" s="35" t="inlineStr">
        <is>
          <t>2026-09-20</t>
        </is>
      </c>
      <c r="D36" s="35" t="inlineStr">
        <is>
          <t>Sacramento State</t>
        </is>
      </c>
      <c r="E36" s="35" t="inlineStr">
        <is>
          <t>Away</t>
        </is>
      </c>
      <c r="F36" s="35" t="n">
        <v>-25.5</v>
      </c>
      <c r="G36" s="35" t="n">
        <v>21</v>
      </c>
      <c r="H36" s="41" t="inlineStr">
        <is>
          <t>No Cover</t>
        </is>
      </c>
      <c r="I36" s="35" t="n">
        <v>-4.5</v>
      </c>
    </row>
    <row r="37">
      <c r="A37" s="35" t="inlineStr">
        <is>
          <t>Northern Illinois</t>
        </is>
      </c>
      <c r="B37" s="35" t="n">
        <v>1</v>
      </c>
      <c r="C37" s="35" t="inlineStr">
        <is>
          <t>2026-09-05</t>
        </is>
      </c>
      <c r="D37" s="35" t="inlineStr">
        <is>
          <t>Iowa</t>
        </is>
      </c>
      <c r="E37" s="35" t="inlineStr">
        <is>
          <t>Away</t>
        </is>
      </c>
      <c r="F37" s="35" t="n">
        <v>31.8</v>
      </c>
      <c r="G37" s="35" t="n">
        <v>-40</v>
      </c>
      <c r="H37" s="41" t="inlineStr">
        <is>
          <t>No Cover</t>
        </is>
      </c>
      <c r="I37" s="35" t="n">
        <v>-8.199999999999999</v>
      </c>
    </row>
    <row r="38">
      <c r="A38" s="35" t="inlineStr">
        <is>
          <t>Northern Illinois</t>
        </is>
      </c>
      <c r="B38" s="35" t="n">
        <v>2</v>
      </c>
      <c r="C38" s="35" t="inlineStr">
        <is>
          <t>2026-09-12</t>
        </is>
      </c>
      <c r="D38" s="35" t="inlineStr">
        <is>
          <t>Illinois State</t>
        </is>
      </c>
      <c r="E38" s="35" t="inlineStr">
        <is>
          <t>Home</t>
        </is>
      </c>
      <c r="F38" s="35" t="n">
        <v>2.5</v>
      </c>
      <c r="G38" s="35" t="n">
        <v>-4</v>
      </c>
      <c r="H38" s="41" t="inlineStr">
        <is>
          <t>No Cover</t>
        </is>
      </c>
      <c r="I38" s="35" t="n">
        <v>-1.5</v>
      </c>
    </row>
    <row r="39">
      <c r="A39" s="35" t="inlineStr">
        <is>
          <t>Northern Illinois</t>
        </is>
      </c>
      <c r="B39" s="35" t="n">
        <v>3</v>
      </c>
      <c r="C39" s="35" t="inlineStr">
        <is>
          <t>2026-09-20</t>
        </is>
      </c>
      <c r="D39" s="35" t="inlineStr">
        <is>
          <t>Arizona</t>
        </is>
      </c>
      <c r="E39" s="35" t="inlineStr">
        <is>
          <t>Away</t>
        </is>
      </c>
      <c r="F39" s="35" t="n">
        <v>34.5</v>
      </c>
      <c r="G39" s="35" t="n">
        <v>-25</v>
      </c>
      <c r="H39" s="40" t="inlineStr">
        <is>
          <t>Cover</t>
        </is>
      </c>
      <c r="I39" s="35" t="n">
        <v>9.5</v>
      </c>
    </row>
    <row r="40">
      <c r="A40" s="35" t="inlineStr">
        <is>
          <t>Northern Illinois</t>
        </is>
      </c>
      <c r="B40" s="35" t="n">
        <v>4</v>
      </c>
      <c r="C40" s="35" t="inlineStr">
        <is>
          <t>2026-09-26</t>
        </is>
      </c>
      <c r="D40" s="35" t="inlineStr">
        <is>
          <t>Georgia State</t>
        </is>
      </c>
      <c r="E40" s="35" t="inlineStr">
        <is>
          <t>Away</t>
        </is>
      </c>
      <c r="F40" s="35" t="n">
        <v>8.800000000000001</v>
      </c>
      <c r="G40" s="35" t="n">
        <v>-21</v>
      </c>
      <c r="H40" s="41" t="inlineStr">
        <is>
          <t>No Cover</t>
        </is>
      </c>
      <c r="I40" s="35" t="n">
        <v>-12.2</v>
      </c>
    </row>
    <row r="41">
      <c r="A41" s="35" t="inlineStr">
        <is>
          <t>San José State</t>
        </is>
      </c>
      <c r="B41" s="35" t="n">
        <v>1</v>
      </c>
      <c r="C41" s="35" t="inlineStr">
        <is>
          <t>2026-08-29</t>
        </is>
      </c>
      <c r="D41" s="35" t="inlineStr">
        <is>
          <t>USC</t>
        </is>
      </c>
      <c r="E41" s="35" t="inlineStr">
        <is>
          <t>Away</t>
        </is>
      </c>
      <c r="F41" s="35" t="n">
        <v>37.2</v>
      </c>
      <c r="G41" s="35" t="n">
        <v>-16</v>
      </c>
      <c r="H41" s="40" t="inlineStr">
        <is>
          <t>Cover</t>
        </is>
      </c>
      <c r="I41" s="35" t="n">
        <v>21.2</v>
      </c>
    </row>
    <row r="42">
      <c r="A42" s="35" t="inlineStr">
        <is>
          <t>San José State</t>
        </is>
      </c>
      <c r="B42" s="35" t="n">
        <v>1</v>
      </c>
      <c r="C42" s="35" t="inlineStr">
        <is>
          <t>2026-09-04</t>
        </is>
      </c>
      <c r="D42" s="35" t="inlineStr">
        <is>
          <t>Eastern Michigan</t>
        </is>
      </c>
      <c r="E42" s="35" t="inlineStr">
        <is>
          <t>Away</t>
        </is>
      </c>
      <c r="F42" s="35" t="n">
        <v>1.5</v>
      </c>
      <c r="G42" s="35" t="n">
        <v>6</v>
      </c>
      <c r="H42" s="40" t="inlineStr">
        <is>
          <t>Cover</t>
        </is>
      </c>
      <c r="I42" s="35" t="n">
        <v>7.5</v>
      </c>
    </row>
    <row r="43">
      <c r="A43" s="35" t="inlineStr">
        <is>
          <t>San José State</t>
        </is>
      </c>
      <c r="B43" s="35" t="n">
        <v>2</v>
      </c>
      <c r="C43" s="35" t="inlineStr">
        <is>
          <t>2026-09-13</t>
        </is>
      </c>
      <c r="D43" s="35" t="inlineStr">
        <is>
          <t>Cal Poly</t>
        </is>
      </c>
      <c r="E43" s="35" t="inlineStr">
        <is>
          <t>Home</t>
        </is>
      </c>
      <c r="F43" s="35" t="n">
        <v>-21.5</v>
      </c>
      <c r="G43" s="35" t="n">
        <v>10</v>
      </c>
      <c r="H43" s="41" t="inlineStr">
        <is>
          <t>No Cover</t>
        </is>
      </c>
      <c r="I43" s="35" t="n">
        <v>-11.5</v>
      </c>
    </row>
    <row r="44">
      <c r="A44" s="35" t="inlineStr">
        <is>
          <t>San José State</t>
        </is>
      </c>
      <c r="B44" s="35" t="n">
        <v>3</v>
      </c>
      <c r="C44" s="35" t="inlineStr">
        <is>
          <t>2026-09-20</t>
        </is>
      </c>
      <c r="D44" s="35" t="inlineStr">
        <is>
          <t>Fresno State</t>
        </is>
      </c>
      <c r="E44" s="35" t="inlineStr">
        <is>
          <t>Home</t>
        </is>
      </c>
      <c r="F44" s="35" t="n">
        <v>4</v>
      </c>
      <c r="G44" s="35" t="n">
        <v>-16</v>
      </c>
      <c r="H44" s="41" t="inlineStr">
        <is>
          <t>No Cover</t>
        </is>
      </c>
      <c r="I44" s="35" t="n">
        <v>-12</v>
      </c>
    </row>
    <row r="45">
      <c r="A45" s="35" t="inlineStr">
        <is>
          <t>UNLV</t>
        </is>
      </c>
      <c r="B45" s="35" t="n">
        <v>1</v>
      </c>
      <c r="C45" s="35" t="inlineStr">
        <is>
          <t>2026-08-30</t>
        </is>
      </c>
      <c r="D45" s="35" t="inlineStr">
        <is>
          <t>Memphis</t>
        </is>
      </c>
      <c r="E45" s="35" t="inlineStr">
        <is>
          <t>Home</t>
        </is>
      </c>
      <c r="F45" s="35" t="n">
        <v>-4.8</v>
      </c>
      <c r="G45" s="35" t="n">
        <v>-6</v>
      </c>
      <c r="H45" s="41" t="inlineStr">
        <is>
          <t>No Cover</t>
        </is>
      </c>
      <c r="I45" s="35" t="n">
        <v>-10.8</v>
      </c>
    </row>
    <row r="46">
      <c r="A46" s="35" t="inlineStr">
        <is>
          <t>UNLV</t>
        </is>
      </c>
      <c r="B46" s="35" t="n">
        <v>1</v>
      </c>
      <c r="C46" s="35" t="inlineStr">
        <is>
          <t>2026-09-06</t>
        </is>
      </c>
      <c r="D46" s="35" t="inlineStr">
        <is>
          <t>Hawai'i</t>
        </is>
      </c>
      <c r="E46" s="35" t="inlineStr">
        <is>
          <t>Away</t>
        </is>
      </c>
      <c r="F46" s="35" t="n">
        <v>-2.8</v>
      </c>
      <c r="G46" s="35" t="n">
        <v>15</v>
      </c>
      <c r="H46" s="40" t="inlineStr">
        <is>
          <t>Cover</t>
        </is>
      </c>
      <c r="I46" s="35" t="n">
        <v>12.2</v>
      </c>
    </row>
    <row r="47">
      <c r="A47" s="35" t="inlineStr">
        <is>
          <t>UNLV</t>
        </is>
      </c>
      <c r="B47" s="35" t="n">
        <v>2</v>
      </c>
      <c r="C47" s="35" t="inlineStr">
        <is>
          <t>2026-09-12</t>
        </is>
      </c>
      <c r="D47" s="35" t="inlineStr">
        <is>
          <t>North Texas</t>
        </is>
      </c>
      <c r="E47" s="35" t="inlineStr">
        <is>
          <t>Away</t>
        </is>
      </c>
      <c r="F47" s="35" t="n">
        <v>-2.8</v>
      </c>
      <c r="G47" s="35" t="n">
        <v>-38</v>
      </c>
      <c r="H47" s="41" t="inlineStr">
        <is>
          <t>No Cover</t>
        </is>
      </c>
      <c r="I47" s="35" t="n">
        <v>-40.8</v>
      </c>
    </row>
    <row r="48">
      <c r="A48" s="35" t="inlineStr">
        <is>
          <t>UNLV</t>
        </is>
      </c>
      <c r="B48" s="35" t="n">
        <v>4</v>
      </c>
      <c r="C48" s="35" t="inlineStr">
        <is>
          <t>2026-09-26</t>
        </is>
      </c>
      <c r="D48" s="35" t="inlineStr">
        <is>
          <t>Akron</t>
        </is>
      </c>
      <c r="E48" s="35" t="inlineStr">
        <is>
          <t>Away</t>
        </is>
      </c>
      <c r="F48" s="35" t="n">
        <v>-13.5</v>
      </c>
      <c r="G48" s="35" t="n">
        <v>28</v>
      </c>
      <c r="H48" s="40" t="inlineStr">
        <is>
          <t>Cover</t>
        </is>
      </c>
      <c r="I48" s="35" t="n">
        <v>14.5</v>
      </c>
    </row>
    <row r="49">
      <c r="A49" s="35" t="inlineStr">
        <is>
          <t>UTEP</t>
        </is>
      </c>
      <c r="B49" s="35" t="n">
        <v>1</v>
      </c>
      <c r="C49" s="35" t="inlineStr">
        <is>
          <t>2026-09-05</t>
        </is>
      </c>
      <c r="D49" s="35" t="inlineStr">
        <is>
          <t>Oklahoma</t>
        </is>
      </c>
      <c r="E49" s="35" t="inlineStr">
        <is>
          <t>Away</t>
        </is>
      </c>
      <c r="F49" s="35" t="n">
        <v>40.8</v>
      </c>
      <c r="G49" s="35" t="n">
        <v>-51</v>
      </c>
      <c r="H49" s="41" t="inlineStr">
        <is>
          <t>No Cover</t>
        </is>
      </c>
      <c r="I49" s="35" t="n">
        <v>-10.2</v>
      </c>
    </row>
    <row r="50">
      <c r="A50" s="35" t="inlineStr">
        <is>
          <t>UTEP</t>
        </is>
      </c>
      <c r="B50" s="35" t="n">
        <v>2</v>
      </c>
      <c r="C50" s="35" t="inlineStr">
        <is>
          <t>2026-09-13</t>
        </is>
      </c>
      <c r="D50" s="35" t="inlineStr">
        <is>
          <t>Texas Southern</t>
        </is>
      </c>
      <c r="E50" s="35" t="inlineStr">
        <is>
          <t>Home</t>
        </is>
      </c>
      <c r="F50" s="35" t="n">
        <v>-27.2</v>
      </c>
      <c r="G50" s="35" t="n">
        <v>41</v>
      </c>
      <c r="H50" s="40" t="inlineStr">
        <is>
          <t>Cover</t>
        </is>
      </c>
      <c r="I50" s="35" t="n">
        <v>13.8</v>
      </c>
    </row>
    <row r="51">
      <c r="A51" s="35" t="inlineStr">
        <is>
          <t>UTEP</t>
        </is>
      </c>
      <c r="B51" s="35" t="n">
        <v>3</v>
      </c>
      <c r="C51" s="35" t="inlineStr">
        <is>
          <t>2026-09-19</t>
        </is>
      </c>
      <c r="D51" s="35" t="inlineStr">
        <is>
          <t>Michigan</t>
        </is>
      </c>
      <c r="E51" s="35" t="inlineStr">
        <is>
          <t>Away</t>
        </is>
      </c>
      <c r="F51" s="35" t="n">
        <v>34.5</v>
      </c>
      <c r="G51" s="35" t="n">
        <v>-35</v>
      </c>
      <c r="H51" s="41" t="inlineStr">
        <is>
          <t>No Cover</t>
        </is>
      </c>
      <c r="I51" s="35" t="n">
        <v>-0.5</v>
      </c>
    </row>
    <row r="52">
      <c r="A52" s="35" t="inlineStr">
        <is>
          <t>UTEP</t>
        </is>
      </c>
      <c r="B52" s="35" t="n">
        <v>4</v>
      </c>
      <c r="C52" s="35" t="inlineStr">
        <is>
          <t>2026-09-27</t>
        </is>
      </c>
      <c r="D52" s="35" t="inlineStr">
        <is>
          <t>Oregon State</t>
        </is>
      </c>
      <c r="E52" s="35" t="inlineStr">
        <is>
          <t>Home</t>
        </is>
      </c>
      <c r="F52" s="35" t="n">
        <v>11.5</v>
      </c>
      <c r="G52" s="35" t="n">
        <v>-26</v>
      </c>
      <c r="H52" s="41" t="inlineStr">
        <is>
          <t>No Cover</t>
        </is>
      </c>
      <c r="I52" s="35" t="n">
        <v>-14.5</v>
      </c>
    </row>
    <row r="53">
      <c r="A53" s="35" t="inlineStr">
        <is>
          <t>Wyoming</t>
        </is>
      </c>
      <c r="B53" s="35" t="n">
        <v>1</v>
      </c>
      <c r="C53" s="35" t="inlineStr">
        <is>
          <t>2026-09-05</t>
        </is>
      </c>
      <c r="D53" s="35" t="inlineStr">
        <is>
          <t>Colorado State</t>
        </is>
      </c>
      <c r="E53" s="35" t="inlineStr">
        <is>
          <t>Away</t>
        </is>
      </c>
      <c r="F53" s="35" t="n">
        <v>2.8</v>
      </c>
      <c r="G53" s="35" t="n">
        <v>-22</v>
      </c>
      <c r="H53" s="41" t="inlineStr">
        <is>
          <t>No Cover</t>
        </is>
      </c>
      <c r="I53" s="35" t="n">
        <v>-19.2</v>
      </c>
    </row>
    <row r="54">
      <c r="A54" s="35" t="inlineStr">
        <is>
          <t>Wyoming</t>
        </is>
      </c>
      <c r="B54" s="35" t="n">
        <v>2</v>
      </c>
      <c r="C54" s="35" t="inlineStr">
        <is>
          <t>2026-09-12</t>
        </is>
      </c>
      <c r="D54" s="35" t="inlineStr">
        <is>
          <t>Northern Colorado</t>
        </is>
      </c>
      <c r="E54" s="35" t="inlineStr">
        <is>
          <t>Home</t>
        </is>
      </c>
      <c r="F54" s="35" t="n">
        <v>-23.5</v>
      </c>
      <c r="G54" s="35" t="n">
        <v>8</v>
      </c>
      <c r="H54" s="41" t="inlineStr">
        <is>
          <t>No Cover</t>
        </is>
      </c>
      <c r="I54" s="35" t="n">
        <v>-15.5</v>
      </c>
    </row>
    <row r="55">
      <c r="A55" s="35" t="inlineStr">
        <is>
          <t>Wyoming</t>
        </is>
      </c>
      <c r="B55" s="35" t="n">
        <v>3</v>
      </c>
      <c r="C55" s="35" t="inlineStr">
        <is>
          <t>2026-09-19</t>
        </is>
      </c>
      <c r="D55" s="35" t="inlineStr">
        <is>
          <t>Central Michigan</t>
        </is>
      </c>
      <c r="E55" s="35" t="inlineStr">
        <is>
          <t>Away</t>
        </is>
      </c>
      <c r="F55" s="35" t="n">
        <v>-1.8</v>
      </c>
      <c r="G55" s="35" t="n">
        <v>-14</v>
      </c>
      <c r="H55" s="41" t="inlineStr">
        <is>
          <t>No Cover</t>
        </is>
      </c>
      <c r="I55" s="35" t="n">
        <v>-15.8</v>
      </c>
    </row>
    <row r="56">
      <c r="A56" s="35" t="inlineStr">
        <is>
          <t>Wyoming</t>
        </is>
      </c>
      <c r="B56" s="35" t="n">
        <v>4</v>
      </c>
      <c r="C56" s="35" t="inlineStr">
        <is>
          <t>2026-09-26</t>
        </is>
      </c>
      <c r="D56" s="35" t="inlineStr">
        <is>
          <t>Hawai'i</t>
        </is>
      </c>
      <c r="E56" s="35" t="inlineStr">
        <is>
          <t>Home</t>
        </is>
      </c>
      <c r="F56" s="35" t="n">
        <v>2.2</v>
      </c>
      <c r="G56" s="35" t="n">
        <v>17</v>
      </c>
      <c r="H56" s="40" t="inlineStr">
        <is>
          <t>Cover</t>
        </is>
      </c>
      <c r="I56" s="35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2" customWidth="1" min="1" max="1"/>
    <col width="10" customWidth="1" min="2" max="2"/>
    <col width="8" customWidth="1" min="3" max="3"/>
    <col width="10" customWidth="1" min="4" max="4"/>
    <col width="11" customWidth="1" min="5" max="5"/>
    <col width="10" customWidth="1" min="6" max="6"/>
    <col width="18" customWidth="1" min="7" max="7"/>
  </cols>
  <sheetData>
    <row r="1" ht="15.5" customHeight="1">
      <c r="A1" s="34" t="inlineStr">
        <is>
          <t>Strength of Record -- 2026 Season (resets every season -- see column notes below)</t>
        </is>
      </c>
    </row>
    <row r="3">
      <c r="A3" s="37" t="inlineStr">
        <is>
          <t>SOR = wins above what an exactly-average FBS team would've earned against this exact schedule. Rank Gap = Elo Rank minus SOR Rank -- a big positive number means the Elo rating (no preseason blend, so it's all this season's results) is running ahead of what the resume actually supports.</t>
        </is>
      </c>
    </row>
    <row r="5" ht="26.5" customHeight="1">
      <c r="A5" s="39" t="inlineStr">
        <is>
          <t>Team</t>
        </is>
      </c>
      <c r="B5" s="39" t="inlineStr">
        <is>
          <t>W-L (FBS)</t>
        </is>
      </c>
      <c r="C5" s="39" t="inlineStr">
        <is>
          <t>SOR</t>
        </is>
      </c>
      <c r="D5" s="39" t="inlineStr">
        <is>
          <t>SOR Rank</t>
        </is>
      </c>
      <c r="E5" s="39" t="inlineStr">
        <is>
          <t>Elo Rating</t>
        </is>
      </c>
      <c r="F5" s="39" t="inlineStr">
        <is>
          <t>Elo Rank</t>
        </is>
      </c>
      <c r="G5" s="39" t="inlineStr">
        <is>
          <t>Rank Gap (Elo - SOR)</t>
        </is>
      </c>
    </row>
    <row r="6">
      <c r="A6" s="35" t="inlineStr">
        <is>
          <t>Alabama</t>
        </is>
      </c>
      <c r="B6" s="35" t="inlineStr">
        <is>
          <t>5-0</t>
        </is>
      </c>
      <c r="C6" s="35" t="n">
        <v>2.77</v>
      </c>
      <c r="D6" s="35" t="n">
        <v>1</v>
      </c>
      <c r="E6" s="35" t="n">
        <v>1780.3</v>
      </c>
      <c r="F6" s="35" t="n">
        <v>7</v>
      </c>
      <c r="G6" s="35" t="n">
        <v>6</v>
      </c>
    </row>
    <row r="7">
      <c r="A7" s="35" t="inlineStr">
        <is>
          <t>Texas</t>
        </is>
      </c>
      <c r="B7" s="35" t="inlineStr">
        <is>
          <t>4-0</t>
        </is>
      </c>
      <c r="C7" s="35" t="n">
        <v>2.69</v>
      </c>
      <c r="D7" s="35" t="n">
        <v>2</v>
      </c>
      <c r="E7" s="35" t="n">
        <v>1777.8</v>
      </c>
      <c r="F7" s="35" t="n">
        <v>8</v>
      </c>
      <c r="G7" s="35" t="n">
        <v>6</v>
      </c>
    </row>
    <row r="8">
      <c r="A8" s="35" t="inlineStr">
        <is>
          <t>Notre Dame</t>
        </is>
      </c>
      <c r="B8" s="35" t="inlineStr">
        <is>
          <t>5-0</t>
        </is>
      </c>
      <c r="C8" s="35" t="n">
        <v>2.3</v>
      </c>
      <c r="D8" s="35" t="n">
        <v>3</v>
      </c>
      <c r="E8" s="35" t="n">
        <v>1816.6</v>
      </c>
      <c r="F8" s="35" t="n">
        <v>3</v>
      </c>
      <c r="G8" s="35" t="n">
        <v>0</v>
      </c>
    </row>
    <row r="9">
      <c r="A9" s="35" t="inlineStr">
        <is>
          <t>Georgia</t>
        </is>
      </c>
      <c r="B9" s="35" t="inlineStr">
        <is>
          <t>4-0</t>
        </is>
      </c>
      <c r="C9" s="35" t="n">
        <v>2.26</v>
      </c>
      <c r="D9" s="35" t="n">
        <v>4</v>
      </c>
      <c r="E9" s="35" t="n">
        <v>1829</v>
      </c>
      <c r="F9" s="35" t="n">
        <v>2</v>
      </c>
      <c r="G9" s="35" t="n">
        <v>-2</v>
      </c>
    </row>
    <row r="10">
      <c r="A10" s="35" t="inlineStr">
        <is>
          <t>Mississippi State</t>
        </is>
      </c>
      <c r="B10" s="35" t="inlineStr">
        <is>
          <t>4-1</t>
        </is>
      </c>
      <c r="C10" s="35" t="n">
        <v>2.06</v>
      </c>
      <c r="D10" s="35" t="n">
        <v>5</v>
      </c>
      <c r="E10" s="35" t="n">
        <v>1553.8</v>
      </c>
      <c r="F10" s="35" t="n">
        <v>72</v>
      </c>
      <c r="G10" s="42" t="n">
        <v>67</v>
      </c>
    </row>
    <row r="11">
      <c r="A11" s="35" t="inlineStr">
        <is>
          <t>UCLA</t>
        </is>
      </c>
      <c r="B11" s="35" t="inlineStr">
        <is>
          <t>4-0</t>
        </is>
      </c>
      <c r="C11" s="35" t="n">
        <v>1.98</v>
      </c>
      <c r="D11" s="35" t="n">
        <v>6</v>
      </c>
      <c r="E11" s="35" t="n">
        <v>1586.1</v>
      </c>
      <c r="F11" s="35" t="n">
        <v>61</v>
      </c>
      <c r="G11" s="42" t="n">
        <v>55</v>
      </c>
    </row>
    <row r="12">
      <c r="A12" s="35" t="inlineStr">
        <is>
          <t>Pittsburgh</t>
        </is>
      </c>
      <c r="B12" s="35" t="inlineStr">
        <is>
          <t>4-0</t>
        </is>
      </c>
      <c r="C12" s="35" t="n">
        <v>1.92</v>
      </c>
      <c r="D12" s="35" t="n">
        <v>7</v>
      </c>
      <c r="E12" s="35" t="n">
        <v>1645.2</v>
      </c>
      <c r="F12" s="35" t="n">
        <v>29</v>
      </c>
      <c r="G12" s="42" t="n">
        <v>22</v>
      </c>
    </row>
    <row r="13">
      <c r="A13" s="35" t="inlineStr">
        <is>
          <t>Florida</t>
        </is>
      </c>
      <c r="B13" s="35" t="inlineStr">
        <is>
          <t>3-0</t>
        </is>
      </c>
      <c r="C13" s="35" t="n">
        <v>1.73</v>
      </c>
      <c r="D13" s="35" t="n">
        <v>8</v>
      </c>
      <c r="E13" s="35" t="n">
        <v>1637.9</v>
      </c>
      <c r="F13" s="35" t="n">
        <v>35</v>
      </c>
      <c r="G13" s="42" t="n">
        <v>27</v>
      </c>
    </row>
    <row r="14">
      <c r="A14" s="35" t="inlineStr">
        <is>
          <t>James Madison</t>
        </is>
      </c>
      <c r="B14" s="35" t="inlineStr">
        <is>
          <t>3-0</t>
        </is>
      </c>
      <c r="C14" s="35" t="n">
        <v>1.72</v>
      </c>
      <c r="D14" s="35" t="n">
        <v>9</v>
      </c>
      <c r="E14" s="35" t="n">
        <v>1760.5</v>
      </c>
      <c r="F14" s="35" t="n">
        <v>10</v>
      </c>
      <c r="G14" s="35" t="n">
        <v>1</v>
      </c>
    </row>
    <row r="15">
      <c r="A15" s="35" t="inlineStr">
        <is>
          <t>Wake Forest</t>
        </is>
      </c>
      <c r="B15" s="35" t="inlineStr">
        <is>
          <t>4-1</t>
        </is>
      </c>
      <c r="C15" s="35" t="n">
        <v>1.69</v>
      </c>
      <c r="D15" s="35" t="n">
        <v>10</v>
      </c>
      <c r="E15" s="35" t="n">
        <v>1594.7</v>
      </c>
      <c r="F15" s="35" t="n">
        <v>55</v>
      </c>
      <c r="G15" s="42" t="n">
        <v>45</v>
      </c>
    </row>
    <row r="16">
      <c r="A16" s="35" t="inlineStr">
        <is>
          <t>Iowa</t>
        </is>
      </c>
      <c r="B16" s="35" t="inlineStr">
        <is>
          <t>3-0</t>
        </is>
      </c>
      <c r="C16" s="35" t="n">
        <v>1.69</v>
      </c>
      <c r="D16" s="35" t="n">
        <v>11</v>
      </c>
      <c r="E16" s="35" t="n">
        <v>1711</v>
      </c>
      <c r="F16" s="35" t="n">
        <v>15</v>
      </c>
      <c r="G16" s="35" t="n">
        <v>4</v>
      </c>
    </row>
    <row r="17">
      <c r="A17" s="35" t="inlineStr">
        <is>
          <t>Duke</t>
        </is>
      </c>
      <c r="B17" s="35" t="inlineStr">
        <is>
          <t>3-0</t>
        </is>
      </c>
      <c r="C17" s="35" t="n">
        <v>1.68</v>
      </c>
      <c r="D17" s="35" t="n">
        <v>12</v>
      </c>
      <c r="E17" s="35" t="n">
        <v>1686.3</v>
      </c>
      <c r="F17" s="35" t="n">
        <v>17</v>
      </c>
      <c r="G17" s="35" t="n">
        <v>5</v>
      </c>
    </row>
    <row r="18">
      <c r="A18" s="35" t="inlineStr">
        <is>
          <t>North Dakota State</t>
        </is>
      </c>
      <c r="B18" s="35" t="inlineStr">
        <is>
          <t>3-0</t>
        </is>
      </c>
      <c r="C18" s="35" t="n">
        <v>1.63</v>
      </c>
      <c r="D18" s="35" t="n">
        <v>13</v>
      </c>
      <c r="E18" s="35" t="n">
        <v>1760.7</v>
      </c>
      <c r="F18" s="35" t="n">
        <v>9</v>
      </c>
      <c r="G18" s="35" t="n">
        <v>-4</v>
      </c>
    </row>
    <row r="19">
      <c r="A19" s="35" t="inlineStr">
        <is>
          <t>Miami</t>
        </is>
      </c>
      <c r="B19" s="35" t="inlineStr">
        <is>
          <t>3-0</t>
        </is>
      </c>
      <c r="C19" s="35" t="n">
        <v>1.6</v>
      </c>
      <c r="D19" s="35" t="n">
        <v>14</v>
      </c>
      <c r="E19" s="35" t="n">
        <v>1783.6</v>
      </c>
      <c r="F19" s="35" t="n">
        <v>6</v>
      </c>
      <c r="G19" s="35" t="n">
        <v>-8</v>
      </c>
    </row>
    <row r="20">
      <c r="A20" s="35" t="inlineStr">
        <is>
          <t>LSU</t>
        </is>
      </c>
      <c r="B20" s="35" t="inlineStr">
        <is>
          <t>3-1</t>
        </is>
      </c>
      <c r="C20" s="35" t="n">
        <v>1.57</v>
      </c>
      <c r="D20" s="35" t="n">
        <v>15</v>
      </c>
      <c r="E20" s="35" t="n">
        <v>1668.8</v>
      </c>
      <c r="F20" s="35" t="n">
        <v>21</v>
      </c>
      <c r="G20" s="35" t="n">
        <v>6</v>
      </c>
    </row>
    <row r="21">
      <c r="A21" s="35" t="inlineStr">
        <is>
          <t>USC</t>
        </is>
      </c>
      <c r="B21" s="35" t="inlineStr">
        <is>
          <t>4-1</t>
        </is>
      </c>
      <c r="C21" s="35" t="n">
        <v>1.56</v>
      </c>
      <c r="D21" s="35" t="n">
        <v>16</v>
      </c>
      <c r="E21" s="35" t="n">
        <v>1671.9</v>
      </c>
      <c r="F21" s="35" t="n">
        <v>20</v>
      </c>
      <c r="G21" s="35" t="n">
        <v>4</v>
      </c>
    </row>
    <row r="22">
      <c r="A22" s="35" t="inlineStr">
        <is>
          <t>South Florida</t>
        </is>
      </c>
      <c r="B22" s="35" t="inlineStr">
        <is>
          <t>3-0</t>
        </is>
      </c>
      <c r="C22" s="35" t="n">
        <v>1.55</v>
      </c>
      <c r="D22" s="35" t="n">
        <v>17</v>
      </c>
      <c r="E22" s="35" t="n">
        <v>1645.8</v>
      </c>
      <c r="F22" s="35" t="n">
        <v>27</v>
      </c>
      <c r="G22" s="35" t="n">
        <v>10</v>
      </c>
    </row>
    <row r="23">
      <c r="A23" s="35" t="inlineStr">
        <is>
          <t>Indiana</t>
        </is>
      </c>
      <c r="B23" s="35" t="inlineStr">
        <is>
          <t>3-0</t>
        </is>
      </c>
      <c r="C23" s="35" t="n">
        <v>1.51</v>
      </c>
      <c r="D23" s="35" t="n">
        <v>18</v>
      </c>
      <c r="E23" s="35" t="n">
        <v>1837.5</v>
      </c>
      <c r="F23" s="35" t="n">
        <v>1</v>
      </c>
      <c r="G23" s="35" t="n">
        <v>-17</v>
      </c>
    </row>
    <row r="24">
      <c r="A24" s="35" t="inlineStr">
        <is>
          <t>Utah</t>
        </is>
      </c>
      <c r="B24" s="35" t="inlineStr">
        <is>
          <t>3-0</t>
        </is>
      </c>
      <c r="C24" s="35" t="n">
        <v>1.5</v>
      </c>
      <c r="D24" s="35" t="n">
        <v>19</v>
      </c>
      <c r="E24" s="35" t="n">
        <v>1749.4</v>
      </c>
      <c r="F24" s="35" t="n">
        <v>11</v>
      </c>
      <c r="G24" s="35" t="n">
        <v>-8</v>
      </c>
    </row>
    <row r="25">
      <c r="A25" s="35" t="inlineStr">
        <is>
          <t>Nebraska</t>
        </is>
      </c>
      <c r="B25" s="35" t="inlineStr">
        <is>
          <t>3-0</t>
        </is>
      </c>
      <c r="C25" s="35" t="n">
        <v>1.48</v>
      </c>
      <c r="D25" s="35" t="n">
        <v>20</v>
      </c>
      <c r="E25" s="35" t="n">
        <v>1622.5</v>
      </c>
      <c r="F25" s="35" t="n">
        <v>40</v>
      </c>
      <c r="G25" s="42" t="n">
        <v>20</v>
      </c>
    </row>
    <row r="26">
      <c r="A26" s="35" t="inlineStr">
        <is>
          <t>Cincinnati</t>
        </is>
      </c>
      <c r="B26" s="35" t="inlineStr">
        <is>
          <t>3-0</t>
        </is>
      </c>
      <c r="C26" s="35" t="n">
        <v>1.43</v>
      </c>
      <c r="D26" s="35" t="n">
        <v>21</v>
      </c>
      <c r="E26" s="35" t="n">
        <v>1592.8</v>
      </c>
      <c r="F26" s="35" t="n">
        <v>57</v>
      </c>
      <c r="G26" s="42" t="n">
        <v>36</v>
      </c>
    </row>
    <row r="27">
      <c r="A27" s="35" t="inlineStr">
        <is>
          <t>Virginia Tech</t>
        </is>
      </c>
      <c r="B27" s="35" t="inlineStr">
        <is>
          <t>3-1</t>
        </is>
      </c>
      <c r="C27" s="35" t="n">
        <v>1.37</v>
      </c>
      <c r="D27" s="35" t="n">
        <v>22</v>
      </c>
      <c r="E27" s="35" t="n">
        <v>1554.7</v>
      </c>
      <c r="F27" s="35" t="n">
        <v>71</v>
      </c>
      <c r="G27" s="42" t="n">
        <v>49</v>
      </c>
    </row>
    <row r="28">
      <c r="A28" s="35" t="inlineStr">
        <is>
          <t>Wisconsin</t>
        </is>
      </c>
      <c r="B28" s="35" t="inlineStr">
        <is>
          <t>3-1</t>
        </is>
      </c>
      <c r="C28" s="35" t="n">
        <v>1.33</v>
      </c>
      <c r="D28" s="35" t="n">
        <v>23</v>
      </c>
      <c r="E28" s="35" t="n">
        <v>1570.7</v>
      </c>
      <c r="F28" s="35" t="n">
        <v>65</v>
      </c>
      <c r="G28" s="42" t="n">
        <v>42</v>
      </c>
    </row>
    <row r="29">
      <c r="A29" s="35" t="inlineStr">
        <is>
          <t>Texas Tech</t>
        </is>
      </c>
      <c r="B29" s="35" t="inlineStr">
        <is>
          <t>3-0</t>
        </is>
      </c>
      <c r="C29" s="35" t="n">
        <v>1.26</v>
      </c>
      <c r="D29" s="35" t="n">
        <v>24</v>
      </c>
      <c r="E29" s="35" t="n">
        <v>1738.1</v>
      </c>
      <c r="F29" s="35" t="n">
        <v>12</v>
      </c>
      <c r="G29" s="35" t="n">
        <v>-12</v>
      </c>
    </row>
    <row r="30">
      <c r="A30" s="35" t="inlineStr">
        <is>
          <t>Liberty</t>
        </is>
      </c>
      <c r="B30" s="35" t="inlineStr">
        <is>
          <t>3-1</t>
        </is>
      </c>
      <c r="C30" s="35" t="n">
        <v>1.25</v>
      </c>
      <c r="D30" s="35" t="n">
        <v>25</v>
      </c>
      <c r="E30" s="35" t="n">
        <v>1562.1</v>
      </c>
      <c r="F30" s="35" t="n">
        <v>67</v>
      </c>
      <c r="G30" s="42" t="n">
        <v>42</v>
      </c>
    </row>
    <row r="31">
      <c r="A31" s="35" t="inlineStr">
        <is>
          <t>Ole Miss</t>
        </is>
      </c>
      <c r="B31" s="35" t="inlineStr">
        <is>
          <t>3-1</t>
        </is>
      </c>
      <c r="C31" s="35" t="n">
        <v>1.23</v>
      </c>
      <c r="D31" s="35" t="n">
        <v>26</v>
      </c>
      <c r="E31" s="35" t="n">
        <v>1734.2</v>
      </c>
      <c r="F31" s="35" t="n">
        <v>13</v>
      </c>
      <c r="G31" s="35" t="n">
        <v>-13</v>
      </c>
    </row>
    <row r="32">
      <c r="A32" s="35" t="inlineStr">
        <is>
          <t>Clemson</t>
        </is>
      </c>
      <c r="B32" s="35" t="inlineStr">
        <is>
          <t>3-1</t>
        </is>
      </c>
      <c r="C32" s="35" t="n">
        <v>1.21</v>
      </c>
      <c r="D32" s="35" t="n">
        <v>27</v>
      </c>
      <c r="E32" s="35" t="n">
        <v>1646.5</v>
      </c>
      <c r="F32" s="35" t="n">
        <v>26</v>
      </c>
      <c r="G32" s="35" t="n">
        <v>-1</v>
      </c>
    </row>
    <row r="33">
      <c r="A33" s="35" t="inlineStr">
        <is>
          <t>Houston</t>
        </is>
      </c>
      <c r="B33" s="35" t="inlineStr">
        <is>
          <t>3-1</t>
        </is>
      </c>
      <c r="C33" s="35" t="n">
        <v>1.2</v>
      </c>
      <c r="D33" s="35" t="n">
        <v>28</v>
      </c>
      <c r="E33" s="35" t="n">
        <v>1634.3</v>
      </c>
      <c r="F33" s="35" t="n">
        <v>36</v>
      </c>
      <c r="G33" s="35" t="n">
        <v>8</v>
      </c>
    </row>
    <row r="34">
      <c r="A34" s="35" t="inlineStr">
        <is>
          <t>Boise State</t>
        </is>
      </c>
      <c r="B34" s="35" t="inlineStr">
        <is>
          <t>2-1</t>
        </is>
      </c>
      <c r="C34" s="35" t="n">
        <v>1.2</v>
      </c>
      <c r="D34" s="35" t="n">
        <v>29</v>
      </c>
      <c r="E34" s="35" t="n">
        <v>1673.6</v>
      </c>
      <c r="F34" s="35" t="n">
        <v>19</v>
      </c>
      <c r="G34" s="35" t="n">
        <v>-10</v>
      </c>
    </row>
    <row r="35">
      <c r="A35" s="35" t="inlineStr">
        <is>
          <t>Memphis</t>
        </is>
      </c>
      <c r="B35" s="35" t="inlineStr">
        <is>
          <t>3-1</t>
        </is>
      </c>
      <c r="C35" s="35" t="n">
        <v>1.16</v>
      </c>
      <c r="D35" s="35" t="n">
        <v>30</v>
      </c>
      <c r="E35" s="35" t="n">
        <v>1619.5</v>
      </c>
      <c r="F35" s="35" t="n">
        <v>41</v>
      </c>
      <c r="G35" s="35" t="n">
        <v>11</v>
      </c>
    </row>
    <row r="36">
      <c r="A36" s="35" t="inlineStr">
        <is>
          <t>Minnesota</t>
        </is>
      </c>
      <c r="B36" s="35" t="inlineStr">
        <is>
          <t>3-1</t>
        </is>
      </c>
      <c r="C36" s="35" t="n">
        <v>1.16</v>
      </c>
      <c r="D36" s="35" t="n">
        <v>31</v>
      </c>
      <c r="E36" s="35" t="n">
        <v>1616.2</v>
      </c>
      <c r="F36" s="35" t="n">
        <v>42</v>
      </c>
      <c r="G36" s="35" t="n">
        <v>11</v>
      </c>
    </row>
    <row r="37">
      <c r="A37" s="35" t="inlineStr">
        <is>
          <t>Massachusetts</t>
        </is>
      </c>
      <c r="B37" s="35" t="inlineStr">
        <is>
          <t>2-0</t>
        </is>
      </c>
      <c r="C37" s="35" t="n">
        <v>1.14</v>
      </c>
      <c r="D37" s="35" t="n">
        <v>32</v>
      </c>
      <c r="E37" s="35" t="n">
        <v>1415.3</v>
      </c>
      <c r="F37" s="35" t="n">
        <v>188</v>
      </c>
      <c r="G37" s="42" t="n">
        <v>156</v>
      </c>
    </row>
    <row r="38">
      <c r="A38" s="35" t="inlineStr">
        <is>
          <t>BYU</t>
        </is>
      </c>
      <c r="B38" s="35" t="inlineStr">
        <is>
          <t>2-0</t>
        </is>
      </c>
      <c r="C38" s="35" t="n">
        <v>1.11</v>
      </c>
      <c r="D38" s="35" t="n">
        <v>33</v>
      </c>
      <c r="E38" s="35" t="n">
        <v>1727</v>
      </c>
      <c r="F38" s="35" t="n">
        <v>14</v>
      </c>
      <c r="G38" s="35" t="n">
        <v>-19</v>
      </c>
    </row>
    <row r="39">
      <c r="A39" s="35" t="inlineStr">
        <is>
          <t>SMU</t>
        </is>
      </c>
      <c r="B39" s="35" t="inlineStr">
        <is>
          <t>3-1</t>
        </is>
      </c>
      <c r="C39" s="35" t="n">
        <v>1.07</v>
      </c>
      <c r="D39" s="35" t="n">
        <v>34</v>
      </c>
      <c r="E39" s="35" t="n">
        <v>1696.3</v>
      </c>
      <c r="F39" s="35" t="n">
        <v>16</v>
      </c>
      <c r="G39" s="35" t="n">
        <v>-18</v>
      </c>
    </row>
    <row r="40">
      <c r="A40" s="35" t="inlineStr">
        <is>
          <t>Auburn</t>
        </is>
      </c>
      <c r="B40" s="35" t="inlineStr">
        <is>
          <t>3-1</t>
        </is>
      </c>
      <c r="C40" s="35" t="n">
        <v>1.05</v>
      </c>
      <c r="D40" s="35" t="n">
        <v>35</v>
      </c>
      <c r="E40" s="35" t="n">
        <v>1558.5</v>
      </c>
      <c r="F40" s="35" t="n">
        <v>69</v>
      </c>
      <c r="G40" s="42" t="n">
        <v>34</v>
      </c>
    </row>
    <row r="41">
      <c r="A41" s="35" t="inlineStr">
        <is>
          <t>Florida Atlantic</t>
        </is>
      </c>
      <c r="B41" s="35" t="inlineStr">
        <is>
          <t>3-1</t>
        </is>
      </c>
      <c r="C41" s="35" t="n">
        <v>1.01</v>
      </c>
      <c r="D41" s="35" t="n">
        <v>36</v>
      </c>
      <c r="E41" s="35" t="n">
        <v>1475.5</v>
      </c>
      <c r="F41" s="35" t="n">
        <v>104</v>
      </c>
      <c r="G41" s="42" t="n">
        <v>68</v>
      </c>
    </row>
    <row r="42">
      <c r="A42" s="35" t="inlineStr">
        <is>
          <t>Fresno State</t>
        </is>
      </c>
      <c r="B42" s="35" t="inlineStr">
        <is>
          <t>3-1</t>
        </is>
      </c>
      <c r="C42" s="35" t="n">
        <v>1</v>
      </c>
      <c r="D42" s="35" t="n">
        <v>37</v>
      </c>
      <c r="E42" s="35" t="n">
        <v>1609.2</v>
      </c>
      <c r="F42" s="35" t="n">
        <v>47</v>
      </c>
      <c r="G42" s="35" t="n">
        <v>10</v>
      </c>
    </row>
    <row r="43">
      <c r="A43" s="35" t="inlineStr">
        <is>
          <t>Northwestern</t>
        </is>
      </c>
      <c r="B43" s="35" t="inlineStr">
        <is>
          <t>2-1</t>
        </is>
      </c>
      <c r="C43" s="35" t="n">
        <v>0.99</v>
      </c>
      <c r="D43" s="35" t="n">
        <v>38</v>
      </c>
      <c r="E43" s="35" t="n">
        <v>1608.9</v>
      </c>
      <c r="F43" s="35" t="n">
        <v>48</v>
      </c>
      <c r="G43" s="35" t="n">
        <v>10</v>
      </c>
    </row>
    <row r="44">
      <c r="A44" s="35" t="inlineStr">
        <is>
          <t>Kentucky</t>
        </is>
      </c>
      <c r="B44" s="35" t="inlineStr">
        <is>
          <t>2-1</t>
        </is>
      </c>
      <c r="C44" s="35" t="n">
        <v>0.96</v>
      </c>
      <c r="D44" s="35" t="n">
        <v>39</v>
      </c>
      <c r="E44" s="35" t="n">
        <v>1571.9</v>
      </c>
      <c r="F44" s="35" t="n">
        <v>64</v>
      </c>
      <c r="G44" s="42" t="n">
        <v>25</v>
      </c>
    </row>
    <row r="45">
      <c r="A45" s="35" t="inlineStr">
        <is>
          <t>Ohio State</t>
        </is>
      </c>
      <c r="B45" s="35" t="inlineStr">
        <is>
          <t>3-1</t>
        </is>
      </c>
      <c r="C45" s="35" t="n">
        <v>0.95</v>
      </c>
      <c r="D45" s="35" t="n">
        <v>40</v>
      </c>
      <c r="E45" s="35" t="n">
        <v>1806.8</v>
      </c>
      <c r="F45" s="35" t="n">
        <v>4</v>
      </c>
      <c r="G45" s="35" t="n">
        <v>-36</v>
      </c>
    </row>
    <row r="46">
      <c r="A46" s="35" t="inlineStr">
        <is>
          <t>Oklahoma State</t>
        </is>
      </c>
      <c r="B46" s="35" t="inlineStr">
        <is>
          <t>2-1</t>
        </is>
      </c>
      <c r="C46" s="35" t="n">
        <v>0.87</v>
      </c>
      <c r="D46" s="35" t="n">
        <v>41</v>
      </c>
      <c r="E46" s="35" t="n">
        <v>1456.2</v>
      </c>
      <c r="F46" s="35" t="n">
        <v>123</v>
      </c>
      <c r="G46" s="42" t="n">
        <v>82</v>
      </c>
    </row>
    <row r="47">
      <c r="A47" s="35" t="inlineStr">
        <is>
          <t>UTSA</t>
        </is>
      </c>
      <c r="B47" s="35" t="inlineStr">
        <is>
          <t>2-1</t>
        </is>
      </c>
      <c r="C47" s="35" t="n">
        <v>0.85</v>
      </c>
      <c r="D47" s="35" t="n">
        <v>42</v>
      </c>
      <c r="E47" s="35" t="n">
        <v>1614.6</v>
      </c>
      <c r="F47" s="35" t="n">
        <v>43</v>
      </c>
      <c r="G47" s="35" t="n">
        <v>1</v>
      </c>
    </row>
    <row r="48">
      <c r="A48" s="35" t="inlineStr">
        <is>
          <t>Tennessee</t>
        </is>
      </c>
      <c r="B48" s="35" t="inlineStr">
        <is>
          <t>2-1</t>
        </is>
      </c>
      <c r="C48" s="35" t="n">
        <v>0.85</v>
      </c>
      <c r="D48" s="35" t="n">
        <v>43</v>
      </c>
      <c r="E48" s="35" t="n">
        <v>1673.8</v>
      </c>
      <c r="F48" s="35" t="n">
        <v>18</v>
      </c>
      <c r="G48" s="35" t="n">
        <v>-25</v>
      </c>
    </row>
    <row r="49">
      <c r="A49" s="35" t="inlineStr">
        <is>
          <t>Michigan</t>
        </is>
      </c>
      <c r="B49" s="35" t="inlineStr">
        <is>
          <t>3-2</t>
        </is>
      </c>
      <c r="C49" s="35" t="n">
        <v>0.83</v>
      </c>
      <c r="D49" s="35" t="n">
        <v>44</v>
      </c>
      <c r="E49" s="35" t="n">
        <v>1649.4</v>
      </c>
      <c r="F49" s="35" t="n">
        <v>25</v>
      </c>
      <c r="G49" s="35" t="n">
        <v>-19</v>
      </c>
    </row>
    <row r="50">
      <c r="A50" s="35" t="inlineStr">
        <is>
          <t>Missouri</t>
        </is>
      </c>
      <c r="B50" s="35" t="inlineStr">
        <is>
          <t>2-1</t>
        </is>
      </c>
      <c r="C50" s="35" t="n">
        <v>0.8100000000000001</v>
      </c>
      <c r="D50" s="35" t="n">
        <v>45</v>
      </c>
      <c r="E50" s="35" t="n">
        <v>1643.5</v>
      </c>
      <c r="F50" s="35" t="n">
        <v>31</v>
      </c>
      <c r="G50" s="35" t="n">
        <v>-14</v>
      </c>
    </row>
    <row r="51">
      <c r="A51" s="35" t="inlineStr">
        <is>
          <t>Oregon</t>
        </is>
      </c>
      <c r="B51" s="35" t="inlineStr">
        <is>
          <t>2-1</t>
        </is>
      </c>
      <c r="C51" s="35" t="n">
        <v>0.77</v>
      </c>
      <c r="D51" s="35" t="n">
        <v>46</v>
      </c>
      <c r="E51" s="35" t="n">
        <v>1784.7</v>
      </c>
      <c r="F51" s="35" t="n">
        <v>5</v>
      </c>
      <c r="G51" s="35" t="n">
        <v>-41</v>
      </c>
    </row>
    <row r="52">
      <c r="A52" s="35" t="inlineStr">
        <is>
          <t>Kansas State</t>
        </is>
      </c>
      <c r="B52" s="35" t="inlineStr">
        <is>
          <t>2-1</t>
        </is>
      </c>
      <c r="C52" s="35" t="n">
        <v>0.75</v>
      </c>
      <c r="D52" s="35" t="n">
        <v>47</v>
      </c>
      <c r="E52" s="35" t="n">
        <v>1641.9</v>
      </c>
      <c r="F52" s="35" t="n">
        <v>32</v>
      </c>
      <c r="G52" s="35" t="n">
        <v>-15</v>
      </c>
    </row>
    <row r="53">
      <c r="A53" s="35" t="inlineStr">
        <is>
          <t>Arizona</t>
        </is>
      </c>
      <c r="B53" s="35" t="inlineStr">
        <is>
          <t>2-1</t>
        </is>
      </c>
      <c r="C53" s="35" t="n">
        <v>0.74</v>
      </c>
      <c r="D53" s="35" t="n">
        <v>48</v>
      </c>
      <c r="E53" s="35" t="n">
        <v>1645.4</v>
      </c>
      <c r="F53" s="35" t="n">
        <v>28</v>
      </c>
      <c r="G53" s="35" t="n">
        <v>-20</v>
      </c>
    </row>
    <row r="54">
      <c r="A54" s="35" t="inlineStr">
        <is>
          <t>Air Force</t>
        </is>
      </c>
      <c r="B54" s="35" t="inlineStr">
        <is>
          <t>2-1</t>
        </is>
      </c>
      <c r="C54" s="35" t="n">
        <v>0.72</v>
      </c>
      <c r="D54" s="35" t="n">
        <v>49</v>
      </c>
      <c r="E54" s="35" t="n">
        <v>1521.6</v>
      </c>
      <c r="F54" s="35" t="n">
        <v>80</v>
      </c>
      <c r="G54" s="42" t="n">
        <v>31</v>
      </c>
    </row>
    <row r="55">
      <c r="A55" s="35" t="inlineStr">
        <is>
          <t>Marshall</t>
        </is>
      </c>
      <c r="B55" s="35" t="inlineStr">
        <is>
          <t>2-1</t>
        </is>
      </c>
      <c r="C55" s="35" t="n">
        <v>0.63</v>
      </c>
      <c r="D55" s="35" t="n">
        <v>50</v>
      </c>
      <c r="E55" s="35" t="n">
        <v>1558</v>
      </c>
      <c r="F55" s="35" t="n">
        <v>70</v>
      </c>
      <c r="G55" s="42" t="n">
        <v>20</v>
      </c>
    </row>
    <row r="56">
      <c r="A56" s="35" t="inlineStr">
        <is>
          <t>North Texas</t>
        </is>
      </c>
      <c r="B56" s="35" t="inlineStr">
        <is>
          <t>2-2</t>
        </is>
      </c>
      <c r="C56" s="35" t="n">
        <v>0.6</v>
      </c>
      <c r="D56" s="35" t="n">
        <v>51</v>
      </c>
      <c r="E56" s="35" t="n">
        <v>1625.5</v>
      </c>
      <c r="F56" s="35" t="n">
        <v>37</v>
      </c>
      <c r="G56" s="35" t="n">
        <v>-14</v>
      </c>
    </row>
    <row r="57">
      <c r="A57" s="35" t="inlineStr">
        <is>
          <t>New Mexico</t>
        </is>
      </c>
      <c r="B57" s="35" t="inlineStr">
        <is>
          <t>2-1</t>
        </is>
      </c>
      <c r="C57" s="35" t="n">
        <v>0.59</v>
      </c>
      <c r="D57" s="35" t="n">
        <v>52</v>
      </c>
      <c r="E57" s="35" t="n">
        <v>1597.5</v>
      </c>
      <c r="F57" s="35" t="n">
        <v>54</v>
      </c>
      <c r="G57" s="35" t="n">
        <v>2</v>
      </c>
    </row>
    <row r="58">
      <c r="A58" s="35" t="inlineStr">
        <is>
          <t>App State</t>
        </is>
      </c>
      <c r="B58" s="35" t="inlineStr">
        <is>
          <t>2-1</t>
        </is>
      </c>
      <c r="C58" s="35" t="n">
        <v>0.58</v>
      </c>
      <c r="D58" s="35" t="n">
        <v>53</v>
      </c>
      <c r="E58" s="35" t="n">
        <v>1505.1</v>
      </c>
      <c r="F58" s="35" t="n">
        <v>88</v>
      </c>
      <c r="G58" s="42" t="n">
        <v>35</v>
      </c>
    </row>
    <row r="59">
      <c r="A59" s="35" t="inlineStr">
        <is>
          <t>Idaho State</t>
        </is>
      </c>
      <c r="B59" s="35" t="inlineStr">
        <is>
          <t>1-0</t>
        </is>
      </c>
      <c r="C59" s="35" t="n">
        <v>0.57</v>
      </c>
      <c r="D59" s="35" t="n">
        <v>54</v>
      </c>
      <c r="E59" s="35" t="n">
        <v>1459.7</v>
      </c>
      <c r="F59" s="35" t="n">
        <v>117</v>
      </c>
      <c r="G59" s="42" t="n">
        <v>63</v>
      </c>
    </row>
    <row r="60">
      <c r="A60" s="35" t="inlineStr">
        <is>
          <t>Montana State</t>
        </is>
      </c>
      <c r="B60" s="35" t="inlineStr">
        <is>
          <t>1-0</t>
        </is>
      </c>
      <c r="C60" s="35" t="n">
        <v>0.51</v>
      </c>
      <c r="D60" s="35" t="n">
        <v>55</v>
      </c>
      <c r="E60" s="35" t="n">
        <v>1505.4</v>
      </c>
      <c r="F60" s="35" t="n">
        <v>87</v>
      </c>
      <c r="G60" s="42" t="n">
        <v>32</v>
      </c>
    </row>
    <row r="61">
      <c r="A61" s="35" t="inlineStr">
        <is>
          <t>Virginia</t>
        </is>
      </c>
      <c r="B61" s="35" t="inlineStr">
        <is>
          <t>2-1</t>
        </is>
      </c>
      <c r="C61" s="35" t="n">
        <v>0.51</v>
      </c>
      <c r="D61" s="35" t="n">
        <v>56</v>
      </c>
      <c r="E61" s="35" t="n">
        <v>1622.7</v>
      </c>
      <c r="F61" s="35" t="n">
        <v>39</v>
      </c>
      <c r="G61" s="35" t="n">
        <v>-17</v>
      </c>
    </row>
    <row r="62">
      <c r="A62" s="35" t="inlineStr">
        <is>
          <t>Georgia State</t>
        </is>
      </c>
      <c r="B62" s="35" t="inlineStr">
        <is>
          <t>2-1</t>
        </is>
      </c>
      <c r="C62" s="35" t="n">
        <v>0.51</v>
      </c>
      <c r="D62" s="35" t="n">
        <v>57</v>
      </c>
      <c r="E62" s="35" t="n">
        <v>1440.6</v>
      </c>
      <c r="F62" s="35" t="n">
        <v>142</v>
      </c>
      <c r="G62" s="42" t="n">
        <v>85</v>
      </c>
    </row>
    <row r="63">
      <c r="A63" s="35" t="inlineStr">
        <is>
          <t>Tarleton State</t>
        </is>
      </c>
      <c r="B63" s="35" t="inlineStr">
        <is>
          <t>1-0</t>
        </is>
      </c>
      <c r="C63" s="35" t="n">
        <v>0.5</v>
      </c>
      <c r="D63" s="35" t="n">
        <v>58</v>
      </c>
      <c r="E63" s="35" t="n">
        <v>1505.7</v>
      </c>
      <c r="F63" s="35" t="n">
        <v>86</v>
      </c>
      <c r="G63" s="42" t="n">
        <v>28</v>
      </c>
    </row>
    <row r="64">
      <c r="A64" s="35" t="inlineStr">
        <is>
          <t>Penn State</t>
        </is>
      </c>
      <c r="B64" s="35" t="inlineStr">
        <is>
          <t>3-2</t>
        </is>
      </c>
      <c r="C64" s="35" t="n">
        <v>0.49</v>
      </c>
      <c r="D64" s="35" t="n">
        <v>59</v>
      </c>
      <c r="E64" s="35" t="n">
        <v>1662.8</v>
      </c>
      <c r="F64" s="35" t="n">
        <v>23</v>
      </c>
      <c r="G64" s="35" t="n">
        <v>-36</v>
      </c>
    </row>
    <row r="65">
      <c r="A65" s="35" t="inlineStr">
        <is>
          <t>Vanderbilt</t>
        </is>
      </c>
      <c r="B65" s="35" t="inlineStr">
        <is>
          <t>2-2</t>
        </is>
      </c>
      <c r="C65" s="35" t="n">
        <v>0.49</v>
      </c>
      <c r="D65" s="35" t="n">
        <v>60</v>
      </c>
      <c r="E65" s="35" t="n">
        <v>1643.6</v>
      </c>
      <c r="F65" s="35" t="n">
        <v>30</v>
      </c>
      <c r="G65" s="35" t="n">
        <v>-30</v>
      </c>
    </row>
    <row r="66">
      <c r="A66" s="35" t="inlineStr">
        <is>
          <t>Illinois State</t>
        </is>
      </c>
      <c r="B66" s="35" t="inlineStr">
        <is>
          <t>1-0</t>
        </is>
      </c>
      <c r="C66" s="35" t="n">
        <v>0.47</v>
      </c>
      <c r="D66" s="35" t="n">
        <v>61</v>
      </c>
      <c r="E66" s="35" t="n">
        <v>1460.9</v>
      </c>
      <c r="F66" s="35" t="n">
        <v>115</v>
      </c>
      <c r="G66" s="42" t="n">
        <v>54</v>
      </c>
    </row>
    <row r="67">
      <c r="A67" s="35" t="inlineStr">
        <is>
          <t>Oklahoma</t>
        </is>
      </c>
      <c r="B67" s="35" t="inlineStr">
        <is>
          <t>2-2</t>
        </is>
      </c>
      <c r="C67" s="35" t="n">
        <v>0.43</v>
      </c>
      <c r="D67" s="35" t="n">
        <v>62</v>
      </c>
      <c r="E67" s="35" t="n">
        <v>1640</v>
      </c>
      <c r="F67" s="35" t="n">
        <v>33</v>
      </c>
      <c r="G67" s="35" t="n">
        <v>-29</v>
      </c>
    </row>
    <row r="68">
      <c r="A68" s="35" t="inlineStr">
        <is>
          <t>Louisiana</t>
        </is>
      </c>
      <c r="B68" s="35" t="inlineStr">
        <is>
          <t>2-1</t>
        </is>
      </c>
      <c r="C68" s="35" t="n">
        <v>0.41</v>
      </c>
      <c r="D68" s="35" t="n">
        <v>63</v>
      </c>
      <c r="E68" s="35" t="n">
        <v>1553</v>
      </c>
      <c r="F68" s="35" t="n">
        <v>73</v>
      </c>
      <c r="G68" s="35" t="n">
        <v>10</v>
      </c>
    </row>
    <row r="69">
      <c r="A69" s="35" t="inlineStr">
        <is>
          <t>Western Michigan</t>
        </is>
      </c>
      <c r="B69" s="35" t="inlineStr">
        <is>
          <t>2-2</t>
        </is>
      </c>
      <c r="C69" s="35" t="n">
        <v>0.41</v>
      </c>
      <c r="D69" s="35" t="n">
        <v>64</v>
      </c>
      <c r="E69" s="35" t="n">
        <v>1590.8</v>
      </c>
      <c r="F69" s="35" t="n">
        <v>59</v>
      </c>
      <c r="G69" s="35" t="n">
        <v>-5</v>
      </c>
    </row>
    <row r="70">
      <c r="A70" s="35" t="inlineStr">
        <is>
          <t>UCF</t>
        </is>
      </c>
      <c r="B70" s="35" t="inlineStr">
        <is>
          <t>2-2</t>
        </is>
      </c>
      <c r="C70" s="35" t="n">
        <v>0.4</v>
      </c>
      <c r="D70" s="35" t="n">
        <v>65</v>
      </c>
      <c r="E70" s="35" t="n">
        <v>1528.5</v>
      </c>
      <c r="F70" s="35" t="n">
        <v>78</v>
      </c>
      <c r="G70" s="35" t="n">
        <v>13</v>
      </c>
    </row>
    <row r="71">
      <c r="A71" s="35" t="inlineStr">
        <is>
          <t>Washington</t>
        </is>
      </c>
      <c r="B71" s="35" t="inlineStr">
        <is>
          <t>2-1</t>
        </is>
      </c>
      <c r="C71" s="35" t="n">
        <v>0.35</v>
      </c>
      <c r="D71" s="35" t="n">
        <v>66</v>
      </c>
      <c r="E71" s="35" t="n">
        <v>1667.5</v>
      </c>
      <c r="F71" s="35" t="n">
        <v>22</v>
      </c>
      <c r="G71" s="35" t="n">
        <v>-44</v>
      </c>
    </row>
    <row r="72">
      <c r="A72" s="35" t="inlineStr">
        <is>
          <t>Baylor</t>
        </is>
      </c>
      <c r="B72" s="35" t="inlineStr">
        <is>
          <t>2-1</t>
        </is>
      </c>
      <c r="C72" s="35" t="n">
        <v>0.35</v>
      </c>
      <c r="D72" s="35" t="n">
        <v>67</v>
      </c>
      <c r="E72" s="35" t="n">
        <v>1565.6</v>
      </c>
      <c r="F72" s="35" t="n">
        <v>66</v>
      </c>
      <c r="G72" s="35" t="n">
        <v>-1</v>
      </c>
    </row>
    <row r="73">
      <c r="A73" s="35" t="inlineStr">
        <is>
          <t>UNLV</t>
        </is>
      </c>
      <c r="B73" s="35" t="inlineStr">
        <is>
          <t>2-2</t>
        </is>
      </c>
      <c r="C73" s="35" t="n">
        <v>0.35</v>
      </c>
      <c r="D73" s="35" t="n">
        <v>68</v>
      </c>
      <c r="E73" s="35" t="n">
        <v>1606.6</v>
      </c>
      <c r="F73" s="35" t="n">
        <v>49</v>
      </c>
      <c r="G73" s="35" t="n">
        <v>-19</v>
      </c>
    </row>
    <row r="74">
      <c r="A74" s="35" t="inlineStr">
        <is>
          <t>The Citadel</t>
        </is>
      </c>
      <c r="B74" s="35" t="inlineStr">
        <is>
          <t>1-0</t>
        </is>
      </c>
      <c r="C74" s="35" t="n">
        <v>0.34</v>
      </c>
      <c r="D74" s="35" t="n">
        <v>69</v>
      </c>
      <c r="E74" s="35" t="n">
        <v>1459.6</v>
      </c>
      <c r="F74" s="35" t="n">
        <v>118</v>
      </c>
      <c r="G74" s="42" t="n">
        <v>49</v>
      </c>
    </row>
    <row r="75">
      <c r="A75" s="35" t="inlineStr">
        <is>
          <t>Arizona State</t>
        </is>
      </c>
      <c r="B75" s="35" t="inlineStr">
        <is>
          <t>1-1</t>
        </is>
      </c>
      <c r="C75" s="35" t="n">
        <v>0.33</v>
      </c>
      <c r="D75" s="35" t="n">
        <v>70</v>
      </c>
      <c r="E75" s="35" t="n">
        <v>1606</v>
      </c>
      <c r="F75" s="35" t="n">
        <v>50</v>
      </c>
      <c r="G75" s="35" t="n">
        <v>-20</v>
      </c>
    </row>
    <row r="76">
      <c r="A76" s="35" t="inlineStr">
        <is>
          <t>Toledo</t>
        </is>
      </c>
      <c r="B76" s="35" t="inlineStr">
        <is>
          <t>2-1</t>
        </is>
      </c>
      <c r="C76" s="35" t="n">
        <v>0.29</v>
      </c>
      <c r="D76" s="35" t="n">
        <v>71</v>
      </c>
      <c r="E76" s="35" t="n">
        <v>1600.6</v>
      </c>
      <c r="F76" s="35" t="n">
        <v>52</v>
      </c>
      <c r="G76" s="35" t="n">
        <v>-19</v>
      </c>
    </row>
    <row r="77">
      <c r="A77" s="35" t="inlineStr">
        <is>
          <t>Jacksonville State</t>
        </is>
      </c>
      <c r="B77" s="35" t="inlineStr">
        <is>
          <t>2-2</t>
        </is>
      </c>
      <c r="C77" s="35" t="n">
        <v>0.29</v>
      </c>
      <c r="D77" s="35" t="n">
        <v>72</v>
      </c>
      <c r="E77" s="35" t="n">
        <v>1579.4</v>
      </c>
      <c r="F77" s="35" t="n">
        <v>63</v>
      </c>
      <c r="G77" s="35" t="n">
        <v>-9</v>
      </c>
    </row>
    <row r="78">
      <c r="A78" s="35" t="inlineStr">
        <is>
          <t>North Carolina</t>
        </is>
      </c>
      <c r="B78" s="35" t="inlineStr">
        <is>
          <t>1-2</t>
        </is>
      </c>
      <c r="C78" s="35" t="n">
        <v>0.23</v>
      </c>
      <c r="D78" s="35" t="n">
        <v>73</v>
      </c>
      <c r="E78" s="35" t="n">
        <v>1494.2</v>
      </c>
      <c r="F78" s="35" t="n">
        <v>92</v>
      </c>
      <c r="G78" s="42" t="n">
        <v>19</v>
      </c>
    </row>
    <row r="79">
      <c r="A79" s="35" t="inlineStr">
        <is>
          <t>Iowa State</t>
        </is>
      </c>
      <c r="B79" s="35" t="inlineStr">
        <is>
          <t>2-2</t>
        </is>
      </c>
      <c r="C79" s="35" t="n">
        <v>0.23</v>
      </c>
      <c r="D79" s="35" t="n">
        <v>74</v>
      </c>
      <c r="E79" s="35" t="n">
        <v>1609.9</v>
      </c>
      <c r="F79" s="35" t="n">
        <v>46</v>
      </c>
      <c r="G79" s="35" t="n">
        <v>-28</v>
      </c>
    </row>
    <row r="80">
      <c r="A80" s="35" t="inlineStr">
        <is>
          <t>Tulane</t>
        </is>
      </c>
      <c r="B80" s="35" t="inlineStr">
        <is>
          <t>2-2</t>
        </is>
      </c>
      <c r="C80" s="35" t="n">
        <v>0.22</v>
      </c>
      <c r="D80" s="35" t="n">
        <v>75</v>
      </c>
      <c r="E80" s="35" t="n">
        <v>1610.3</v>
      </c>
      <c r="F80" s="35" t="n">
        <v>44</v>
      </c>
      <c r="G80" s="35" t="n">
        <v>-31</v>
      </c>
    </row>
    <row r="81">
      <c r="A81" s="35" t="inlineStr">
        <is>
          <t>Stanford</t>
        </is>
      </c>
      <c r="B81" s="35" t="inlineStr">
        <is>
          <t>2-3</t>
        </is>
      </c>
      <c r="C81" s="35" t="n">
        <v>0.17</v>
      </c>
      <c r="D81" s="35" t="n">
        <v>76</v>
      </c>
      <c r="E81" s="35" t="n">
        <v>1442.2</v>
      </c>
      <c r="F81" s="35" t="n">
        <v>140</v>
      </c>
      <c r="G81" s="42" t="n">
        <v>64</v>
      </c>
    </row>
    <row r="82">
      <c r="A82" s="35" t="inlineStr">
        <is>
          <t>UAB</t>
        </is>
      </c>
      <c r="B82" s="35" t="inlineStr">
        <is>
          <t>2-2</t>
        </is>
      </c>
      <c r="C82" s="35" t="n">
        <v>0.16</v>
      </c>
      <c r="D82" s="35" t="n">
        <v>77</v>
      </c>
      <c r="E82" s="35" t="n">
        <v>1423.4</v>
      </c>
      <c r="F82" s="35" t="n">
        <v>174</v>
      </c>
      <c r="G82" s="42" t="n">
        <v>97</v>
      </c>
    </row>
    <row r="83">
      <c r="A83" s="35" t="inlineStr">
        <is>
          <t>Utah State</t>
        </is>
      </c>
      <c r="B83" s="35" t="inlineStr">
        <is>
          <t>1-2</t>
        </is>
      </c>
      <c r="C83" s="35" t="n">
        <v>0.11</v>
      </c>
      <c r="D83" s="35" t="n">
        <v>78</v>
      </c>
      <c r="E83" s="35" t="n">
        <v>1466.7</v>
      </c>
      <c r="F83" s="35" t="n">
        <v>111</v>
      </c>
      <c r="G83" s="42" t="n">
        <v>33</v>
      </c>
    </row>
    <row r="84">
      <c r="A84" s="35" t="inlineStr">
        <is>
          <t>Texas A&amp;M</t>
        </is>
      </c>
      <c r="B84" s="35" t="inlineStr">
        <is>
          <t>2-2</t>
        </is>
      </c>
      <c r="C84" s="35" t="n">
        <v>0.1</v>
      </c>
      <c r="D84" s="35" t="n">
        <v>79</v>
      </c>
      <c r="E84" s="35" t="n">
        <v>1638.9</v>
      </c>
      <c r="F84" s="35" t="n">
        <v>34</v>
      </c>
      <c r="G84" s="35" t="n">
        <v>-45</v>
      </c>
    </row>
    <row r="85">
      <c r="A85" s="35" t="inlineStr">
        <is>
          <t>West Virginia</t>
        </is>
      </c>
      <c r="B85" s="35" t="inlineStr">
        <is>
          <t>2-2</t>
        </is>
      </c>
      <c r="C85" s="35" t="n">
        <v>0.08</v>
      </c>
      <c r="D85" s="35" t="n">
        <v>80</v>
      </c>
      <c r="E85" s="35" t="n">
        <v>1508.2</v>
      </c>
      <c r="F85" s="35" t="n">
        <v>85</v>
      </c>
      <c r="G85" s="35" t="n">
        <v>5</v>
      </c>
    </row>
    <row r="86">
      <c r="A86" s="35" t="inlineStr">
        <is>
          <t>Army</t>
        </is>
      </c>
      <c r="B86" s="35" t="inlineStr">
        <is>
          <t>1-1</t>
        </is>
      </c>
      <c r="C86" s="35" t="n">
        <v>0.06</v>
      </c>
      <c r="D86" s="35" t="n">
        <v>81</v>
      </c>
      <c r="E86" s="35" t="n">
        <v>1610.1</v>
      </c>
      <c r="F86" s="35" t="n">
        <v>45</v>
      </c>
      <c r="G86" s="35" t="n">
        <v>-36</v>
      </c>
    </row>
    <row r="87">
      <c r="A87" s="35" t="inlineStr">
        <is>
          <t>Colorado</t>
        </is>
      </c>
      <c r="B87" s="35" t="inlineStr">
        <is>
          <t>1-2</t>
        </is>
      </c>
      <c r="C87" s="35" t="n">
        <v>0.02</v>
      </c>
      <c r="D87" s="35" t="n">
        <v>82</v>
      </c>
      <c r="E87" s="35" t="n">
        <v>1460</v>
      </c>
      <c r="F87" s="35" t="n">
        <v>116</v>
      </c>
      <c r="G87" s="42" t="n">
        <v>34</v>
      </c>
    </row>
    <row r="88">
      <c r="A88" s="35" t="inlineStr">
        <is>
          <t>Texas State</t>
        </is>
      </c>
      <c r="B88" s="35" t="inlineStr">
        <is>
          <t>1-2</t>
        </is>
      </c>
      <c r="C88" s="35" t="n">
        <v>0</v>
      </c>
      <c r="D88" s="35" t="n">
        <v>83</v>
      </c>
      <c r="E88" s="35" t="n">
        <v>1588.2</v>
      </c>
      <c r="F88" s="35" t="n">
        <v>60</v>
      </c>
      <c r="G88" s="35" t="n">
        <v>-23</v>
      </c>
    </row>
    <row r="89">
      <c r="A89" s="35" t="inlineStr">
        <is>
          <t>Louisville</t>
        </is>
      </c>
      <c r="B89" s="35" t="inlineStr">
        <is>
          <t>1-2</t>
        </is>
      </c>
      <c r="C89" s="35" t="n">
        <v>-0.01</v>
      </c>
      <c r="D89" s="35" t="n">
        <v>84</v>
      </c>
      <c r="E89" s="35" t="n">
        <v>1658.8</v>
      </c>
      <c r="F89" s="35" t="n">
        <v>24</v>
      </c>
      <c r="G89" s="35" t="n">
        <v>-60</v>
      </c>
    </row>
    <row r="90">
      <c r="A90" s="35" t="inlineStr">
        <is>
          <t>Arkansas</t>
        </is>
      </c>
      <c r="B90" s="35" t="inlineStr">
        <is>
          <t>1-2</t>
        </is>
      </c>
      <c r="C90" s="35" t="n">
        <v>-0.04</v>
      </c>
      <c r="D90" s="35" t="n">
        <v>85</v>
      </c>
      <c r="E90" s="35" t="n">
        <v>1504.3</v>
      </c>
      <c r="F90" s="35" t="n">
        <v>89</v>
      </c>
      <c r="G90" s="35" t="n">
        <v>4</v>
      </c>
    </row>
    <row r="91">
      <c r="A91" s="35" t="inlineStr">
        <is>
          <t>South Alabama</t>
        </is>
      </c>
      <c r="B91" s="35" t="inlineStr">
        <is>
          <t>1-2</t>
        </is>
      </c>
      <c r="C91" s="35" t="n">
        <v>-0.05</v>
      </c>
      <c r="D91" s="35" t="n">
        <v>86</v>
      </c>
      <c r="E91" s="35" t="n">
        <v>1493.6</v>
      </c>
      <c r="F91" s="35" t="n">
        <v>93</v>
      </c>
      <c r="G91" s="35" t="n">
        <v>7</v>
      </c>
    </row>
    <row r="92">
      <c r="A92" s="35" t="inlineStr">
        <is>
          <t>NC State</t>
        </is>
      </c>
      <c r="B92" s="35" t="inlineStr">
        <is>
          <t>1-2</t>
        </is>
      </c>
      <c r="C92" s="35" t="n">
        <v>-0.05</v>
      </c>
      <c r="D92" s="35" t="n">
        <v>87</v>
      </c>
      <c r="E92" s="35" t="n">
        <v>1592.5</v>
      </c>
      <c r="F92" s="35" t="n">
        <v>58</v>
      </c>
      <c r="G92" s="35" t="n">
        <v>-29</v>
      </c>
    </row>
    <row r="93">
      <c r="A93" s="35" t="inlineStr">
        <is>
          <t>East Carolina</t>
        </is>
      </c>
      <c r="B93" s="35" t="inlineStr">
        <is>
          <t>1-2</t>
        </is>
      </c>
      <c r="C93" s="35" t="n">
        <v>-0.06</v>
      </c>
      <c r="D93" s="35" t="n">
        <v>88</v>
      </c>
      <c r="E93" s="35" t="n">
        <v>1593.3</v>
      </c>
      <c r="F93" s="35" t="n">
        <v>56</v>
      </c>
      <c r="G93" s="35" t="n">
        <v>-32</v>
      </c>
    </row>
    <row r="94">
      <c r="A94" s="35" t="inlineStr">
        <is>
          <t>Michigan State</t>
        </is>
      </c>
      <c r="B94" s="35" t="inlineStr">
        <is>
          <t>2-3</t>
        </is>
      </c>
      <c r="C94" s="35" t="n">
        <v>-0.06</v>
      </c>
      <c r="D94" s="35" t="n">
        <v>89</v>
      </c>
      <c r="E94" s="35" t="n">
        <v>1452.4</v>
      </c>
      <c r="F94" s="35" t="n">
        <v>125</v>
      </c>
      <c r="G94" s="42" t="n">
        <v>36</v>
      </c>
    </row>
    <row r="95">
      <c r="A95" s="35" t="inlineStr">
        <is>
          <t>SE Louisiana</t>
        </is>
      </c>
      <c r="B95" s="35" t="inlineStr">
        <is>
          <t>1-1</t>
        </is>
      </c>
      <c r="C95" s="35" t="n">
        <v>-0.07000000000000001</v>
      </c>
      <c r="D95" s="35" t="n">
        <v>90</v>
      </c>
      <c r="E95" s="35" t="n">
        <v>1412.1</v>
      </c>
      <c r="F95" s="35" t="n">
        <v>202</v>
      </c>
      <c r="G95" s="42" t="n">
        <v>112</v>
      </c>
    </row>
    <row r="96">
      <c r="A96" s="35" t="inlineStr">
        <is>
          <t>Arkansas State</t>
        </is>
      </c>
      <c r="B96" s="35" t="inlineStr">
        <is>
          <t>1-2</t>
        </is>
      </c>
      <c r="C96" s="35" t="n">
        <v>-0.12</v>
      </c>
      <c r="D96" s="35" t="n">
        <v>91</v>
      </c>
      <c r="E96" s="35" t="n">
        <v>1509.2</v>
      </c>
      <c r="F96" s="35" t="n">
        <v>84</v>
      </c>
      <c r="G96" s="35" t="n">
        <v>-7</v>
      </c>
    </row>
    <row r="97">
      <c r="A97" s="35" t="inlineStr">
        <is>
          <t>Tennessee State</t>
        </is>
      </c>
      <c r="B97" s="35" t="inlineStr">
        <is>
          <t>0-1</t>
        </is>
      </c>
      <c r="C97" s="35" t="n">
        <v>-0.12</v>
      </c>
      <c r="D97" s="35" t="n">
        <v>92</v>
      </c>
      <c r="E97" s="35" t="n">
        <v>1447.4</v>
      </c>
      <c r="F97" s="35" t="n">
        <v>130</v>
      </c>
      <c r="G97" s="42" t="n">
        <v>38</v>
      </c>
    </row>
    <row r="98">
      <c r="A98" s="35" t="inlineStr">
        <is>
          <t>Miami (OH)</t>
        </is>
      </c>
      <c r="B98" s="35" t="inlineStr">
        <is>
          <t>1-2</t>
        </is>
      </c>
      <c r="C98" s="35" t="n">
        <v>-0.13</v>
      </c>
      <c r="D98" s="35" t="n">
        <v>93</v>
      </c>
      <c r="E98" s="35" t="n">
        <v>1536.7</v>
      </c>
      <c r="F98" s="35" t="n">
        <v>76</v>
      </c>
      <c r="G98" s="35" t="n">
        <v>-17</v>
      </c>
    </row>
    <row r="99">
      <c r="A99" s="35" t="inlineStr">
        <is>
          <t>Florida A&amp;M</t>
        </is>
      </c>
      <c r="B99" s="35" t="inlineStr">
        <is>
          <t>0-1</t>
        </is>
      </c>
      <c r="C99" s="35" t="n">
        <v>-0.14</v>
      </c>
      <c r="D99" s="35" t="n">
        <v>94</v>
      </c>
      <c r="E99" s="35" t="n">
        <v>1414.3</v>
      </c>
      <c r="F99" s="35" t="n">
        <v>191</v>
      </c>
      <c r="G99" s="42" t="n">
        <v>97</v>
      </c>
    </row>
    <row r="100">
      <c r="A100" s="35" t="inlineStr">
        <is>
          <t>Central Michigan</t>
        </is>
      </c>
      <c r="B100" s="35" t="inlineStr">
        <is>
          <t>1-2</t>
        </is>
      </c>
      <c r="C100" s="35" t="n">
        <v>-0.16</v>
      </c>
      <c r="D100" s="35" t="n">
        <v>95</v>
      </c>
      <c r="E100" s="35" t="n">
        <v>1466.3</v>
      </c>
      <c r="F100" s="35" t="n">
        <v>112</v>
      </c>
      <c r="G100" s="42" t="n">
        <v>17</v>
      </c>
    </row>
    <row r="101">
      <c r="A101" s="35" t="inlineStr">
        <is>
          <t>Abilene Christian</t>
        </is>
      </c>
      <c r="B101" s="35" t="inlineStr">
        <is>
          <t>0-1</t>
        </is>
      </c>
      <c r="C101" s="35" t="n">
        <v>-0.17</v>
      </c>
      <c r="D101" s="35" t="n">
        <v>96</v>
      </c>
      <c r="E101" s="35" t="n">
        <v>1414.3</v>
      </c>
      <c r="F101" s="35" t="n">
        <v>192</v>
      </c>
      <c r="G101" s="42" t="n">
        <v>96</v>
      </c>
    </row>
    <row r="102">
      <c r="A102" s="35" t="inlineStr">
        <is>
          <t>UC Davis</t>
        </is>
      </c>
      <c r="B102" s="35" t="inlineStr">
        <is>
          <t>0-1</t>
        </is>
      </c>
      <c r="C102" s="35" t="n">
        <v>-0.18</v>
      </c>
      <c r="D102" s="35" t="n">
        <v>97</v>
      </c>
      <c r="E102" s="35" t="n">
        <v>1449.9</v>
      </c>
      <c r="F102" s="35" t="n">
        <v>127</v>
      </c>
      <c r="G102" s="42" t="n">
        <v>30</v>
      </c>
    </row>
    <row r="103">
      <c r="A103" s="35" t="inlineStr">
        <is>
          <t>Idaho</t>
        </is>
      </c>
      <c r="B103" s="35" t="inlineStr">
        <is>
          <t>0-1</t>
        </is>
      </c>
      <c r="C103" s="35" t="n">
        <v>-0.18</v>
      </c>
      <c r="D103" s="35" t="n">
        <v>98</v>
      </c>
      <c r="E103" s="35" t="n">
        <v>1459.1</v>
      </c>
      <c r="F103" s="35" t="n">
        <v>120</v>
      </c>
      <c r="G103" s="42" t="n">
        <v>22</v>
      </c>
    </row>
    <row r="104">
      <c r="A104" s="35" t="inlineStr">
        <is>
          <t>Northern Iowa</t>
        </is>
      </c>
      <c r="B104" s="35" t="inlineStr">
        <is>
          <t>0-1</t>
        </is>
      </c>
      <c r="C104" s="35" t="n">
        <v>-0.18</v>
      </c>
      <c r="D104" s="35" t="n">
        <v>99</v>
      </c>
      <c r="E104" s="35" t="n">
        <v>1411.5</v>
      </c>
      <c r="F104" s="35" t="n">
        <v>204</v>
      </c>
      <c r="G104" s="42" t="n">
        <v>105</v>
      </c>
    </row>
    <row r="105">
      <c r="A105" s="35" t="inlineStr">
        <is>
          <t>San José State</t>
        </is>
      </c>
      <c r="B105" s="35" t="inlineStr">
        <is>
          <t>1-2</t>
        </is>
      </c>
      <c r="C105" s="35" t="n">
        <v>-0.18</v>
      </c>
      <c r="D105" s="35" t="n">
        <v>100</v>
      </c>
      <c r="E105" s="35" t="n">
        <v>1428.8</v>
      </c>
      <c r="F105" s="35" t="n">
        <v>165</v>
      </c>
      <c r="G105" s="42" t="n">
        <v>65</v>
      </c>
    </row>
    <row r="106">
      <c r="A106" s="35" t="inlineStr">
        <is>
          <t>Tulsa</t>
        </is>
      </c>
      <c r="B106" s="35" t="inlineStr">
        <is>
          <t>2-2</t>
        </is>
      </c>
      <c r="C106" s="35" t="n">
        <v>-0.19</v>
      </c>
      <c r="D106" s="35" t="n">
        <v>101</v>
      </c>
      <c r="E106" s="35" t="n">
        <v>1426.3</v>
      </c>
      <c r="F106" s="35" t="n">
        <v>170</v>
      </c>
      <c r="G106" s="42" t="n">
        <v>69</v>
      </c>
    </row>
    <row r="107">
      <c r="A107" s="35" t="inlineStr">
        <is>
          <t>Utah Tech</t>
        </is>
      </c>
      <c r="B107" s="35" t="inlineStr">
        <is>
          <t>0-1</t>
        </is>
      </c>
      <c r="C107" s="35" t="n">
        <v>-0.19</v>
      </c>
      <c r="D107" s="35" t="n">
        <v>102</v>
      </c>
      <c r="E107" s="35" t="n">
        <v>1439.6</v>
      </c>
      <c r="F107" s="35" t="n">
        <v>145</v>
      </c>
      <c r="G107" s="42" t="n">
        <v>43</v>
      </c>
    </row>
    <row r="108">
      <c r="A108" s="35" t="inlineStr">
        <is>
          <t>Oregon State</t>
        </is>
      </c>
      <c r="B108" s="35" t="inlineStr">
        <is>
          <t>1-2</t>
        </is>
      </c>
      <c r="C108" s="35" t="n">
        <v>-0.19</v>
      </c>
      <c r="D108" s="35" t="n">
        <v>103</v>
      </c>
      <c r="E108" s="35" t="n">
        <v>1456.6</v>
      </c>
      <c r="F108" s="35" t="n">
        <v>122</v>
      </c>
      <c r="G108" s="42" t="n">
        <v>19</v>
      </c>
    </row>
    <row r="109">
      <c r="A109" s="35" t="inlineStr">
        <is>
          <t>Eastern Washington</t>
        </is>
      </c>
      <c r="B109" s="35" t="inlineStr">
        <is>
          <t>0-1</t>
        </is>
      </c>
      <c r="C109" s="35" t="n">
        <v>-0.2</v>
      </c>
      <c r="D109" s="35" t="n">
        <v>104</v>
      </c>
      <c r="E109" s="35" t="n">
        <v>1433.4</v>
      </c>
      <c r="F109" s="35" t="n">
        <v>156</v>
      </c>
      <c r="G109" s="42" t="n">
        <v>52</v>
      </c>
    </row>
    <row r="110">
      <c r="A110" s="35" t="inlineStr">
        <is>
          <t>Kent State</t>
        </is>
      </c>
      <c r="B110" s="35" t="inlineStr">
        <is>
          <t>1-2</t>
        </is>
      </c>
      <c r="C110" s="35" t="n">
        <v>-0.2</v>
      </c>
      <c r="D110" s="35" t="n">
        <v>105</v>
      </c>
      <c r="E110" s="35" t="n">
        <v>1406.9</v>
      </c>
      <c r="F110" s="35" t="n">
        <v>210</v>
      </c>
      <c r="G110" s="42" t="n">
        <v>105</v>
      </c>
    </row>
    <row r="111">
      <c r="A111" s="35" t="inlineStr">
        <is>
          <t>William &amp; Mary</t>
        </is>
      </c>
      <c r="B111" s="35" t="inlineStr">
        <is>
          <t>0-1</t>
        </is>
      </c>
      <c r="C111" s="35" t="n">
        <v>-0.2</v>
      </c>
      <c r="D111" s="35" t="n">
        <v>106</v>
      </c>
      <c r="E111" s="35" t="n">
        <v>1440</v>
      </c>
      <c r="F111" s="35" t="n">
        <v>144</v>
      </c>
      <c r="G111" s="42" t="n">
        <v>38</v>
      </c>
    </row>
    <row r="112">
      <c r="A112" s="35" t="inlineStr">
        <is>
          <t>Florida State</t>
        </is>
      </c>
      <c r="B112" s="35" t="inlineStr">
        <is>
          <t>1-2</t>
        </is>
      </c>
      <c r="C112" s="35" t="n">
        <v>-0.2</v>
      </c>
      <c r="D112" s="35" t="n">
        <v>107</v>
      </c>
      <c r="E112" s="35" t="n">
        <v>1519.1</v>
      </c>
      <c r="F112" s="35" t="n">
        <v>83</v>
      </c>
      <c r="G112" s="35" t="n">
        <v>-24</v>
      </c>
    </row>
    <row r="113">
      <c r="A113" s="35" t="inlineStr">
        <is>
          <t>Illinois</t>
        </is>
      </c>
      <c r="B113" s="35" t="inlineStr">
        <is>
          <t>1-2</t>
        </is>
      </c>
      <c r="C113" s="35" t="n">
        <v>-0.2</v>
      </c>
      <c r="D113" s="35" t="n">
        <v>108</v>
      </c>
      <c r="E113" s="35" t="n">
        <v>1602.1</v>
      </c>
      <c r="F113" s="35" t="n">
        <v>51</v>
      </c>
      <c r="G113" s="35" t="n">
        <v>-57</v>
      </c>
    </row>
    <row r="114">
      <c r="A114" s="35" t="inlineStr">
        <is>
          <t>Austin Peay</t>
        </is>
      </c>
      <c r="B114" s="35" t="inlineStr">
        <is>
          <t>0-1</t>
        </is>
      </c>
      <c r="C114" s="35" t="n">
        <v>-0.23</v>
      </c>
      <c r="D114" s="35" t="n">
        <v>109</v>
      </c>
      <c r="E114" s="35" t="n">
        <v>1470.1</v>
      </c>
      <c r="F114" s="35" t="n">
        <v>109</v>
      </c>
      <c r="G114" s="35" t="n">
        <v>0</v>
      </c>
    </row>
    <row r="115">
      <c r="A115" s="35" t="inlineStr">
        <is>
          <t>Villanova</t>
        </is>
      </c>
      <c r="B115" s="35" t="inlineStr">
        <is>
          <t>0-1</t>
        </is>
      </c>
      <c r="C115" s="35" t="n">
        <v>-0.23</v>
      </c>
      <c r="D115" s="35" t="n">
        <v>110</v>
      </c>
      <c r="E115" s="35" t="n">
        <v>1456.2</v>
      </c>
      <c r="F115" s="35" t="n">
        <v>124</v>
      </c>
      <c r="G115" s="35" t="n">
        <v>14</v>
      </c>
    </row>
    <row r="116">
      <c r="A116" s="35" t="inlineStr">
        <is>
          <t>Furman</t>
        </is>
      </c>
      <c r="B116" s="35" t="inlineStr">
        <is>
          <t>0-1</t>
        </is>
      </c>
      <c r="C116" s="35" t="n">
        <v>-0.25</v>
      </c>
      <c r="D116" s="35" t="n">
        <v>111</v>
      </c>
      <c r="E116" s="35" t="n">
        <v>1444.8</v>
      </c>
      <c r="F116" s="35" t="n">
        <v>135</v>
      </c>
      <c r="G116" s="42" t="n">
        <v>24</v>
      </c>
    </row>
    <row r="117">
      <c r="A117" s="35" t="inlineStr">
        <is>
          <t>Syracuse</t>
        </is>
      </c>
      <c r="B117" s="35" t="inlineStr">
        <is>
          <t>1-2</t>
        </is>
      </c>
      <c r="C117" s="35" t="n">
        <v>-0.25</v>
      </c>
      <c r="D117" s="35" t="n">
        <v>112</v>
      </c>
      <c r="E117" s="35" t="n">
        <v>1464.9</v>
      </c>
      <c r="F117" s="35" t="n">
        <v>114</v>
      </c>
      <c r="G117" s="35" t="n">
        <v>2</v>
      </c>
    </row>
    <row r="118">
      <c r="A118" s="35" t="inlineStr">
        <is>
          <t>South Dakota</t>
        </is>
      </c>
      <c r="B118" s="35" t="inlineStr">
        <is>
          <t>0-1</t>
        </is>
      </c>
      <c r="C118" s="35" t="n">
        <v>-0.25</v>
      </c>
      <c r="D118" s="35" t="n">
        <v>113</v>
      </c>
      <c r="E118" s="35" t="n">
        <v>1445.5</v>
      </c>
      <c r="F118" s="35" t="n">
        <v>134</v>
      </c>
      <c r="G118" s="42" t="n">
        <v>21</v>
      </c>
    </row>
    <row r="119">
      <c r="A119" s="35" t="inlineStr">
        <is>
          <t>Delaware State</t>
        </is>
      </c>
      <c r="B119" s="35" t="inlineStr">
        <is>
          <t>0-1</t>
        </is>
      </c>
      <c r="C119" s="35" t="n">
        <v>-0.25</v>
      </c>
      <c r="D119" s="35" t="n">
        <v>114</v>
      </c>
      <c r="E119" s="35" t="n">
        <v>1412.3</v>
      </c>
      <c r="F119" s="35" t="n">
        <v>200</v>
      </c>
      <c r="G119" s="42" t="n">
        <v>86</v>
      </c>
    </row>
    <row r="120">
      <c r="A120" s="35" t="inlineStr">
        <is>
          <t>Grambling</t>
        </is>
      </c>
      <c r="B120" s="35" t="inlineStr">
        <is>
          <t>0-1</t>
        </is>
      </c>
      <c r="C120" s="35" t="n">
        <v>-0.26</v>
      </c>
      <c r="D120" s="35" t="n">
        <v>115</v>
      </c>
      <c r="E120" s="35" t="n">
        <v>1429.6</v>
      </c>
      <c r="F120" s="35" t="n">
        <v>162</v>
      </c>
      <c r="G120" s="42" t="n">
        <v>47</v>
      </c>
    </row>
    <row r="121">
      <c r="A121" s="35" t="inlineStr">
        <is>
          <t>Bucknell</t>
        </is>
      </c>
      <c r="B121" s="35" t="inlineStr">
        <is>
          <t>0-1</t>
        </is>
      </c>
      <c r="C121" s="35" t="n">
        <v>-0.26</v>
      </c>
      <c r="D121" s="35" t="n">
        <v>116</v>
      </c>
      <c r="E121" s="35" t="n">
        <v>1431.1</v>
      </c>
      <c r="F121" s="35" t="n">
        <v>158</v>
      </c>
      <c r="G121" s="42" t="n">
        <v>42</v>
      </c>
    </row>
    <row r="122">
      <c r="A122" s="35" t="inlineStr">
        <is>
          <t>Northern Arizona</t>
        </is>
      </c>
      <c r="B122" s="35" t="inlineStr">
        <is>
          <t>0-1</t>
        </is>
      </c>
      <c r="C122" s="35" t="n">
        <v>-0.26</v>
      </c>
      <c r="D122" s="35" t="n">
        <v>117</v>
      </c>
      <c r="E122" s="35" t="n">
        <v>1447.5</v>
      </c>
      <c r="F122" s="35" t="n">
        <v>129</v>
      </c>
      <c r="G122" s="35" t="n">
        <v>12</v>
      </c>
    </row>
    <row r="123">
      <c r="A123" s="35" t="inlineStr">
        <is>
          <t>Colorado State</t>
        </is>
      </c>
      <c r="B123" s="35" t="inlineStr">
        <is>
          <t>1-2</t>
        </is>
      </c>
      <c r="C123" s="35" t="n">
        <v>-0.26</v>
      </c>
      <c r="D123" s="35" t="n">
        <v>118</v>
      </c>
      <c r="E123" s="35" t="n">
        <v>1427.9</v>
      </c>
      <c r="F123" s="35" t="n">
        <v>167</v>
      </c>
      <c r="G123" s="42" t="n">
        <v>49</v>
      </c>
    </row>
    <row r="124">
      <c r="A124" s="35" t="inlineStr">
        <is>
          <t>Arkansas-Pine Bluff</t>
        </is>
      </c>
      <c r="B124" s="35" t="inlineStr">
        <is>
          <t>0-1</t>
        </is>
      </c>
      <c r="C124" s="35" t="n">
        <v>-0.26</v>
      </c>
      <c r="D124" s="35" t="n">
        <v>119</v>
      </c>
      <c r="E124" s="35" t="n">
        <v>1422.7</v>
      </c>
      <c r="F124" s="35" t="n">
        <v>177</v>
      </c>
      <c r="G124" s="42" t="n">
        <v>58</v>
      </c>
    </row>
    <row r="125">
      <c r="A125" s="35" t="inlineStr">
        <is>
          <t>Southeast Missouri State</t>
        </is>
      </c>
      <c r="B125" s="35" t="inlineStr">
        <is>
          <t>0-1</t>
        </is>
      </c>
      <c r="C125" s="35" t="n">
        <v>-0.27</v>
      </c>
      <c r="D125" s="35" t="n">
        <v>120</v>
      </c>
      <c r="E125" s="35" t="n">
        <v>1436.8</v>
      </c>
      <c r="F125" s="35" t="n">
        <v>148</v>
      </c>
      <c r="G125" s="42" t="n">
        <v>28</v>
      </c>
    </row>
    <row r="126">
      <c r="A126" s="35" t="inlineStr">
        <is>
          <t>Bryant</t>
        </is>
      </c>
      <c r="B126" s="35" t="inlineStr">
        <is>
          <t>0-1</t>
        </is>
      </c>
      <c r="C126" s="35" t="n">
        <v>-0.28</v>
      </c>
      <c r="D126" s="35" t="n">
        <v>121</v>
      </c>
      <c r="E126" s="35" t="n">
        <v>1434.1</v>
      </c>
      <c r="F126" s="35" t="n">
        <v>153</v>
      </c>
      <c r="G126" s="42" t="n">
        <v>32</v>
      </c>
    </row>
    <row r="127">
      <c r="A127" s="35" t="inlineStr">
        <is>
          <t>Ohio</t>
        </is>
      </c>
      <c r="B127" s="35" t="inlineStr">
        <is>
          <t>1-2</t>
        </is>
      </c>
      <c r="C127" s="35" t="n">
        <v>-0.28</v>
      </c>
      <c r="D127" s="35" t="n">
        <v>122</v>
      </c>
      <c r="E127" s="35" t="n">
        <v>1597.8</v>
      </c>
      <c r="F127" s="35" t="n">
        <v>53</v>
      </c>
      <c r="G127" s="35" t="n">
        <v>-69</v>
      </c>
    </row>
    <row r="128">
      <c r="A128" s="35" t="inlineStr">
        <is>
          <t>Southern Illinois</t>
        </is>
      </c>
      <c r="B128" s="35" t="inlineStr">
        <is>
          <t>0-1</t>
        </is>
      </c>
      <c r="C128" s="35" t="n">
        <v>-0.28</v>
      </c>
      <c r="D128" s="35" t="n">
        <v>123</v>
      </c>
      <c r="E128" s="35" t="n">
        <v>1436.5</v>
      </c>
      <c r="F128" s="35" t="n">
        <v>149</v>
      </c>
      <c r="G128" s="42" t="n">
        <v>26</v>
      </c>
    </row>
    <row r="129">
      <c r="A129" s="35" t="inlineStr">
        <is>
          <t>Morgan State</t>
        </is>
      </c>
      <c r="B129" s="35" t="inlineStr">
        <is>
          <t>0-1</t>
        </is>
      </c>
      <c r="C129" s="35" t="n">
        <v>-0.29</v>
      </c>
      <c r="D129" s="35" t="n">
        <v>124</v>
      </c>
      <c r="E129" s="35" t="n">
        <v>1414.2</v>
      </c>
      <c r="F129" s="35" t="n">
        <v>193</v>
      </c>
      <c r="G129" s="42" t="n">
        <v>69</v>
      </c>
    </row>
    <row r="130">
      <c r="A130" s="35" t="inlineStr">
        <is>
          <t>Eastern Illinois</t>
        </is>
      </c>
      <c r="B130" s="35" t="inlineStr">
        <is>
          <t>0-1</t>
        </is>
      </c>
      <c r="C130" s="35" t="n">
        <v>-0.29</v>
      </c>
      <c r="D130" s="35" t="n">
        <v>125</v>
      </c>
      <c r="E130" s="35" t="n">
        <v>1418.5</v>
      </c>
      <c r="F130" s="35" t="n">
        <v>184</v>
      </c>
      <c r="G130" s="42" t="n">
        <v>59</v>
      </c>
    </row>
    <row r="131">
      <c r="A131" s="35" t="inlineStr">
        <is>
          <t>Monmouth</t>
        </is>
      </c>
      <c r="B131" s="35" t="inlineStr">
        <is>
          <t>0-1</t>
        </is>
      </c>
      <c r="C131" s="35" t="n">
        <v>-0.3</v>
      </c>
      <c r="D131" s="35" t="n">
        <v>126</v>
      </c>
      <c r="E131" s="35" t="n">
        <v>1438.9</v>
      </c>
      <c r="F131" s="35" t="n">
        <v>147</v>
      </c>
      <c r="G131" s="42" t="n">
        <v>21</v>
      </c>
    </row>
    <row r="132">
      <c r="A132" s="35" t="inlineStr">
        <is>
          <t>Southern</t>
        </is>
      </c>
      <c r="B132" s="35" t="inlineStr">
        <is>
          <t>0-1</t>
        </is>
      </c>
      <c r="C132" s="35" t="n">
        <v>-0.3</v>
      </c>
      <c r="D132" s="35" t="n">
        <v>127</v>
      </c>
      <c r="E132" s="35" t="n">
        <v>1422.8</v>
      </c>
      <c r="F132" s="35" t="n">
        <v>176</v>
      </c>
      <c r="G132" s="42" t="n">
        <v>49</v>
      </c>
    </row>
    <row r="133">
      <c r="A133" s="35" t="inlineStr">
        <is>
          <t>UT Rio Grande Valley</t>
        </is>
      </c>
      <c r="B133" s="35" t="inlineStr">
        <is>
          <t>0-1</t>
        </is>
      </c>
      <c r="C133" s="35" t="n">
        <v>-0.3</v>
      </c>
      <c r="D133" s="35" t="n">
        <v>128</v>
      </c>
      <c r="E133" s="35" t="n">
        <v>1480.7</v>
      </c>
      <c r="F133" s="35" t="n">
        <v>101</v>
      </c>
      <c r="G133" s="35" t="n">
        <v>-27</v>
      </c>
    </row>
    <row r="134">
      <c r="A134" s="35" t="inlineStr">
        <is>
          <t>North Dakota</t>
        </is>
      </c>
      <c r="B134" s="35" t="inlineStr">
        <is>
          <t>0-1</t>
        </is>
      </c>
      <c r="C134" s="35" t="n">
        <v>-0.3</v>
      </c>
      <c r="D134" s="35" t="n">
        <v>129</v>
      </c>
      <c r="E134" s="35" t="n">
        <v>1451</v>
      </c>
      <c r="F134" s="35" t="n">
        <v>126</v>
      </c>
      <c r="G134" s="35" t="n">
        <v>-3</v>
      </c>
    </row>
    <row r="135">
      <c r="A135" s="35" t="inlineStr">
        <is>
          <t>North Carolina Central</t>
        </is>
      </c>
      <c r="B135" s="35" t="inlineStr">
        <is>
          <t>0-1</t>
        </is>
      </c>
      <c r="C135" s="35" t="n">
        <v>-0.31</v>
      </c>
      <c r="D135" s="35" t="n">
        <v>130</v>
      </c>
      <c r="E135" s="35" t="n">
        <v>1429.2</v>
      </c>
      <c r="F135" s="35" t="n">
        <v>163</v>
      </c>
      <c r="G135" s="42" t="n">
        <v>33</v>
      </c>
    </row>
    <row r="136">
      <c r="A136" s="35" t="inlineStr">
        <is>
          <t>Incarnate Word</t>
        </is>
      </c>
      <c r="B136" s="35" t="inlineStr">
        <is>
          <t>0-1</t>
        </is>
      </c>
      <c r="C136" s="35" t="n">
        <v>-0.32</v>
      </c>
      <c r="D136" s="35" t="n">
        <v>131</v>
      </c>
      <c r="E136" s="35" t="n">
        <v>1441.2</v>
      </c>
      <c r="F136" s="35" t="n">
        <v>141</v>
      </c>
      <c r="G136" s="35" t="n">
        <v>10</v>
      </c>
    </row>
    <row r="137">
      <c r="A137" s="35" t="inlineStr">
        <is>
          <t>Richmond</t>
        </is>
      </c>
      <c r="B137" s="35" t="inlineStr">
        <is>
          <t>0-1</t>
        </is>
      </c>
      <c r="C137" s="35" t="n">
        <v>-0.32</v>
      </c>
      <c r="D137" s="35" t="n">
        <v>132</v>
      </c>
      <c r="E137" s="35" t="n">
        <v>1425.1</v>
      </c>
      <c r="F137" s="35" t="n">
        <v>172</v>
      </c>
      <c r="G137" s="42" t="n">
        <v>40</v>
      </c>
    </row>
    <row r="138">
      <c r="A138" s="35" t="inlineStr">
        <is>
          <t>Lafayette</t>
        </is>
      </c>
      <c r="B138" s="35" t="inlineStr">
        <is>
          <t>0-1</t>
        </is>
      </c>
      <c r="C138" s="35" t="n">
        <v>-0.32</v>
      </c>
      <c r="D138" s="35" t="n">
        <v>133</v>
      </c>
      <c r="E138" s="35" t="n">
        <v>1405.5</v>
      </c>
      <c r="F138" s="35" t="n">
        <v>212</v>
      </c>
      <c r="G138" s="42" t="n">
        <v>79</v>
      </c>
    </row>
    <row r="139">
      <c r="A139" s="35" t="inlineStr">
        <is>
          <t>Campbell</t>
        </is>
      </c>
      <c r="B139" s="35" t="inlineStr">
        <is>
          <t>0-1</t>
        </is>
      </c>
      <c r="C139" s="35" t="n">
        <v>-0.33</v>
      </c>
      <c r="D139" s="35" t="n">
        <v>134</v>
      </c>
      <c r="E139" s="35" t="n">
        <v>1413.9</v>
      </c>
      <c r="F139" s="35" t="n">
        <v>194</v>
      </c>
      <c r="G139" s="42" t="n">
        <v>60</v>
      </c>
    </row>
    <row r="140">
      <c r="A140" s="35" t="inlineStr">
        <is>
          <t>Central Connecticut</t>
        </is>
      </c>
      <c r="B140" s="35" t="inlineStr">
        <is>
          <t>0-1</t>
        </is>
      </c>
      <c r="C140" s="35" t="n">
        <v>-0.33</v>
      </c>
      <c r="D140" s="35" t="n">
        <v>135</v>
      </c>
      <c r="E140" s="35" t="n">
        <v>1403.3</v>
      </c>
      <c r="F140" s="35" t="n">
        <v>217</v>
      </c>
      <c r="G140" s="42" t="n">
        <v>82</v>
      </c>
    </row>
    <row r="141">
      <c r="A141" s="35" t="inlineStr">
        <is>
          <t>Eastern Kentucky</t>
        </is>
      </c>
      <c r="B141" s="35" t="inlineStr">
        <is>
          <t>0-1</t>
        </is>
      </c>
      <c r="C141" s="35" t="n">
        <v>-0.34</v>
      </c>
      <c r="D141" s="35" t="n">
        <v>136</v>
      </c>
      <c r="E141" s="35" t="n">
        <v>1409.5</v>
      </c>
      <c r="F141" s="35" t="n">
        <v>207</v>
      </c>
      <c r="G141" s="42" t="n">
        <v>71</v>
      </c>
    </row>
    <row r="142">
      <c r="A142" s="35" t="inlineStr">
        <is>
          <t>Alabama State</t>
        </is>
      </c>
      <c r="B142" s="35" t="inlineStr">
        <is>
          <t>0-1</t>
        </is>
      </c>
      <c r="C142" s="35" t="n">
        <v>-0.35</v>
      </c>
      <c r="D142" s="35" t="n">
        <v>137</v>
      </c>
      <c r="E142" s="35" t="n">
        <v>1428.8</v>
      </c>
      <c r="F142" s="35" t="n">
        <v>164</v>
      </c>
      <c r="G142" s="42" t="n">
        <v>27</v>
      </c>
    </row>
    <row r="143">
      <c r="A143" s="35" t="inlineStr">
        <is>
          <t>Western Carolina</t>
        </is>
      </c>
      <c r="B143" s="35" t="inlineStr">
        <is>
          <t>0-1</t>
        </is>
      </c>
      <c r="C143" s="35" t="n">
        <v>-0.35</v>
      </c>
      <c r="D143" s="35" t="n">
        <v>138</v>
      </c>
      <c r="E143" s="35" t="n">
        <v>1420.7</v>
      </c>
      <c r="F143" s="35" t="n">
        <v>180</v>
      </c>
      <c r="G143" s="42" t="n">
        <v>42</v>
      </c>
    </row>
    <row r="144">
      <c r="A144" s="35" t="inlineStr">
        <is>
          <t>Mercer</t>
        </is>
      </c>
      <c r="B144" s="35" t="inlineStr">
        <is>
          <t>0-1</t>
        </is>
      </c>
      <c r="C144" s="35" t="n">
        <v>-0.36</v>
      </c>
      <c r="D144" s="35" t="n">
        <v>139</v>
      </c>
      <c r="E144" s="35" t="n">
        <v>1430.9</v>
      </c>
      <c r="F144" s="35" t="n">
        <v>160</v>
      </c>
      <c r="G144" s="42" t="n">
        <v>21</v>
      </c>
    </row>
    <row r="145">
      <c r="A145" s="35" t="inlineStr">
        <is>
          <t>South Dakota State</t>
        </is>
      </c>
      <c r="B145" s="35" t="inlineStr">
        <is>
          <t>0-1</t>
        </is>
      </c>
      <c r="C145" s="35" t="n">
        <v>-0.36</v>
      </c>
      <c r="D145" s="35" t="n">
        <v>140</v>
      </c>
      <c r="E145" s="35" t="n">
        <v>1491.6</v>
      </c>
      <c r="F145" s="35" t="n">
        <v>95</v>
      </c>
      <c r="G145" s="35" t="n">
        <v>-45</v>
      </c>
    </row>
    <row r="146">
      <c r="A146" s="35" t="inlineStr">
        <is>
          <t>Charleston Southern</t>
        </is>
      </c>
      <c r="B146" s="35" t="inlineStr">
        <is>
          <t>0-1</t>
        </is>
      </c>
      <c r="C146" s="35" t="n">
        <v>-0.37</v>
      </c>
      <c r="D146" s="35" t="n">
        <v>141</v>
      </c>
      <c r="E146" s="35" t="n">
        <v>1411.7</v>
      </c>
      <c r="F146" s="35" t="n">
        <v>203</v>
      </c>
      <c r="G146" s="42" t="n">
        <v>62</v>
      </c>
    </row>
    <row r="147">
      <c r="A147" s="35" t="inlineStr">
        <is>
          <t>Northwestern State</t>
        </is>
      </c>
      <c r="B147" s="35" t="inlineStr">
        <is>
          <t>0-1</t>
        </is>
      </c>
      <c r="C147" s="35" t="n">
        <v>-0.38</v>
      </c>
      <c r="D147" s="35" t="n">
        <v>142</v>
      </c>
      <c r="E147" s="35" t="n">
        <v>1382.5</v>
      </c>
      <c r="F147" s="35" t="n">
        <v>238</v>
      </c>
      <c r="G147" s="42" t="n">
        <v>96</v>
      </c>
    </row>
    <row r="148">
      <c r="A148" s="35" t="inlineStr">
        <is>
          <t>Lamar</t>
        </is>
      </c>
      <c r="B148" s="35" t="inlineStr">
        <is>
          <t>0-1</t>
        </is>
      </c>
      <c r="C148" s="35" t="n">
        <v>-0.38</v>
      </c>
      <c r="D148" s="35" t="n">
        <v>143</v>
      </c>
      <c r="E148" s="35" t="n">
        <v>1412.8</v>
      </c>
      <c r="F148" s="35" t="n">
        <v>198</v>
      </c>
      <c r="G148" s="42" t="n">
        <v>55</v>
      </c>
    </row>
    <row r="149">
      <c r="A149" s="35" t="inlineStr">
        <is>
          <t>Youngstown State</t>
        </is>
      </c>
      <c r="B149" s="35" t="inlineStr">
        <is>
          <t>0-1</t>
        </is>
      </c>
      <c r="C149" s="35" t="n">
        <v>-0.39</v>
      </c>
      <c r="D149" s="35" t="n">
        <v>144</v>
      </c>
      <c r="E149" s="35" t="n">
        <v>1425.9</v>
      </c>
      <c r="F149" s="35" t="n">
        <v>171</v>
      </c>
      <c r="G149" s="42" t="n">
        <v>27</v>
      </c>
    </row>
    <row r="150">
      <c r="A150" s="35" t="inlineStr">
        <is>
          <t>Holy Cross</t>
        </is>
      </c>
      <c r="B150" s="35" t="inlineStr">
        <is>
          <t>0-1</t>
        </is>
      </c>
      <c r="C150" s="35" t="n">
        <v>-0.39</v>
      </c>
      <c r="D150" s="35" t="n">
        <v>145</v>
      </c>
      <c r="E150" s="35" t="n">
        <v>1444.4</v>
      </c>
      <c r="F150" s="35" t="n">
        <v>136</v>
      </c>
      <c r="G150" s="35" t="n">
        <v>-9</v>
      </c>
    </row>
    <row r="151">
      <c r="A151" s="35" t="inlineStr">
        <is>
          <t>Maryland</t>
        </is>
      </c>
      <c r="B151" s="35" t="inlineStr">
        <is>
          <t>1-2</t>
        </is>
      </c>
      <c r="C151" s="35" t="n">
        <v>-0.4</v>
      </c>
      <c r="D151" s="35" t="n">
        <v>146</v>
      </c>
      <c r="E151" s="35" t="n">
        <v>1457.2</v>
      </c>
      <c r="F151" s="35" t="n">
        <v>121</v>
      </c>
      <c r="G151" s="35" t="n">
        <v>-25</v>
      </c>
    </row>
    <row r="152">
      <c r="A152" s="35" t="inlineStr">
        <is>
          <t>Prairie View A&amp;M</t>
        </is>
      </c>
      <c r="B152" s="35" t="inlineStr">
        <is>
          <t>0-1</t>
        </is>
      </c>
      <c r="C152" s="35" t="n">
        <v>-0.4</v>
      </c>
      <c r="D152" s="35" t="n">
        <v>147</v>
      </c>
      <c r="E152" s="35" t="n">
        <v>1414.9</v>
      </c>
      <c r="F152" s="35" t="n">
        <v>189</v>
      </c>
      <c r="G152" s="42" t="n">
        <v>42</v>
      </c>
    </row>
    <row r="153">
      <c r="A153" s="35" t="inlineStr">
        <is>
          <t>Central Arkansas</t>
        </is>
      </c>
      <c r="B153" s="35" t="inlineStr">
        <is>
          <t>0-1</t>
        </is>
      </c>
      <c r="C153" s="35" t="n">
        <v>-0.41</v>
      </c>
      <c r="D153" s="35" t="n">
        <v>148</v>
      </c>
      <c r="E153" s="35" t="n">
        <v>1433.8</v>
      </c>
      <c r="F153" s="35" t="n">
        <v>154</v>
      </c>
      <c r="G153" s="35" t="n">
        <v>6</v>
      </c>
    </row>
    <row r="154">
      <c r="A154" s="35" t="inlineStr">
        <is>
          <t>Florida International</t>
        </is>
      </c>
      <c r="B154" s="35" t="inlineStr">
        <is>
          <t>1-2</t>
        </is>
      </c>
      <c r="C154" s="35" t="n">
        <v>-0.42</v>
      </c>
      <c r="D154" s="35" t="n">
        <v>149</v>
      </c>
      <c r="E154" s="35" t="n">
        <v>1488.5</v>
      </c>
      <c r="F154" s="35" t="n">
        <v>98</v>
      </c>
      <c r="G154" s="35" t="n">
        <v>-51</v>
      </c>
    </row>
    <row r="155">
      <c r="A155" s="35" t="inlineStr">
        <is>
          <t>East Tennessee State</t>
        </is>
      </c>
      <c r="B155" s="35" t="inlineStr">
        <is>
          <t>0-1</t>
        </is>
      </c>
      <c r="C155" s="35" t="n">
        <v>-0.42</v>
      </c>
      <c r="D155" s="35" t="n">
        <v>150</v>
      </c>
      <c r="E155" s="35" t="n">
        <v>1429.6</v>
      </c>
      <c r="F155" s="35" t="n">
        <v>161</v>
      </c>
      <c r="G155" s="35" t="n">
        <v>11</v>
      </c>
    </row>
    <row r="156">
      <c r="A156" s="35" t="inlineStr">
        <is>
          <t>Western Illinois</t>
        </is>
      </c>
      <c r="B156" s="35" t="inlineStr">
        <is>
          <t>0-1</t>
        </is>
      </c>
      <c r="C156" s="35" t="n">
        <v>-0.42</v>
      </c>
      <c r="D156" s="35" t="n">
        <v>151</v>
      </c>
      <c r="E156" s="35" t="n">
        <v>1387.5</v>
      </c>
      <c r="F156" s="35" t="n">
        <v>234</v>
      </c>
      <c r="G156" s="42" t="n">
        <v>83</v>
      </c>
    </row>
    <row r="157">
      <c r="A157" s="35" t="inlineStr">
        <is>
          <t>Merrimack</t>
        </is>
      </c>
      <c r="B157" s="35" t="inlineStr">
        <is>
          <t>0-1</t>
        </is>
      </c>
      <c r="C157" s="35" t="n">
        <v>-0.43</v>
      </c>
      <c r="D157" s="35" t="n">
        <v>152</v>
      </c>
      <c r="E157" s="35" t="n">
        <v>1400.8</v>
      </c>
      <c r="F157" s="35" t="n">
        <v>221</v>
      </c>
      <c r="G157" s="42" t="n">
        <v>69</v>
      </c>
    </row>
    <row r="158">
      <c r="A158" s="35" t="inlineStr">
        <is>
          <t>Bethune-Cookman</t>
        </is>
      </c>
      <c r="B158" s="35" t="inlineStr">
        <is>
          <t>0-1</t>
        </is>
      </c>
      <c r="C158" s="35" t="n">
        <v>-0.43</v>
      </c>
      <c r="D158" s="35" t="n">
        <v>153</v>
      </c>
      <c r="E158" s="35" t="n">
        <v>1379</v>
      </c>
      <c r="F158" s="35" t="n">
        <v>240</v>
      </c>
      <c r="G158" s="42" t="n">
        <v>87</v>
      </c>
    </row>
    <row r="159">
      <c r="A159" s="35" t="inlineStr">
        <is>
          <t>North Alabama</t>
        </is>
      </c>
      <c r="B159" s="35" t="inlineStr">
        <is>
          <t>0-1</t>
        </is>
      </c>
      <c r="C159" s="35" t="n">
        <v>-0.43</v>
      </c>
      <c r="D159" s="35" t="n">
        <v>154</v>
      </c>
      <c r="E159" s="35" t="n">
        <v>1434.2</v>
      </c>
      <c r="F159" s="35" t="n">
        <v>152</v>
      </c>
      <c r="G159" s="35" t="n">
        <v>-2</v>
      </c>
    </row>
    <row r="160">
      <c r="A160" s="35" t="inlineStr">
        <is>
          <t>South Carolina</t>
        </is>
      </c>
      <c r="B160" s="35" t="inlineStr">
        <is>
          <t>1-2</t>
        </is>
      </c>
      <c r="C160" s="35" t="n">
        <v>-0.45</v>
      </c>
      <c r="D160" s="35" t="n">
        <v>155</v>
      </c>
      <c r="E160" s="35" t="n">
        <v>1538.4</v>
      </c>
      <c r="F160" s="35" t="n">
        <v>75</v>
      </c>
      <c r="G160" s="35" t="n">
        <v>-80</v>
      </c>
    </row>
    <row r="161">
      <c r="A161" s="35" t="inlineStr">
        <is>
          <t>Weber State</t>
        </is>
      </c>
      <c r="B161" s="35" t="inlineStr">
        <is>
          <t>0-1</t>
        </is>
      </c>
      <c r="C161" s="35" t="n">
        <v>-0.45</v>
      </c>
      <c r="D161" s="35" t="n">
        <v>156</v>
      </c>
      <c r="E161" s="35" t="n">
        <v>1433.7</v>
      </c>
      <c r="F161" s="35" t="n">
        <v>155</v>
      </c>
      <c r="G161" s="35" t="n">
        <v>-1</v>
      </c>
    </row>
    <row r="162">
      <c r="A162" s="35" t="inlineStr">
        <is>
          <t>UAlbany</t>
        </is>
      </c>
      <c r="B162" s="35" t="inlineStr">
        <is>
          <t>0-1</t>
        </is>
      </c>
      <c r="C162" s="35" t="n">
        <v>-0.45</v>
      </c>
      <c r="D162" s="35" t="n">
        <v>157</v>
      </c>
      <c r="E162" s="35" t="n">
        <v>1435.7</v>
      </c>
      <c r="F162" s="35" t="n">
        <v>150</v>
      </c>
      <c r="G162" s="35" t="n">
        <v>-7</v>
      </c>
    </row>
    <row r="163">
      <c r="A163" s="35" t="inlineStr">
        <is>
          <t>Troy</t>
        </is>
      </c>
      <c r="B163" s="35" t="inlineStr">
        <is>
          <t>1-2</t>
        </is>
      </c>
      <c r="C163" s="35" t="n">
        <v>-0.45</v>
      </c>
      <c r="D163" s="35" t="n">
        <v>158</v>
      </c>
      <c r="E163" s="35" t="n">
        <v>1520.2</v>
      </c>
      <c r="F163" s="35" t="n">
        <v>82</v>
      </c>
      <c r="G163" s="35" t="n">
        <v>-76</v>
      </c>
    </row>
    <row r="164">
      <c r="A164" s="35" t="inlineStr">
        <is>
          <t>Hampton</t>
        </is>
      </c>
      <c r="B164" s="35" t="inlineStr">
        <is>
          <t>0-1</t>
        </is>
      </c>
      <c r="C164" s="35" t="n">
        <v>-0.48</v>
      </c>
      <c r="D164" s="35" t="n">
        <v>159</v>
      </c>
      <c r="E164" s="35" t="n">
        <v>1402.8</v>
      </c>
      <c r="F164" s="35" t="n">
        <v>219</v>
      </c>
      <c r="G164" s="42" t="n">
        <v>60</v>
      </c>
    </row>
    <row r="165">
      <c r="A165" s="35" t="inlineStr">
        <is>
          <t>New Hampshire</t>
        </is>
      </c>
      <c r="B165" s="35" t="inlineStr">
        <is>
          <t>0-1</t>
        </is>
      </c>
      <c r="C165" s="35" t="n">
        <v>-0.48</v>
      </c>
      <c r="D165" s="35" t="n">
        <v>160</v>
      </c>
      <c r="E165" s="35" t="n">
        <v>1417.1</v>
      </c>
      <c r="F165" s="35" t="n">
        <v>186</v>
      </c>
      <c r="G165" s="42" t="n">
        <v>26</v>
      </c>
    </row>
    <row r="166">
      <c r="A166" s="35" t="inlineStr">
        <is>
          <t>Mississippi Valley State</t>
        </is>
      </c>
      <c r="B166" s="35" t="inlineStr">
        <is>
          <t>0-1</t>
        </is>
      </c>
      <c r="C166" s="35" t="n">
        <v>-0.48</v>
      </c>
      <c r="D166" s="35" t="n">
        <v>161</v>
      </c>
      <c r="E166" s="35" t="n">
        <v>1435.2</v>
      </c>
      <c r="F166" s="35" t="n">
        <v>151</v>
      </c>
      <c r="G166" s="35" t="n">
        <v>-10</v>
      </c>
    </row>
    <row r="167">
      <c r="A167" s="35" t="inlineStr">
        <is>
          <t>Portland State</t>
        </is>
      </c>
      <c r="B167" s="35" t="inlineStr">
        <is>
          <t>0-2</t>
        </is>
      </c>
      <c r="C167" s="35" t="n">
        <v>-0.48</v>
      </c>
      <c r="D167" s="35" t="n">
        <v>162</v>
      </c>
      <c r="E167" s="35" t="n">
        <v>1391.8</v>
      </c>
      <c r="F167" s="35" t="n">
        <v>230</v>
      </c>
      <c r="G167" s="42" t="n">
        <v>68</v>
      </c>
    </row>
    <row r="168">
      <c r="A168" s="35" t="inlineStr">
        <is>
          <t>VMI</t>
        </is>
      </c>
      <c r="B168" s="35" t="inlineStr">
        <is>
          <t>0-1</t>
        </is>
      </c>
      <c r="C168" s="35" t="n">
        <v>-0.48</v>
      </c>
      <c r="D168" s="35" t="n">
        <v>163</v>
      </c>
      <c r="E168" s="35" t="n">
        <v>1411.1</v>
      </c>
      <c r="F168" s="35" t="n">
        <v>205</v>
      </c>
      <c r="G168" s="42" t="n">
        <v>42</v>
      </c>
    </row>
    <row r="169">
      <c r="A169" s="35" t="inlineStr">
        <is>
          <t>California</t>
        </is>
      </c>
      <c r="B169" s="35" t="inlineStr">
        <is>
          <t>1-2</t>
        </is>
      </c>
      <c r="C169" s="35" t="n">
        <v>-0.49</v>
      </c>
      <c r="D169" s="35" t="n">
        <v>164</v>
      </c>
      <c r="E169" s="35" t="n">
        <v>1475.7</v>
      </c>
      <c r="F169" s="35" t="n">
        <v>103</v>
      </c>
      <c r="G169" s="35" t="n">
        <v>-61</v>
      </c>
    </row>
    <row r="170">
      <c r="A170" s="35" t="inlineStr">
        <is>
          <t>Colgate</t>
        </is>
      </c>
      <c r="B170" s="35" t="inlineStr">
        <is>
          <t>0-1</t>
        </is>
      </c>
      <c r="C170" s="35" t="n">
        <v>-0.49</v>
      </c>
      <c r="D170" s="35" t="n">
        <v>165</v>
      </c>
      <c r="E170" s="35" t="n">
        <v>1422</v>
      </c>
      <c r="F170" s="35" t="n">
        <v>178</v>
      </c>
      <c r="G170" s="35" t="n">
        <v>13</v>
      </c>
    </row>
    <row r="171">
      <c r="A171" s="35" t="inlineStr">
        <is>
          <t>Alcorn State</t>
        </is>
      </c>
      <c r="B171" s="35" t="inlineStr">
        <is>
          <t>0-1</t>
        </is>
      </c>
      <c r="C171" s="35" t="n">
        <v>-0.5</v>
      </c>
      <c r="D171" s="35" t="n">
        <v>166</v>
      </c>
      <c r="E171" s="35" t="n">
        <v>1384.2</v>
      </c>
      <c r="F171" s="35" t="n">
        <v>236</v>
      </c>
      <c r="G171" s="42" t="n">
        <v>70</v>
      </c>
    </row>
    <row r="172">
      <c r="A172" s="35" t="inlineStr">
        <is>
          <t>Norfolk State</t>
        </is>
      </c>
      <c r="B172" s="35" t="inlineStr">
        <is>
          <t>0-2</t>
        </is>
      </c>
      <c r="C172" s="35" t="n">
        <v>-0.5</v>
      </c>
      <c r="D172" s="35" t="n">
        <v>167</v>
      </c>
      <c r="E172" s="35" t="n">
        <v>1404.2</v>
      </c>
      <c r="F172" s="35" t="n">
        <v>214</v>
      </c>
      <c r="G172" s="42" t="n">
        <v>47</v>
      </c>
    </row>
    <row r="173">
      <c r="A173" s="35" t="inlineStr">
        <is>
          <t>Cal Poly</t>
        </is>
      </c>
      <c r="B173" s="35" t="inlineStr">
        <is>
          <t>0-1</t>
        </is>
      </c>
      <c r="C173" s="35" t="n">
        <v>-0.5</v>
      </c>
      <c r="D173" s="35" t="n">
        <v>168</v>
      </c>
      <c r="E173" s="35" t="n">
        <v>1413.6</v>
      </c>
      <c r="F173" s="35" t="n">
        <v>196</v>
      </c>
      <c r="G173" s="42" t="n">
        <v>28</v>
      </c>
    </row>
    <row r="174">
      <c r="A174" s="35" t="inlineStr">
        <is>
          <t>TCU</t>
        </is>
      </c>
      <c r="B174" s="35" t="inlineStr">
        <is>
          <t>1-2</t>
        </is>
      </c>
      <c r="C174" s="35" t="n">
        <v>-0.51</v>
      </c>
      <c r="D174" s="35" t="n">
        <v>169</v>
      </c>
      <c r="E174" s="35" t="n">
        <v>1624</v>
      </c>
      <c r="F174" s="35" t="n">
        <v>38</v>
      </c>
      <c r="G174" s="35" t="n">
        <v>-131</v>
      </c>
    </row>
    <row r="175">
      <c r="A175" s="35" t="inlineStr">
        <is>
          <t>Rhode Island</t>
        </is>
      </c>
      <c r="B175" s="35" t="inlineStr">
        <is>
          <t>0-1</t>
        </is>
      </c>
      <c r="C175" s="35" t="n">
        <v>-0.51</v>
      </c>
      <c r="D175" s="35" t="n">
        <v>170</v>
      </c>
      <c r="E175" s="35" t="n">
        <v>1418.7</v>
      </c>
      <c r="F175" s="35" t="n">
        <v>183</v>
      </c>
      <c r="G175" s="35" t="n">
        <v>13</v>
      </c>
    </row>
    <row r="176">
      <c r="A176" s="35" t="inlineStr">
        <is>
          <t>Kansas</t>
        </is>
      </c>
      <c r="B176" s="35" t="inlineStr">
        <is>
          <t>1-2</t>
        </is>
      </c>
      <c r="C176" s="35" t="n">
        <v>-0.51</v>
      </c>
      <c r="D176" s="35" t="n">
        <v>171</v>
      </c>
      <c r="E176" s="35" t="n">
        <v>1521.7</v>
      </c>
      <c r="F176" s="35" t="n">
        <v>79</v>
      </c>
      <c r="G176" s="35" t="n">
        <v>-92</v>
      </c>
    </row>
    <row r="177">
      <c r="A177" s="35" t="inlineStr">
        <is>
          <t>East Texas A&amp;M</t>
        </is>
      </c>
      <c r="B177" s="35" t="inlineStr">
        <is>
          <t>0-1</t>
        </is>
      </c>
      <c r="C177" s="35" t="n">
        <v>-0.52</v>
      </c>
      <c r="D177" s="35" t="n">
        <v>172</v>
      </c>
      <c r="E177" s="35" t="n">
        <v>1420.6</v>
      </c>
      <c r="F177" s="35" t="n">
        <v>181</v>
      </c>
      <c r="G177" s="35" t="n">
        <v>9</v>
      </c>
    </row>
    <row r="178">
      <c r="A178" s="35" t="inlineStr">
        <is>
          <t>Southern Utah</t>
        </is>
      </c>
      <c r="B178" s="35" t="inlineStr">
        <is>
          <t>0-1</t>
        </is>
      </c>
      <c r="C178" s="35" t="n">
        <v>-0.52</v>
      </c>
      <c r="D178" s="35" t="n">
        <v>173</v>
      </c>
      <c r="E178" s="35" t="n">
        <v>1416.7</v>
      </c>
      <c r="F178" s="35" t="n">
        <v>187</v>
      </c>
      <c r="G178" s="35" t="n">
        <v>14</v>
      </c>
    </row>
    <row r="179">
      <c r="A179" s="35" t="inlineStr">
        <is>
          <t>Indiana State</t>
        </is>
      </c>
      <c r="B179" s="35" t="inlineStr">
        <is>
          <t>0-1</t>
        </is>
      </c>
      <c r="C179" s="35" t="n">
        <v>-0.55</v>
      </c>
      <c r="D179" s="35" t="n">
        <v>174</v>
      </c>
      <c r="E179" s="35" t="n">
        <v>1393.9</v>
      </c>
      <c r="F179" s="35" t="n">
        <v>226</v>
      </c>
      <c r="G179" s="42" t="n">
        <v>52</v>
      </c>
    </row>
    <row r="180">
      <c r="A180" s="35" t="inlineStr">
        <is>
          <t>Northern Colorado</t>
        </is>
      </c>
      <c r="B180" s="35" t="inlineStr">
        <is>
          <t>0-1</t>
        </is>
      </c>
      <c r="C180" s="35" t="n">
        <v>-0.55</v>
      </c>
      <c r="D180" s="35" t="n">
        <v>175</v>
      </c>
      <c r="E180" s="35" t="n">
        <v>1425.1</v>
      </c>
      <c r="F180" s="35" t="n">
        <v>173</v>
      </c>
      <c r="G180" s="35" t="n">
        <v>-2</v>
      </c>
    </row>
    <row r="181">
      <c r="A181" s="35" t="inlineStr">
        <is>
          <t>Towson</t>
        </is>
      </c>
      <c r="B181" s="35" t="inlineStr">
        <is>
          <t>0-2</t>
        </is>
      </c>
      <c r="C181" s="35" t="n">
        <v>-0.5600000000000001</v>
      </c>
      <c r="D181" s="35" t="n">
        <v>176</v>
      </c>
      <c r="E181" s="35" t="n">
        <v>1412.2</v>
      </c>
      <c r="F181" s="35" t="n">
        <v>201</v>
      </c>
      <c r="G181" s="42" t="n">
        <v>25</v>
      </c>
    </row>
    <row r="182">
      <c r="A182" s="35" t="inlineStr">
        <is>
          <t>Montana</t>
        </is>
      </c>
      <c r="B182" s="35" t="inlineStr">
        <is>
          <t>0-1</t>
        </is>
      </c>
      <c r="C182" s="35" t="n">
        <v>-0.58</v>
      </c>
      <c r="D182" s="35" t="n">
        <v>177</v>
      </c>
      <c r="E182" s="35" t="n">
        <v>1467.1</v>
      </c>
      <c r="F182" s="35" t="n">
        <v>110</v>
      </c>
      <c r="G182" s="35" t="n">
        <v>-67</v>
      </c>
    </row>
    <row r="183">
      <c r="A183" s="35" t="inlineStr">
        <is>
          <t>Howard</t>
        </is>
      </c>
      <c r="B183" s="35" t="inlineStr">
        <is>
          <t>0-2</t>
        </is>
      </c>
      <c r="C183" s="35" t="n">
        <v>-0.58</v>
      </c>
      <c r="D183" s="35" t="n">
        <v>178</v>
      </c>
      <c r="E183" s="35" t="n">
        <v>1388</v>
      </c>
      <c r="F183" s="35" t="n">
        <v>233</v>
      </c>
      <c r="G183" s="42" t="n">
        <v>55</v>
      </c>
    </row>
    <row r="184">
      <c r="A184" s="35" t="inlineStr">
        <is>
          <t>Stony Brook</t>
        </is>
      </c>
      <c r="B184" s="35" t="inlineStr">
        <is>
          <t>0-1</t>
        </is>
      </c>
      <c r="C184" s="35" t="n">
        <v>-0.59</v>
      </c>
      <c r="D184" s="35" t="n">
        <v>179</v>
      </c>
      <c r="E184" s="35" t="n">
        <v>1395</v>
      </c>
      <c r="F184" s="35" t="n">
        <v>225</v>
      </c>
      <c r="G184" s="42" t="n">
        <v>46</v>
      </c>
    </row>
    <row r="185">
      <c r="A185" s="35" t="inlineStr">
        <is>
          <t>Wagner</t>
        </is>
      </c>
      <c r="B185" s="35" t="inlineStr">
        <is>
          <t>0-2</t>
        </is>
      </c>
      <c r="C185" s="35" t="n">
        <v>-0.61</v>
      </c>
      <c r="D185" s="35" t="n">
        <v>180</v>
      </c>
      <c r="E185" s="35" t="n">
        <v>1353.5</v>
      </c>
      <c r="F185" s="35" t="n">
        <v>248</v>
      </c>
      <c r="G185" s="42" t="n">
        <v>68</v>
      </c>
    </row>
    <row r="186">
      <c r="A186" s="35" t="inlineStr">
        <is>
          <t>Wofford</t>
        </is>
      </c>
      <c r="B186" s="35" t="inlineStr">
        <is>
          <t>0-1</t>
        </is>
      </c>
      <c r="C186" s="35" t="n">
        <v>-0.61</v>
      </c>
      <c r="D186" s="35" t="n">
        <v>181</v>
      </c>
      <c r="E186" s="35" t="n">
        <v>1417.9</v>
      </c>
      <c r="F186" s="35" t="n">
        <v>185</v>
      </c>
      <c r="G186" s="35" t="n">
        <v>4</v>
      </c>
    </row>
    <row r="187">
      <c r="A187" s="35" t="inlineStr">
        <is>
          <t>North Carolina A&amp;T</t>
        </is>
      </c>
      <c r="B187" s="35" t="inlineStr">
        <is>
          <t>0-1</t>
        </is>
      </c>
      <c r="C187" s="35" t="n">
        <v>-0.61</v>
      </c>
      <c r="D187" s="35" t="n">
        <v>182</v>
      </c>
      <c r="E187" s="35" t="n">
        <v>1397.7</v>
      </c>
      <c r="F187" s="35" t="n">
        <v>223</v>
      </c>
      <c r="G187" s="42" t="n">
        <v>41</v>
      </c>
    </row>
    <row r="188">
      <c r="A188" s="35" t="inlineStr">
        <is>
          <t>Louisiana Tech</t>
        </is>
      </c>
      <c r="B188" s="35" t="inlineStr">
        <is>
          <t>0-2</t>
        </is>
      </c>
      <c r="C188" s="35" t="n">
        <v>-0.61</v>
      </c>
      <c r="D188" s="35" t="n">
        <v>183</v>
      </c>
      <c r="E188" s="35" t="n">
        <v>1501.2</v>
      </c>
      <c r="F188" s="35" t="n">
        <v>90</v>
      </c>
      <c r="G188" s="35" t="n">
        <v>-93</v>
      </c>
    </row>
    <row r="189">
      <c r="A189" s="35" t="inlineStr">
        <is>
          <t>Fordham</t>
        </is>
      </c>
      <c r="B189" s="35" t="inlineStr">
        <is>
          <t>0-2</t>
        </is>
      </c>
      <c r="C189" s="35" t="n">
        <v>-0.62</v>
      </c>
      <c r="D189" s="35" t="n">
        <v>184</v>
      </c>
      <c r="E189" s="35" t="n">
        <v>1413.3</v>
      </c>
      <c r="F189" s="35" t="n">
        <v>197</v>
      </c>
      <c r="G189" s="35" t="n">
        <v>13</v>
      </c>
    </row>
    <row r="190">
      <c r="A190" s="35" t="inlineStr">
        <is>
          <t>Wyoming</t>
        </is>
      </c>
      <c r="B190" s="35" t="inlineStr">
        <is>
          <t>1-2</t>
        </is>
      </c>
      <c r="C190" s="35" t="n">
        <v>-0.62</v>
      </c>
      <c r="D190" s="35" t="n">
        <v>185</v>
      </c>
      <c r="E190" s="35" t="n">
        <v>1431</v>
      </c>
      <c r="F190" s="35" t="n">
        <v>159</v>
      </c>
      <c r="G190" s="35" t="n">
        <v>-26</v>
      </c>
    </row>
    <row r="191">
      <c r="A191" s="35" t="inlineStr">
        <is>
          <t>Texas Southern</t>
        </is>
      </c>
      <c r="B191" s="35" t="inlineStr">
        <is>
          <t>0-1</t>
        </is>
      </c>
      <c r="C191" s="35" t="n">
        <v>-0.63</v>
      </c>
      <c r="D191" s="35" t="n">
        <v>186</v>
      </c>
      <c r="E191" s="35" t="n">
        <v>1378.6</v>
      </c>
      <c r="F191" s="35" t="n">
        <v>241</v>
      </c>
      <c r="G191" s="42" t="n">
        <v>55</v>
      </c>
    </row>
    <row r="192">
      <c r="A192" s="35" t="inlineStr">
        <is>
          <t>Delaware</t>
        </is>
      </c>
      <c r="B192" s="35" t="inlineStr">
        <is>
          <t>1-3</t>
        </is>
      </c>
      <c r="C192" s="35" t="n">
        <v>-0.65</v>
      </c>
      <c r="D192" s="35" t="n">
        <v>187</v>
      </c>
      <c r="E192" s="35" t="n">
        <v>1465.7</v>
      </c>
      <c r="F192" s="35" t="n">
        <v>113</v>
      </c>
      <c r="G192" s="35" t="n">
        <v>-74</v>
      </c>
    </row>
    <row r="193">
      <c r="A193" s="35" t="inlineStr">
        <is>
          <t>Nevada</t>
        </is>
      </c>
      <c r="B193" s="35" t="inlineStr">
        <is>
          <t>1-2</t>
        </is>
      </c>
      <c r="C193" s="35" t="n">
        <v>-0.68</v>
      </c>
      <c r="D193" s="35" t="n">
        <v>188</v>
      </c>
      <c r="E193" s="35" t="n">
        <v>1381.4</v>
      </c>
      <c r="F193" s="35" t="n">
        <v>239</v>
      </c>
      <c r="G193" s="42" t="n">
        <v>51</v>
      </c>
    </row>
    <row r="194">
      <c r="A194" s="35" t="inlineStr">
        <is>
          <t>UT Martin</t>
        </is>
      </c>
      <c r="B194" s="35" t="inlineStr">
        <is>
          <t>0-2</t>
        </is>
      </c>
      <c r="C194" s="35" t="n">
        <v>-0.68</v>
      </c>
      <c r="D194" s="35" t="n">
        <v>189</v>
      </c>
      <c r="E194" s="35" t="n">
        <v>1383.9</v>
      </c>
      <c r="F194" s="35" t="n">
        <v>237</v>
      </c>
      <c r="G194" s="42" t="n">
        <v>48</v>
      </c>
    </row>
    <row r="195">
      <c r="A195" s="35" t="inlineStr">
        <is>
          <t>Sacred Heart</t>
        </is>
      </c>
      <c r="B195" s="35" t="inlineStr">
        <is>
          <t>0-1</t>
        </is>
      </c>
      <c r="C195" s="35" t="n">
        <v>-0.7</v>
      </c>
      <c r="D195" s="35" t="n">
        <v>190</v>
      </c>
      <c r="E195" s="35" t="n">
        <v>1427.1</v>
      </c>
      <c r="F195" s="35" t="n">
        <v>169</v>
      </c>
      <c r="G195" s="35" t="n">
        <v>-21</v>
      </c>
    </row>
    <row r="196">
      <c r="A196" s="35" t="inlineStr">
        <is>
          <t>Boston College</t>
        </is>
      </c>
      <c r="B196" s="35" t="inlineStr">
        <is>
          <t>1-3</t>
        </is>
      </c>
      <c r="C196" s="35" t="n">
        <v>-0.71</v>
      </c>
      <c r="D196" s="35" t="n">
        <v>191</v>
      </c>
      <c r="E196" s="35" t="n">
        <v>1439.6</v>
      </c>
      <c r="F196" s="35" t="n">
        <v>146</v>
      </c>
      <c r="G196" s="35" t="n">
        <v>-45</v>
      </c>
    </row>
    <row r="197">
      <c r="A197" s="35" t="inlineStr">
        <is>
          <t>Gardner-Webb</t>
        </is>
      </c>
      <c r="B197" s="35" t="inlineStr">
        <is>
          <t>0-2</t>
        </is>
      </c>
      <c r="C197" s="35" t="n">
        <v>-0.78</v>
      </c>
      <c r="D197" s="35" t="n">
        <v>192</v>
      </c>
      <c r="E197" s="35" t="n">
        <v>1421.6</v>
      </c>
      <c r="F197" s="35" t="n">
        <v>179</v>
      </c>
      <c r="G197" s="35" t="n">
        <v>-13</v>
      </c>
    </row>
    <row r="198">
      <c r="A198" s="35" t="inlineStr">
        <is>
          <t>Middle Tennessee</t>
        </is>
      </c>
      <c r="B198" s="35" t="inlineStr">
        <is>
          <t>1-3</t>
        </is>
      </c>
      <c r="C198" s="35" t="n">
        <v>-0.79</v>
      </c>
      <c r="D198" s="35" t="n">
        <v>193</v>
      </c>
      <c r="E198" s="35" t="n">
        <v>1378.1</v>
      </c>
      <c r="F198" s="35" t="n">
        <v>242</v>
      </c>
      <c r="G198" s="42" t="n">
        <v>49</v>
      </c>
    </row>
    <row r="199">
      <c r="A199" s="35" t="inlineStr">
        <is>
          <t>Houston Christian</t>
        </is>
      </c>
      <c r="B199" s="35" t="inlineStr">
        <is>
          <t>0-2</t>
        </is>
      </c>
      <c r="C199" s="35" t="n">
        <v>-0.8</v>
      </c>
      <c r="D199" s="35" t="n">
        <v>194</v>
      </c>
      <c r="E199" s="35" t="n">
        <v>1392.6</v>
      </c>
      <c r="F199" s="35" t="n">
        <v>229</v>
      </c>
      <c r="G199" s="42" t="n">
        <v>35</v>
      </c>
    </row>
    <row r="200">
      <c r="A200" s="35" t="inlineStr">
        <is>
          <t>Duquesne</t>
        </is>
      </c>
      <c r="B200" s="35" t="inlineStr">
        <is>
          <t>0-2</t>
        </is>
      </c>
      <c r="C200" s="35" t="n">
        <v>-0.8</v>
      </c>
      <c r="D200" s="35" t="n">
        <v>195</v>
      </c>
      <c r="E200" s="35" t="n">
        <v>1359.3</v>
      </c>
      <c r="F200" s="35" t="n">
        <v>247</v>
      </c>
      <c r="G200" s="42" t="n">
        <v>52</v>
      </c>
    </row>
    <row r="201">
      <c r="A201" s="35" t="inlineStr">
        <is>
          <t>West Georgia</t>
        </is>
      </c>
      <c r="B201" s="35" t="inlineStr">
        <is>
          <t>0-2</t>
        </is>
      </c>
      <c r="C201" s="35" t="n">
        <v>-0.82</v>
      </c>
      <c r="D201" s="35" t="n">
        <v>196</v>
      </c>
      <c r="E201" s="35" t="n">
        <v>1442.3</v>
      </c>
      <c r="F201" s="35" t="n">
        <v>139</v>
      </c>
      <c r="G201" s="35" t="n">
        <v>-57</v>
      </c>
    </row>
    <row r="202">
      <c r="A202" s="35" t="inlineStr">
        <is>
          <t>Long Island University</t>
        </is>
      </c>
      <c r="B202" s="35" t="inlineStr">
        <is>
          <t>0-2</t>
        </is>
      </c>
      <c r="C202" s="35" t="n">
        <v>-0.83</v>
      </c>
      <c r="D202" s="35" t="n">
        <v>197</v>
      </c>
      <c r="E202" s="35" t="n">
        <v>1409.7</v>
      </c>
      <c r="F202" s="35" t="n">
        <v>206</v>
      </c>
      <c r="G202" s="35" t="n">
        <v>9</v>
      </c>
    </row>
    <row r="203">
      <c r="A203" s="35" t="inlineStr">
        <is>
          <t>Rice</t>
        </is>
      </c>
      <c r="B203" s="35" t="inlineStr">
        <is>
          <t>0-3</t>
        </is>
      </c>
      <c r="C203" s="35" t="n">
        <v>-0.84</v>
      </c>
      <c r="D203" s="35" t="n">
        <v>198</v>
      </c>
      <c r="E203" s="35" t="n">
        <v>1413.7</v>
      </c>
      <c r="F203" s="35" t="n">
        <v>195</v>
      </c>
      <c r="G203" s="35" t="n">
        <v>-3</v>
      </c>
    </row>
    <row r="204">
      <c r="A204" s="35" t="inlineStr">
        <is>
          <t>New Mexico State</t>
        </is>
      </c>
      <c r="B204" s="35" t="inlineStr">
        <is>
          <t>1-3</t>
        </is>
      </c>
      <c r="C204" s="35" t="n">
        <v>-0.88</v>
      </c>
      <c r="D204" s="35" t="n">
        <v>199</v>
      </c>
      <c r="E204" s="35" t="n">
        <v>1423</v>
      </c>
      <c r="F204" s="35" t="n">
        <v>175</v>
      </c>
      <c r="G204" s="35" t="n">
        <v>-24</v>
      </c>
    </row>
    <row r="205">
      <c r="A205" s="35" t="inlineStr">
        <is>
          <t>Nicholls</t>
        </is>
      </c>
      <c r="B205" s="35" t="inlineStr">
        <is>
          <t>0-2</t>
        </is>
      </c>
      <c r="C205" s="35" t="n">
        <v>-0.88</v>
      </c>
      <c r="D205" s="35" t="n">
        <v>200</v>
      </c>
      <c r="E205" s="35" t="n">
        <v>1366.1</v>
      </c>
      <c r="F205" s="35" t="n">
        <v>244</v>
      </c>
      <c r="G205" s="42" t="n">
        <v>44</v>
      </c>
    </row>
    <row r="206">
      <c r="A206" s="35" t="inlineStr">
        <is>
          <t>Washington State</t>
        </is>
      </c>
      <c r="B206" s="35" t="inlineStr">
        <is>
          <t>0-3</t>
        </is>
      </c>
      <c r="C206" s="35" t="n">
        <v>-0.89</v>
      </c>
      <c r="D206" s="35" t="n">
        <v>201</v>
      </c>
      <c r="E206" s="35" t="n">
        <v>1520.6</v>
      </c>
      <c r="F206" s="35" t="n">
        <v>81</v>
      </c>
      <c r="G206" s="35" t="n">
        <v>-120</v>
      </c>
    </row>
    <row r="207">
      <c r="A207" s="35" t="inlineStr">
        <is>
          <t>Maine</t>
        </is>
      </c>
      <c r="B207" s="35" t="inlineStr">
        <is>
          <t>0-2</t>
        </is>
      </c>
      <c r="C207" s="35" t="n">
        <v>-0.92</v>
      </c>
      <c r="D207" s="35" t="n">
        <v>202</v>
      </c>
      <c r="E207" s="35" t="n">
        <v>1388.5</v>
      </c>
      <c r="F207" s="35" t="n">
        <v>232</v>
      </c>
      <c r="G207" s="42" t="n">
        <v>30</v>
      </c>
    </row>
    <row r="208">
      <c r="A208" s="35" t="inlineStr">
        <is>
          <t>Missouri State</t>
        </is>
      </c>
      <c r="B208" s="35" t="inlineStr">
        <is>
          <t>0-3</t>
        </is>
      </c>
      <c r="C208" s="35" t="n">
        <v>-0.9399999999999999</v>
      </c>
      <c r="D208" s="35" t="n">
        <v>203</v>
      </c>
      <c r="E208" s="35" t="n">
        <v>1447</v>
      </c>
      <c r="F208" s="35" t="n">
        <v>131</v>
      </c>
      <c r="G208" s="35" t="n">
        <v>-72</v>
      </c>
    </row>
    <row r="209">
      <c r="A209" s="35" t="inlineStr">
        <is>
          <t>Stonehill</t>
        </is>
      </c>
      <c r="B209" s="35" t="inlineStr">
        <is>
          <t>0-2</t>
        </is>
      </c>
      <c r="C209" s="35" t="n">
        <v>-0.9399999999999999</v>
      </c>
      <c r="D209" s="35" t="n">
        <v>204</v>
      </c>
      <c r="E209" s="35" t="n">
        <v>1445.5</v>
      </c>
      <c r="F209" s="35" t="n">
        <v>133</v>
      </c>
      <c r="G209" s="35" t="n">
        <v>-71</v>
      </c>
    </row>
    <row r="210">
      <c r="A210" s="35" t="inlineStr">
        <is>
          <t>Bowling Green</t>
        </is>
      </c>
      <c r="B210" s="35" t="inlineStr">
        <is>
          <t>0-3</t>
        </is>
      </c>
      <c r="C210" s="35" t="n">
        <v>-0.99</v>
      </c>
      <c r="D210" s="35" t="n">
        <v>205</v>
      </c>
      <c r="E210" s="35" t="n">
        <v>1377.8</v>
      </c>
      <c r="F210" s="35" t="n">
        <v>243</v>
      </c>
      <c r="G210" s="42" t="n">
        <v>38</v>
      </c>
    </row>
    <row r="211">
      <c r="A211" s="35" t="inlineStr">
        <is>
          <t>Northern Illinois</t>
        </is>
      </c>
      <c r="B211" s="35" t="inlineStr">
        <is>
          <t>0-3</t>
        </is>
      </c>
      <c r="C211" s="35" t="n">
        <v>-0.99</v>
      </c>
      <c r="D211" s="35" t="n">
        <v>206</v>
      </c>
      <c r="E211" s="35" t="n">
        <v>1363.9</v>
      </c>
      <c r="F211" s="35" t="n">
        <v>246</v>
      </c>
      <c r="G211" s="42" t="n">
        <v>40</v>
      </c>
    </row>
    <row r="212">
      <c r="A212" s="35" t="inlineStr">
        <is>
          <t>San Diego State</t>
        </is>
      </c>
      <c r="B212" s="35" t="inlineStr">
        <is>
          <t>0-3</t>
        </is>
      </c>
      <c r="C212" s="35" t="n">
        <v>-1</v>
      </c>
      <c r="D212" s="35" t="n">
        <v>207</v>
      </c>
      <c r="E212" s="35" t="n">
        <v>1499.6</v>
      </c>
      <c r="F212" s="35" t="n">
        <v>91</v>
      </c>
      <c r="G212" s="35" t="n">
        <v>-116</v>
      </c>
    </row>
    <row r="213">
      <c r="A213" s="35" t="inlineStr">
        <is>
          <t>Robert Morris</t>
        </is>
      </c>
      <c r="B213" s="35" t="inlineStr">
        <is>
          <t>0-2</t>
        </is>
      </c>
      <c r="C213" s="35" t="n">
        <v>-1.03</v>
      </c>
      <c r="D213" s="35" t="n">
        <v>208</v>
      </c>
      <c r="E213" s="35" t="n">
        <v>1402.2</v>
      </c>
      <c r="F213" s="35" t="n">
        <v>220</v>
      </c>
      <c r="G213" s="35" t="n">
        <v>12</v>
      </c>
    </row>
    <row r="214">
      <c r="A214" s="35" t="inlineStr">
        <is>
          <t>Lindenwood</t>
        </is>
      </c>
      <c r="B214" s="35" t="inlineStr">
        <is>
          <t>0-2</t>
        </is>
      </c>
      <c r="C214" s="35" t="n">
        <v>-1.05</v>
      </c>
      <c r="D214" s="35" t="n">
        <v>209</v>
      </c>
      <c r="E214" s="35" t="n">
        <v>1399.2</v>
      </c>
      <c r="F214" s="35" t="n">
        <v>222</v>
      </c>
      <c r="G214" s="35" t="n">
        <v>13</v>
      </c>
    </row>
    <row r="215">
      <c r="A215" s="35" t="inlineStr">
        <is>
          <t>Georgia Southern</t>
        </is>
      </c>
      <c r="B215" s="35" t="inlineStr">
        <is>
          <t>0-3</t>
        </is>
      </c>
      <c r="C215" s="35" t="n">
        <v>-1.07</v>
      </c>
      <c r="D215" s="35" t="n">
        <v>210</v>
      </c>
      <c r="E215" s="35" t="n">
        <v>1491.5</v>
      </c>
      <c r="F215" s="35" t="n">
        <v>96</v>
      </c>
      <c r="G215" s="35" t="n">
        <v>-114</v>
      </c>
    </row>
    <row r="216">
      <c r="A216" s="35" t="inlineStr">
        <is>
          <t>Purdue</t>
        </is>
      </c>
      <c r="B216" s="35" t="inlineStr">
        <is>
          <t>0-3</t>
        </is>
      </c>
      <c r="C216" s="35" t="n">
        <v>-1.07</v>
      </c>
      <c r="D216" s="35" t="n">
        <v>211</v>
      </c>
      <c r="E216" s="35" t="n">
        <v>1396.1</v>
      </c>
      <c r="F216" s="35" t="n">
        <v>224</v>
      </c>
      <c r="G216" s="35" t="n">
        <v>13</v>
      </c>
    </row>
    <row r="217">
      <c r="A217" s="35" t="inlineStr">
        <is>
          <t>Temple</t>
        </is>
      </c>
      <c r="B217" s="35" t="inlineStr">
        <is>
          <t>0-3</t>
        </is>
      </c>
      <c r="C217" s="35" t="n">
        <v>-1.07</v>
      </c>
      <c r="D217" s="35" t="n">
        <v>212</v>
      </c>
      <c r="E217" s="35" t="n">
        <v>1427.8</v>
      </c>
      <c r="F217" s="35" t="n">
        <v>168</v>
      </c>
      <c r="G217" s="35" t="n">
        <v>-44</v>
      </c>
    </row>
    <row r="218">
      <c r="A218" s="35" t="inlineStr">
        <is>
          <t>Buffalo</t>
        </is>
      </c>
      <c r="B218" s="35" t="inlineStr">
        <is>
          <t>0-3</t>
        </is>
      </c>
      <c r="C218" s="35" t="n">
        <v>-1.1</v>
      </c>
      <c r="D218" s="35" t="n">
        <v>213</v>
      </c>
      <c r="E218" s="35" t="n">
        <v>1446.5</v>
      </c>
      <c r="F218" s="35" t="n">
        <v>132</v>
      </c>
      <c r="G218" s="35" t="n">
        <v>-81</v>
      </c>
    </row>
    <row r="219">
      <c r="A219" s="35" t="inlineStr">
        <is>
          <t>Ball State</t>
        </is>
      </c>
      <c r="B219" s="35" t="inlineStr">
        <is>
          <t>0-3</t>
        </is>
      </c>
      <c r="C219" s="35" t="n">
        <v>-1.12</v>
      </c>
      <c r="D219" s="35" t="n">
        <v>214</v>
      </c>
      <c r="E219" s="35" t="n">
        <v>1364</v>
      </c>
      <c r="F219" s="35" t="n">
        <v>245</v>
      </c>
      <c r="G219" s="42" t="n">
        <v>31</v>
      </c>
    </row>
    <row r="220">
      <c r="A220" s="35" t="inlineStr">
        <is>
          <t>UTEP</t>
        </is>
      </c>
      <c r="B220" s="35" t="inlineStr">
        <is>
          <t>0-3</t>
        </is>
      </c>
      <c r="C220" s="35" t="n">
        <v>-1.13</v>
      </c>
      <c r="D220" s="35" t="n">
        <v>215</v>
      </c>
      <c r="E220" s="35" t="n">
        <v>1341</v>
      </c>
      <c r="F220" s="35" t="n">
        <v>249</v>
      </c>
      <c r="G220" s="42" t="n">
        <v>34</v>
      </c>
    </row>
    <row r="221">
      <c r="A221" s="35" t="inlineStr">
        <is>
          <t>UConn</t>
        </is>
      </c>
      <c r="B221" s="35" t="inlineStr">
        <is>
          <t>1-3</t>
        </is>
      </c>
      <c r="C221" s="35" t="n">
        <v>-1.14</v>
      </c>
      <c r="D221" s="35" t="n">
        <v>216</v>
      </c>
      <c r="E221" s="35" t="n">
        <v>1546</v>
      </c>
      <c r="F221" s="35" t="n">
        <v>74</v>
      </c>
      <c r="G221" s="35" t="n">
        <v>-142</v>
      </c>
    </row>
    <row r="222">
      <c r="A222" s="35" t="inlineStr">
        <is>
          <t>Akron</t>
        </is>
      </c>
      <c r="B222" s="35" t="inlineStr">
        <is>
          <t>0-3</t>
        </is>
      </c>
      <c r="C222" s="35" t="n">
        <v>-1.14</v>
      </c>
      <c r="D222" s="35" t="n">
        <v>217</v>
      </c>
      <c r="E222" s="35" t="n">
        <v>1393.2</v>
      </c>
      <c r="F222" s="35" t="n">
        <v>227</v>
      </c>
      <c r="G222" s="35" t="n">
        <v>10</v>
      </c>
    </row>
    <row r="223">
      <c r="A223" s="35" t="inlineStr">
        <is>
          <t>Eastern Michigan</t>
        </is>
      </c>
      <c r="B223" s="35" t="inlineStr">
        <is>
          <t>1-3</t>
        </is>
      </c>
      <c r="C223" s="35" t="n">
        <v>-1.17</v>
      </c>
      <c r="D223" s="35" t="n">
        <v>218</v>
      </c>
      <c r="E223" s="35" t="n">
        <v>1419.1</v>
      </c>
      <c r="F223" s="35" t="n">
        <v>182</v>
      </c>
      <c r="G223" s="35" t="n">
        <v>-36</v>
      </c>
    </row>
    <row r="224">
      <c r="A224" s="35" t="inlineStr">
        <is>
          <t>Murray State</t>
        </is>
      </c>
      <c r="B224" s="35" t="inlineStr">
        <is>
          <t>0-2</t>
        </is>
      </c>
      <c r="C224" s="35" t="n">
        <v>-1.17</v>
      </c>
      <c r="D224" s="35" t="n">
        <v>219</v>
      </c>
      <c r="E224" s="35" t="n">
        <v>1340.4</v>
      </c>
      <c r="F224" s="35" t="n">
        <v>250</v>
      </c>
      <c r="G224" s="42" t="n">
        <v>31</v>
      </c>
    </row>
    <row r="225">
      <c r="A225" s="35" t="inlineStr">
        <is>
          <t>Southern Miss</t>
        </is>
      </c>
      <c r="B225" s="35" t="inlineStr">
        <is>
          <t>0-3</t>
        </is>
      </c>
      <c r="C225" s="35" t="n">
        <v>-1.17</v>
      </c>
      <c r="D225" s="35" t="n">
        <v>220</v>
      </c>
      <c r="E225" s="35" t="n">
        <v>1406.7</v>
      </c>
      <c r="F225" s="35" t="n">
        <v>211</v>
      </c>
      <c r="G225" s="35" t="n">
        <v>-9</v>
      </c>
    </row>
    <row r="226">
      <c r="A226" s="35" t="inlineStr">
        <is>
          <t>Hawai'i</t>
        </is>
      </c>
      <c r="B226" s="35" t="inlineStr">
        <is>
          <t>1-3</t>
        </is>
      </c>
      <c r="C226" s="35" t="n">
        <v>-1.21</v>
      </c>
      <c r="D226" s="35" t="n">
        <v>221</v>
      </c>
      <c r="E226" s="35" t="n">
        <v>1474.3</v>
      </c>
      <c r="F226" s="35" t="n">
        <v>105</v>
      </c>
      <c r="G226" s="35" t="n">
        <v>-116</v>
      </c>
    </row>
    <row r="227">
      <c r="A227" s="35" t="inlineStr">
        <is>
          <t>Old Dominion</t>
        </is>
      </c>
      <c r="B227" s="35" t="inlineStr">
        <is>
          <t>0-3</t>
        </is>
      </c>
      <c r="C227" s="35" t="n">
        <v>-1.21</v>
      </c>
      <c r="D227" s="35" t="n">
        <v>222</v>
      </c>
      <c r="E227" s="35" t="n">
        <v>1558.9</v>
      </c>
      <c r="F227" s="35" t="n">
        <v>68</v>
      </c>
      <c r="G227" s="35" t="n">
        <v>-154</v>
      </c>
    </row>
    <row r="228">
      <c r="A228" s="35" t="inlineStr">
        <is>
          <t>Sam Houston</t>
        </is>
      </c>
      <c r="B228" s="35" t="inlineStr">
        <is>
          <t>0-3</t>
        </is>
      </c>
      <c r="C228" s="35" t="n">
        <v>-1.23</v>
      </c>
      <c r="D228" s="35" t="n">
        <v>223</v>
      </c>
      <c r="E228" s="35" t="n">
        <v>1389.7</v>
      </c>
      <c r="F228" s="35" t="n">
        <v>231</v>
      </c>
      <c r="G228" s="35" t="n">
        <v>8</v>
      </c>
    </row>
    <row r="229">
      <c r="A229" s="35" t="inlineStr">
        <is>
          <t>Mercyhurst</t>
        </is>
      </c>
      <c r="B229" s="35" t="inlineStr">
        <is>
          <t>0-3</t>
        </is>
      </c>
      <c r="C229" s="35" t="n">
        <v>-1.3</v>
      </c>
      <c r="D229" s="35" t="n">
        <v>224</v>
      </c>
      <c r="E229" s="35" t="n">
        <v>1414.7</v>
      </c>
      <c r="F229" s="35" t="n">
        <v>190</v>
      </c>
      <c r="G229" s="35" t="n">
        <v>-34</v>
      </c>
    </row>
    <row r="230">
      <c r="A230" s="35" t="inlineStr">
        <is>
          <t>Kennesaw State</t>
        </is>
      </c>
      <c r="B230" s="35" t="inlineStr">
        <is>
          <t>0-3</t>
        </is>
      </c>
      <c r="C230" s="35" t="n">
        <v>-1.34</v>
      </c>
      <c r="D230" s="35" t="n">
        <v>225</v>
      </c>
      <c r="E230" s="35" t="n">
        <v>1480.8</v>
      </c>
      <c r="F230" s="35" t="n">
        <v>100</v>
      </c>
      <c r="G230" s="35" t="n">
        <v>-125</v>
      </c>
    </row>
    <row r="231">
      <c r="A231" s="35" t="inlineStr">
        <is>
          <t>Western Kentucky</t>
        </is>
      </c>
      <c r="B231" s="35" t="inlineStr">
        <is>
          <t>0-4</t>
        </is>
      </c>
      <c r="C231" s="35" t="n">
        <v>-1.34</v>
      </c>
      <c r="D231" s="35" t="n">
        <v>226</v>
      </c>
      <c r="E231" s="35" t="n">
        <v>1485.6</v>
      </c>
      <c r="F231" s="35" t="n">
        <v>99</v>
      </c>
      <c r="G231" s="35" t="n">
        <v>-127</v>
      </c>
    </row>
    <row r="232">
      <c r="A232" s="35" t="inlineStr">
        <is>
          <t>Coastal Carolina</t>
        </is>
      </c>
      <c r="B232" s="35" t="inlineStr">
        <is>
          <t>0-3</t>
        </is>
      </c>
      <c r="C232" s="35" t="n">
        <v>-1.42</v>
      </c>
      <c r="D232" s="35" t="n">
        <v>227</v>
      </c>
      <c r="E232" s="35" t="n">
        <v>1440.4</v>
      </c>
      <c r="F232" s="35" t="n">
        <v>143</v>
      </c>
      <c r="G232" s="35" t="n">
        <v>-84</v>
      </c>
    </row>
    <row r="233">
      <c r="A233" s="35" t="inlineStr">
        <is>
          <t>Navy</t>
        </is>
      </c>
      <c r="B233" s="35" t="inlineStr">
        <is>
          <t>0-3</t>
        </is>
      </c>
      <c r="C233" s="35" t="n">
        <v>-1.5</v>
      </c>
      <c r="D233" s="35" t="n">
        <v>228</v>
      </c>
      <c r="E233" s="35" t="n">
        <v>1581.9</v>
      </c>
      <c r="F233" s="35" t="n">
        <v>62</v>
      </c>
      <c r="G233" s="35" t="n">
        <v>-166</v>
      </c>
    </row>
    <row r="234">
      <c r="A234" s="35" t="inlineStr">
        <is>
          <t>Charlotte</t>
        </is>
      </c>
      <c r="B234" s="35" t="inlineStr">
        <is>
          <t>0-4</t>
        </is>
      </c>
      <c r="C234" s="35" t="n">
        <v>-1.5</v>
      </c>
      <c r="D234" s="35" t="n">
        <v>229</v>
      </c>
      <c r="E234" s="35" t="n">
        <v>1274.2</v>
      </c>
      <c r="F234" s="35" t="n">
        <v>252</v>
      </c>
      <c r="G234" s="42" t="n">
        <v>23</v>
      </c>
    </row>
    <row r="235">
      <c r="A235" s="35" t="inlineStr">
        <is>
          <t>Georgia Tech</t>
        </is>
      </c>
      <c r="B235" s="35" t="inlineStr">
        <is>
          <t>0-3</t>
        </is>
      </c>
      <c r="C235" s="35" t="n">
        <v>-1.53</v>
      </c>
      <c r="D235" s="35" t="n">
        <v>230</v>
      </c>
      <c r="E235" s="35" t="n">
        <v>1532.4</v>
      </c>
      <c r="F235" s="35" t="n">
        <v>77</v>
      </c>
      <c r="G235" s="35" t="n">
        <v>-153</v>
      </c>
    </row>
    <row r="236">
      <c r="A236" s="35" t="inlineStr">
        <is>
          <t>UL Monroe</t>
        </is>
      </c>
      <c r="B236" s="35" t="inlineStr">
        <is>
          <t>0-3</t>
        </is>
      </c>
      <c r="C236" s="35" t="n">
        <v>-1.67</v>
      </c>
      <c r="D236" s="35" t="n">
        <v>231</v>
      </c>
      <c r="E236" s="35" t="n">
        <v>1293.3</v>
      </c>
      <c r="F236" s="35" t="n">
        <v>251</v>
      </c>
      <c r="G236" s="42" t="n">
        <v>20</v>
      </c>
    </row>
    <row r="237">
      <c r="A237" s="35" t="inlineStr">
        <is>
          <t>Rutgers</t>
        </is>
      </c>
      <c r="B237" s="35" t="inlineStr">
        <is>
          <t>0-3</t>
        </is>
      </c>
      <c r="C237" s="35" t="n">
        <v>-1.69</v>
      </c>
      <c r="D237" s="35" t="n">
        <v>232</v>
      </c>
      <c r="E237" s="35" t="n">
        <v>1474.1</v>
      </c>
      <c r="F237" s="35" t="n">
        <v>106</v>
      </c>
      <c r="G237" s="35" t="n">
        <v>-126</v>
      </c>
    </row>
    <row r="238">
      <c r="A238" s="35" t="inlineStr">
        <is>
          <t>Sacramento State</t>
        </is>
      </c>
      <c r="B238" s="35" t="inlineStr">
        <is>
          <t>0-4</t>
        </is>
      </c>
      <c r="C238" s="35" t="n">
        <v>-1.85</v>
      </c>
      <c r="D238" s="35" t="n">
        <v>233</v>
      </c>
      <c r="E238" s="35" t="n">
        <v>1404.9</v>
      </c>
      <c r="F238" s="35" t="n">
        <v>213</v>
      </c>
      <c r="G238" s="35" t="n">
        <v>-20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4"/>
  <sheetViews>
    <sheetView showGridLines="0" topLeftCell="H1" workbookViewId="0">
      <pane ySplit="2" topLeftCell="A3" activePane="bottomLeft" state="frozen"/>
      <selection pane="bottomLeft" activeCell="N32" sqref="N32"/>
    </sheetView>
  </sheetViews>
  <sheetFormatPr baseColWidth="8" defaultRowHeight="14.5"/>
  <cols>
    <col width="8" customWidth="1" min="1" max="1"/>
    <col width="26" customWidth="1" min="2" max="2"/>
    <col width="12" customWidth="1" min="3" max="3"/>
    <col width="18" customWidth="1" min="4" max="5"/>
    <col width="11" customWidth="1" min="6" max="7"/>
    <col width="10" customWidth="1" min="8" max="8"/>
    <col width="15" customWidth="1" min="9" max="9"/>
    <col width="11" customWidth="1" min="10" max="11"/>
    <col width="10" customWidth="1" min="12" max="12"/>
    <col width="15" customWidth="1" min="13" max="13"/>
    <col width="11" customWidth="1" min="14" max="15"/>
    <col width="10" customWidth="1" min="16" max="16"/>
    <col width="15" customWidth="1" min="17" max="17"/>
    <col width="11" customWidth="1" min="18" max="19"/>
    <col width="10" customWidth="1" min="20" max="20"/>
    <col width="15" customWidth="1" min="21" max="21"/>
    <col width="17" customWidth="1" min="22" max="22"/>
    <col width="20" customWidth="1" min="23" max="23"/>
    <col width="15" customWidth="1" min="24" max="28"/>
  </cols>
  <sheetData>
    <row r="1" ht="18" customHeight="1">
      <c r="A1" s="26" t="inlineStr">
        <is>
          <t>Dub Gamma vs. Ridge vs. XGBoost vs. Massey -- Model Comparison</t>
        </is>
      </c>
    </row>
    <row r="2">
      <c r="A2" s="20" t="inlineStr">
        <is>
          <t>Informational only. The Dub Gamma Model (Sonny-Moore-seeded) is the live model everywhere else in this workbook and on the website -- Ridge, XGBoost, and Massey are candidates being evaluated here, not replacements. Gamma has no rating (and so no prediction) for any season before it was seeded -- its columns read "n/a" for older games. Massey (a simultaneous-solve rating method, see src/massey_model.py) needs no seed, so it's graded across every season here; it can still read "n/a" for a game in the live Upcoming Games table below in one specific case -- not enough completed games yet this season to solve its rating system from (typically just week 1).</t>
        </is>
      </c>
    </row>
    <row r="4">
      <c r="A4" s="27" t="inlineStr">
        <is>
          <t>All-Time (every season in the backtest)</t>
        </is>
      </c>
    </row>
    <row r="5" ht="39" customHeight="1">
      <c r="A5" s="28" t="inlineStr">
        <is>
          <t>Model</t>
        </is>
      </c>
      <c r="B5" s="28" t="inlineStr">
        <is>
          <t>Games Graded</t>
        </is>
      </c>
      <c r="C5" s="28" t="inlineStr">
        <is>
          <t>Picks Graded</t>
        </is>
      </c>
      <c r="D5" s="28" t="inlineStr">
        <is>
          <t>Wins</t>
        </is>
      </c>
      <c r="E5" s="28" t="inlineStr">
        <is>
          <t>Losses</t>
        </is>
      </c>
      <c r="F5" s="28" t="inlineStr">
        <is>
          <t>Pushes</t>
        </is>
      </c>
      <c r="G5" s="28" t="inlineStr">
        <is>
          <t>ATS Win %</t>
        </is>
      </c>
      <c r="H5" s="28" t="inlineStr">
        <is>
          <t>ROI (flat stake)</t>
        </is>
      </c>
      <c r="I5" s="28" t="inlineStr">
        <is>
          <t>Real Edge Bets</t>
        </is>
      </c>
      <c r="J5" s="28" t="inlineStr">
        <is>
          <t>Real Edge Win %</t>
        </is>
      </c>
      <c r="K5" s="28" t="inlineStr">
        <is>
          <t>Tightest Of The Four (CLV)</t>
        </is>
      </c>
      <c r="L5" s="28" t="inlineStr">
        <is>
          <t>CLV Pts (cum.)</t>
        </is>
      </c>
    </row>
    <row r="6">
      <c r="A6" s="18" t="inlineStr">
        <is>
          <t>Dub Gamma Model (live model) -- all FBS</t>
        </is>
      </c>
      <c r="B6" s="18" t="n">
        <v>8764</v>
      </c>
      <c r="C6" s="18" t="n">
        <v>327</v>
      </c>
      <c r="D6" s="18" t="n">
        <v>180</v>
      </c>
      <c r="E6" s="18" t="n">
        <v>147</v>
      </c>
      <c r="F6" s="18" t="n">
        <v>4</v>
      </c>
      <c r="G6" s="18" t="inlineStr">
        <is>
          <t>55.0%</t>
        </is>
      </c>
      <c r="H6" s="18" t="inlineStr">
        <is>
          <t>+5.1%</t>
        </is>
      </c>
      <c r="I6" s="18" t="n">
        <v>266</v>
      </c>
      <c r="J6" s="18" t="inlineStr">
        <is>
          <t>54.2%</t>
        </is>
      </c>
      <c r="K6" s="18" t="inlineStr">
        <is>
          <t>120/331 (36%)</t>
        </is>
      </c>
      <c r="L6" s="18" t="inlineStr">
        <is>
          <t>+712.3</t>
        </is>
      </c>
    </row>
    <row r="7">
      <c r="A7" s="18" t="inlineStr">
        <is>
          <t>Dub Gamma Model (live model) -- MW-involved</t>
        </is>
      </c>
      <c r="B7" s="18" t="n">
        <v>991</v>
      </c>
      <c r="C7" s="18" t="n">
        <v>35</v>
      </c>
      <c r="D7" s="18" t="n">
        <v>23</v>
      </c>
      <c r="E7" s="18" t="n">
        <v>12</v>
      </c>
      <c r="F7" s="18" t="n">
        <v>0</v>
      </c>
      <c r="G7" s="18" t="inlineStr">
        <is>
          <t>65.7%</t>
        </is>
      </c>
      <c r="H7" s="18" t="inlineStr">
        <is>
          <t>+25.4%</t>
        </is>
      </c>
      <c r="I7" s="18" t="n">
        <v>29</v>
      </c>
      <c r="J7" s="18" t="inlineStr">
        <is>
          <t>65.5%</t>
        </is>
      </c>
      <c r="K7" s="18" t="inlineStr">
        <is>
          <t>10/35 (29%)</t>
        </is>
      </c>
      <c r="L7" s="18" t="inlineStr">
        <is>
          <t>+112.9</t>
        </is>
      </c>
    </row>
    <row r="8">
      <c r="A8" s="18" t="inlineStr">
        <is>
          <t>Ridge (candidate) -- all FBS</t>
        </is>
      </c>
      <c r="B8" s="18" t="n">
        <v>8764</v>
      </c>
      <c r="C8" s="18" t="n">
        <v>8692</v>
      </c>
      <c r="D8" s="18" t="n">
        <v>4349</v>
      </c>
      <c r="E8" s="18" t="n">
        <v>4343</v>
      </c>
      <c r="F8" s="18" t="n">
        <v>72</v>
      </c>
      <c r="G8" s="18" t="inlineStr">
        <is>
          <t>50.0%</t>
        </is>
      </c>
      <c r="H8" s="18" t="inlineStr">
        <is>
          <t>-4.5%</t>
        </is>
      </c>
      <c r="I8" s="18" t="n">
        <v>6879</v>
      </c>
      <c r="J8" s="18" t="inlineStr">
        <is>
          <t>49.8%</t>
        </is>
      </c>
      <c r="K8" s="18" t="inlineStr">
        <is>
          <t>2696/8764 (31%)</t>
        </is>
      </c>
      <c r="L8" s="18" t="inlineStr">
        <is>
          <t>+5421.1</t>
        </is>
      </c>
    </row>
    <row r="9">
      <c r="A9" s="18" t="inlineStr">
        <is>
          <t>Ridge (candidate) -- MW-involved</t>
        </is>
      </c>
      <c r="B9" s="18" t="n">
        <v>991</v>
      </c>
      <c r="C9" s="18" t="n">
        <v>979</v>
      </c>
      <c r="D9" s="18" t="n">
        <v>500</v>
      </c>
      <c r="E9" s="18" t="n">
        <v>479</v>
      </c>
      <c r="F9" s="18" t="n">
        <v>12</v>
      </c>
      <c r="G9" s="18" t="inlineStr">
        <is>
          <t>51.1%</t>
        </is>
      </c>
      <c r="H9" s="18" t="inlineStr">
        <is>
          <t>-2.5%</t>
        </is>
      </c>
      <c r="I9" s="18" t="n">
        <v>794</v>
      </c>
      <c r="J9" s="18" t="inlineStr">
        <is>
          <t>49.5%</t>
        </is>
      </c>
      <c r="K9" s="18" t="inlineStr">
        <is>
          <t>305/991 (31%)</t>
        </is>
      </c>
      <c r="L9" s="18" t="inlineStr">
        <is>
          <t>+641.6</t>
        </is>
      </c>
    </row>
    <row r="10">
      <c r="A10" s="18" t="inlineStr">
        <is>
          <t>XGBoost (candidate) -- all FBS</t>
        </is>
      </c>
      <c r="B10" s="18" t="n">
        <v>8764</v>
      </c>
      <c r="C10" s="18" t="n">
        <v>8692</v>
      </c>
      <c r="D10" s="18" t="n">
        <v>4384</v>
      </c>
      <c r="E10" s="18" t="n">
        <v>4308</v>
      </c>
      <c r="F10" s="18" t="n">
        <v>72</v>
      </c>
      <c r="G10" s="18" t="inlineStr">
        <is>
          <t>50.4%</t>
        </is>
      </c>
      <c r="H10" s="18" t="inlineStr">
        <is>
          <t>-3.7%</t>
        </is>
      </c>
      <c r="I10" s="18" t="n">
        <v>6811</v>
      </c>
      <c r="J10" s="18" t="inlineStr">
        <is>
          <t>50.2%</t>
        </is>
      </c>
      <c r="K10" s="18" t="inlineStr">
        <is>
          <t>3111/8764 (36%)</t>
        </is>
      </c>
      <c r="L10" s="18" t="inlineStr">
        <is>
          <t>+26.8</t>
        </is>
      </c>
    </row>
    <row r="11">
      <c r="A11" s="18" t="inlineStr">
        <is>
          <t>XGBoost (candidate) -- MW-involved</t>
        </is>
      </c>
      <c r="B11" s="18" t="n">
        <v>991</v>
      </c>
      <c r="C11" s="18" t="n">
        <v>979</v>
      </c>
      <c r="D11" s="18" t="n">
        <v>501</v>
      </c>
      <c r="E11" s="18" t="n">
        <v>478</v>
      </c>
      <c r="F11" s="18" t="n">
        <v>12</v>
      </c>
      <c r="G11" s="18" t="inlineStr">
        <is>
          <t>51.2%</t>
        </is>
      </c>
      <c r="H11" s="18" t="inlineStr">
        <is>
          <t>-2.3%</t>
        </is>
      </c>
      <c r="I11" s="18" t="n">
        <v>768</v>
      </c>
      <c r="J11" s="18" t="inlineStr">
        <is>
          <t>50.8%</t>
        </is>
      </c>
      <c r="K11" s="18" t="inlineStr">
        <is>
          <t>339/991 (34%)</t>
        </is>
      </c>
      <c r="L11" s="18" t="inlineStr">
        <is>
          <t>+905.5</t>
        </is>
      </c>
    </row>
    <row r="12">
      <c r="A12" s="18" t="inlineStr">
        <is>
          <t>Massey (candidate) -- all FBS</t>
        </is>
      </c>
      <c r="B12" s="18" t="n">
        <v>8764</v>
      </c>
      <c r="C12" s="18" t="n">
        <v>7513</v>
      </c>
      <c r="D12" s="18" t="n">
        <v>3796</v>
      </c>
      <c r="E12" s="18" t="n">
        <v>3717</v>
      </c>
      <c r="F12" s="18" t="n">
        <v>62</v>
      </c>
      <c r="G12" s="18" t="inlineStr">
        <is>
          <t>50.5%</t>
        </is>
      </c>
      <c r="H12" s="18" t="inlineStr">
        <is>
          <t>-3.5%</t>
        </is>
      </c>
      <c r="I12" s="18" t="n">
        <v>5744</v>
      </c>
      <c r="J12" s="18" t="inlineStr">
        <is>
          <t>50.6%</t>
        </is>
      </c>
      <c r="K12" s="18" t="inlineStr">
        <is>
          <t>2837/7575 (37%)</t>
        </is>
      </c>
      <c r="L12" s="18" t="inlineStr">
        <is>
          <t>-11168.2</t>
        </is>
      </c>
    </row>
    <row r="13">
      <c r="A13" s="18" t="inlineStr">
        <is>
          <t>Massey (candidate) -- MW-involved</t>
        </is>
      </c>
      <c r="B13" s="18" t="n">
        <v>991</v>
      </c>
      <c r="C13" s="18" t="n">
        <v>838</v>
      </c>
      <c r="D13" s="18" t="n">
        <v>425</v>
      </c>
      <c r="E13" s="18" t="n">
        <v>413</v>
      </c>
      <c r="F13" s="18" t="n">
        <v>10</v>
      </c>
      <c r="G13" s="18" t="inlineStr">
        <is>
          <t>50.7%</t>
        </is>
      </c>
      <c r="H13" s="18" t="inlineStr">
        <is>
          <t>-3.2%</t>
        </is>
      </c>
      <c r="I13" s="18" t="n">
        <v>638</v>
      </c>
      <c r="J13" s="18" t="inlineStr">
        <is>
          <t>50.5%</t>
        </is>
      </c>
      <c r="K13" s="18" t="inlineStr">
        <is>
          <t>337/848 (40%)</t>
        </is>
      </c>
      <c r="L13" s="18" t="inlineStr">
        <is>
          <t>-152.3</t>
        </is>
      </c>
    </row>
    <row r="15">
      <c r="A15" s="27" t="inlineStr">
        <is>
          <t>2026 Season Only</t>
        </is>
      </c>
    </row>
    <row r="16" ht="39" customHeight="1">
      <c r="A16" s="28" t="inlineStr">
        <is>
          <t>Model</t>
        </is>
      </c>
      <c r="B16" s="28" t="inlineStr">
        <is>
          <t>Games Graded</t>
        </is>
      </c>
      <c r="C16" s="28" t="inlineStr">
        <is>
          <t>Picks Graded</t>
        </is>
      </c>
      <c r="D16" s="28" t="inlineStr">
        <is>
          <t>Wins</t>
        </is>
      </c>
      <c r="E16" s="28" t="inlineStr">
        <is>
          <t>Losses</t>
        </is>
      </c>
      <c r="F16" s="28" t="inlineStr">
        <is>
          <t>Pushes</t>
        </is>
      </c>
      <c r="G16" s="28" t="inlineStr">
        <is>
          <t>ATS Win %</t>
        </is>
      </c>
      <c r="H16" s="28" t="inlineStr">
        <is>
          <t>ROI (flat stake)</t>
        </is>
      </c>
      <c r="I16" s="28" t="inlineStr">
        <is>
          <t>Real Edge Bets</t>
        </is>
      </c>
      <c r="J16" s="28" t="inlineStr">
        <is>
          <t>Real Edge Win %</t>
        </is>
      </c>
      <c r="K16" s="28" t="inlineStr">
        <is>
          <t>Tightest Of The Four (CLV)</t>
        </is>
      </c>
      <c r="L16" s="28" t="inlineStr">
        <is>
          <t>CLV Pts (cum.)</t>
        </is>
      </c>
    </row>
    <row r="17">
      <c r="A17" s="18" t="inlineStr">
        <is>
          <t>Dub Gamma Model (live model) -- all FBS</t>
        </is>
      </c>
      <c r="B17" s="18" t="n">
        <v>331</v>
      </c>
      <c r="C17" s="18" t="n">
        <v>327</v>
      </c>
      <c r="D17" s="18" t="n">
        <v>180</v>
      </c>
      <c r="E17" s="18" t="n">
        <v>147</v>
      </c>
      <c r="F17" s="18" t="n">
        <v>4</v>
      </c>
      <c r="G17" s="18" t="inlineStr">
        <is>
          <t>55.0%</t>
        </is>
      </c>
      <c r="H17" s="18" t="inlineStr">
        <is>
          <t>+5.1%</t>
        </is>
      </c>
      <c r="I17" s="18" t="n">
        <v>266</v>
      </c>
      <c r="J17" s="18" t="inlineStr">
        <is>
          <t>54.2%</t>
        </is>
      </c>
      <c r="K17" s="18" t="inlineStr">
        <is>
          <t>120/331 (36%)</t>
        </is>
      </c>
      <c r="L17" s="18" t="inlineStr">
        <is>
          <t>+712.3</t>
        </is>
      </c>
    </row>
    <row r="18">
      <c r="A18" s="18" t="inlineStr">
        <is>
          <t>Dub Gamma Model (live model) -- MW-involved</t>
        </is>
      </c>
      <c r="B18" s="18" t="n">
        <v>35</v>
      </c>
      <c r="C18" s="18" t="n">
        <v>35</v>
      </c>
      <c r="D18" s="18" t="n">
        <v>23</v>
      </c>
      <c r="E18" s="18" t="n">
        <v>12</v>
      </c>
      <c r="F18" s="18" t="n">
        <v>0</v>
      </c>
      <c r="G18" s="18" t="inlineStr">
        <is>
          <t>65.7%</t>
        </is>
      </c>
      <c r="H18" s="18" t="inlineStr">
        <is>
          <t>+25.4%</t>
        </is>
      </c>
      <c r="I18" s="18" t="n">
        <v>29</v>
      </c>
      <c r="J18" s="18" t="inlineStr">
        <is>
          <t>65.5%</t>
        </is>
      </c>
      <c r="K18" s="18" t="inlineStr">
        <is>
          <t>10/35 (29%)</t>
        </is>
      </c>
      <c r="L18" s="18" t="inlineStr">
        <is>
          <t>+112.9</t>
        </is>
      </c>
    </row>
    <row r="19">
      <c r="A19" s="18" t="inlineStr">
        <is>
          <t>Ridge (candidate) -- all FBS</t>
        </is>
      </c>
      <c r="B19" s="18" t="n">
        <v>331</v>
      </c>
      <c r="C19" s="18" t="n">
        <v>327</v>
      </c>
      <c r="D19" s="18" t="n">
        <v>154</v>
      </c>
      <c r="E19" s="18" t="n">
        <v>173</v>
      </c>
      <c r="F19" s="18" t="n">
        <v>4</v>
      </c>
      <c r="G19" s="18" t="inlineStr">
        <is>
          <t>47.1%</t>
        </is>
      </c>
      <c r="H19" s="18" t="inlineStr">
        <is>
          <t>-10.1%</t>
        </is>
      </c>
      <c r="I19" s="18" t="n">
        <v>283</v>
      </c>
      <c r="J19" s="18" t="inlineStr">
        <is>
          <t>47.3%</t>
        </is>
      </c>
      <c r="K19" s="18" t="inlineStr">
        <is>
          <t>80/331 (24%)</t>
        </is>
      </c>
      <c r="L19" s="18" t="inlineStr">
        <is>
          <t>-673.8</t>
        </is>
      </c>
    </row>
    <row r="20">
      <c r="A20" s="18" t="inlineStr">
        <is>
          <t>Ridge (candidate) -- MW-involved</t>
        </is>
      </c>
      <c r="B20" s="18" t="n">
        <v>35</v>
      </c>
      <c r="C20" s="18" t="n">
        <v>35</v>
      </c>
      <c r="D20" s="18" t="n">
        <v>19</v>
      </c>
      <c r="E20" s="18" t="n">
        <v>16</v>
      </c>
      <c r="F20" s="18" t="n">
        <v>0</v>
      </c>
      <c r="G20" s="18" t="inlineStr">
        <is>
          <t>54.3%</t>
        </is>
      </c>
      <c r="H20" s="18" t="inlineStr">
        <is>
          <t>+3.6%</t>
        </is>
      </c>
      <c r="I20" s="18" t="n">
        <v>29</v>
      </c>
      <c r="J20" s="18" t="inlineStr">
        <is>
          <t>48.3%</t>
        </is>
      </c>
      <c r="K20" s="18" t="inlineStr">
        <is>
          <t>8/35 (23%)</t>
        </is>
      </c>
      <c r="L20" s="18" t="inlineStr">
        <is>
          <t>+51.9</t>
        </is>
      </c>
    </row>
    <row r="21">
      <c r="A21" s="18" t="inlineStr">
        <is>
          <t>XGBoost (candidate) -- all FBS</t>
        </is>
      </c>
      <c r="B21" s="18" t="n">
        <v>331</v>
      </c>
      <c r="C21" s="18" t="n">
        <v>327</v>
      </c>
      <c r="D21" s="18" t="n">
        <v>154</v>
      </c>
      <c r="E21" s="18" t="n">
        <v>173</v>
      </c>
      <c r="F21" s="18" t="n">
        <v>4</v>
      </c>
      <c r="G21" s="18" t="inlineStr">
        <is>
          <t>47.1%</t>
        </is>
      </c>
      <c r="H21" s="18" t="inlineStr">
        <is>
          <t>-10.1%</t>
        </is>
      </c>
      <c r="I21" s="18" t="n">
        <v>260</v>
      </c>
      <c r="J21" s="18" t="inlineStr">
        <is>
          <t>46.5%</t>
        </is>
      </c>
      <c r="K21" s="18" t="inlineStr">
        <is>
          <t>103/331 (31%)</t>
        </is>
      </c>
      <c r="L21" s="18" t="inlineStr">
        <is>
          <t>-655.2</t>
        </is>
      </c>
    </row>
    <row r="22">
      <c r="A22" s="18" t="inlineStr">
        <is>
          <t>XGBoost (candidate) -- MW-involved</t>
        </is>
      </c>
      <c r="B22" s="18" t="n">
        <v>35</v>
      </c>
      <c r="C22" s="18" t="n">
        <v>35</v>
      </c>
      <c r="D22" s="18" t="n">
        <v>16</v>
      </c>
      <c r="E22" s="18" t="n">
        <v>19</v>
      </c>
      <c r="F22" s="18" t="n">
        <v>0</v>
      </c>
      <c r="G22" s="18" t="inlineStr">
        <is>
          <t>45.7%</t>
        </is>
      </c>
      <c r="H22" s="18" t="inlineStr">
        <is>
          <t>-12.7%</t>
        </is>
      </c>
      <c r="I22" s="18" t="n">
        <v>25</v>
      </c>
      <c r="J22" s="18" t="inlineStr">
        <is>
          <t>40.0%</t>
        </is>
      </c>
      <c r="K22" s="18" t="inlineStr">
        <is>
          <t>13/35 (37%)</t>
        </is>
      </c>
      <c r="L22" s="18" t="inlineStr">
        <is>
          <t>+8.8</t>
        </is>
      </c>
    </row>
    <row r="23">
      <c r="A23" s="18" t="inlineStr">
        <is>
          <t>Massey (candidate) -- all FBS</t>
        </is>
      </c>
      <c r="B23" s="18" t="n">
        <v>331</v>
      </c>
      <c r="C23" s="18" t="n">
        <v>230</v>
      </c>
      <c r="D23" s="18" t="n">
        <v>101</v>
      </c>
      <c r="E23" s="18" t="n">
        <v>129</v>
      </c>
      <c r="F23" s="18" t="n">
        <v>2</v>
      </c>
      <c r="G23" s="18" t="inlineStr">
        <is>
          <t>43.9%</t>
        </is>
      </c>
      <c r="H23" s="18" t="inlineStr">
        <is>
          <t>-16.2%</t>
        </is>
      </c>
      <c r="I23" s="18" t="n">
        <v>212</v>
      </c>
      <c r="J23" s="18" t="inlineStr">
        <is>
          <t>44.8%</t>
        </is>
      </c>
      <c r="K23" s="18" t="inlineStr">
        <is>
          <t>28/232 (12%)</t>
        </is>
      </c>
      <c r="L23" s="18" t="inlineStr">
        <is>
          <t>-2334.3</t>
        </is>
      </c>
    </row>
    <row r="24">
      <c r="A24" s="18" t="inlineStr">
        <is>
          <t>Massey (candidate) -- MW-involved</t>
        </is>
      </c>
      <c r="B24" s="18" t="n">
        <v>35</v>
      </c>
      <c r="C24" s="18" t="n">
        <v>22</v>
      </c>
      <c r="D24" s="18" t="n">
        <v>13</v>
      </c>
      <c r="E24" s="18" t="n">
        <v>9</v>
      </c>
      <c r="F24" s="18" t="n">
        <v>0</v>
      </c>
      <c r="G24" s="18" t="inlineStr">
        <is>
          <t>59.1%</t>
        </is>
      </c>
      <c r="H24" s="18" t="inlineStr">
        <is>
          <t>+12.8%</t>
        </is>
      </c>
      <c r="I24" s="18" t="n">
        <v>20</v>
      </c>
      <c r="J24" s="18" t="inlineStr">
        <is>
          <t>55.0%</t>
        </is>
      </c>
      <c r="K24" s="18" t="inlineStr">
        <is>
          <t>4/22 (18%)</t>
        </is>
      </c>
      <c r="L24" s="18" t="inlineStr">
        <is>
          <t>-73.1</t>
        </is>
      </c>
    </row>
    <row r="26">
      <c r="A26" s="20" t="inlineStr">
        <is>
          <t>Ridge and XGBoost (the two candidates) agree with each other in 76.9% of all graded games. Ridge agrees with the live model (Gamma) in 55.9% of games it has a rating for. XGBoost agrees with the live model (Gamma) in 62.5% of games it has a rating for. Massey agrees with the live model (Gamma) in 50.0% of games it has a rating for.</t>
        </is>
      </c>
    </row>
    <row r="28">
      <c r="A28" s="27" t="inlineStr">
        <is>
          <t>Upcoming Games -- Ridge vs. XGBoost vs. Massey vs. Dub Gamma (Not Yet Graded)</t>
        </is>
      </c>
    </row>
    <row r="29" ht="39" customHeight="1">
      <c r="A29" s="28" t="inlineStr">
        <is>
          <t>Week</t>
        </is>
      </c>
      <c r="B29" s="28" t="inlineStr">
        <is>
          <t>Matchup</t>
        </is>
      </c>
      <c r="C29" s="28" t="inlineStr">
        <is>
          <t>Market Line (Home)</t>
        </is>
      </c>
      <c r="D29" s="28" t="inlineStr">
        <is>
          <t>Ridge Line</t>
        </is>
      </c>
      <c r="E29" s="28" t="inlineStr">
        <is>
          <t>XGBoost Line</t>
        </is>
      </c>
      <c r="F29" s="28" t="inlineStr">
        <is>
          <t>Gamma Line</t>
        </is>
      </c>
      <c r="G29" s="28" t="inlineStr">
        <is>
          <t>Massey Line</t>
        </is>
      </c>
      <c r="H29" s="28" t="inlineStr">
        <is>
          <t>Ridge Lean</t>
        </is>
      </c>
      <c r="I29" s="28" t="inlineStr">
        <is>
          <t>XGBoost Lean</t>
        </is>
      </c>
      <c r="J29" s="28" t="inlineStr">
        <is>
          <t>Gamma Lean</t>
        </is>
      </c>
      <c r="K29" s="28" t="inlineStr">
        <is>
          <t>Massey Lean</t>
        </is>
      </c>
      <c r="L29" s="28" t="inlineStr">
        <is>
          <t>Ridge/XGBoost Agree?</t>
        </is>
      </c>
      <c r="M29" s="28" t="inlineStr">
        <is>
          <t>Tightest (Live)*</t>
        </is>
      </c>
    </row>
    <row r="30">
      <c r="A30" s="18" t="n">
        <v>5</v>
      </c>
      <c r="B30" s="18" t="inlineStr">
        <is>
          <t>Navy @ Air Force</t>
        </is>
      </c>
      <c r="C30" s="18" t="inlineStr">
        <is>
          <t>-2.8</t>
        </is>
      </c>
      <c r="D30" s="18" t="inlineStr">
        <is>
          <t>-8.5</t>
        </is>
      </c>
      <c r="E30" s="18" t="inlineStr">
        <is>
          <t>-1.8</t>
        </is>
      </c>
      <c r="F30" s="18" t="inlineStr">
        <is>
          <t>+5.4</t>
        </is>
      </c>
      <c r="G30" s="18" t="inlineStr">
        <is>
          <t>-7.7</t>
        </is>
      </c>
      <c r="H30" s="18" t="inlineStr">
        <is>
          <t>Home</t>
        </is>
      </c>
      <c r="I30" s="18" t="inlineStr">
        <is>
          <t>Away (auto)</t>
        </is>
      </c>
      <c r="J30" s="18" t="inlineStr">
        <is>
          <t>Away</t>
        </is>
      </c>
      <c r="K30" s="18" t="inlineStr">
        <is>
          <t>Home</t>
        </is>
      </c>
      <c r="L30" s="18" t="inlineStr">
        <is>
          <t>No</t>
        </is>
      </c>
      <c r="M30" s="29" t="inlineStr">
        <is>
          <t>XGBoost</t>
        </is>
      </c>
    </row>
    <row r="31">
      <c r="A31" s="18" t="n">
        <v>5</v>
      </c>
      <c r="B31" s="18" t="inlineStr">
        <is>
          <t>Wyoming @ North Dakota State</t>
        </is>
      </c>
      <c r="C31" s="18" t="inlineStr">
        <is>
          <t>-19.5</t>
        </is>
      </c>
      <c r="D31" s="18" t="inlineStr">
        <is>
          <t>-22.0</t>
        </is>
      </c>
      <c r="E31" s="18" t="inlineStr">
        <is>
          <t>-19.8</t>
        </is>
      </c>
      <c r="F31" s="18" t="inlineStr">
        <is>
          <t>-31.5</t>
        </is>
      </c>
      <c r="G31" s="18" t="inlineStr">
        <is>
          <t>-20.8</t>
        </is>
      </c>
      <c r="H31" s="18" t="inlineStr">
        <is>
          <t>Home</t>
        </is>
      </c>
      <c r="I31" s="18" t="inlineStr">
        <is>
          <t>Home (auto)</t>
        </is>
      </c>
      <c r="J31" s="18" t="inlineStr">
        <is>
          <t>Home</t>
        </is>
      </c>
      <c r="K31" s="18" t="inlineStr">
        <is>
          <t>Home (auto)</t>
        </is>
      </c>
      <c r="L31" s="18" t="inlineStr">
        <is>
          <t>Yes</t>
        </is>
      </c>
      <c r="M31" s="29" t="inlineStr">
        <is>
          <t>XGBoost</t>
        </is>
      </c>
    </row>
    <row r="32">
      <c r="A32" s="18" t="n">
        <v>5</v>
      </c>
      <c r="B32" s="18" t="inlineStr">
        <is>
          <t>California @ UNLV</t>
        </is>
      </c>
      <c r="C32" s="18" t="inlineStr">
        <is>
          <t>-2.2</t>
        </is>
      </c>
      <c r="D32" s="18" t="inlineStr">
        <is>
          <t>-15.5</t>
        </is>
      </c>
      <c r="E32" s="18" t="inlineStr">
        <is>
          <t>-7.4</t>
        </is>
      </c>
      <c r="F32" s="18" t="inlineStr">
        <is>
          <t>-5.4</t>
        </is>
      </c>
      <c r="G32" s="18" t="inlineStr">
        <is>
          <t>-3.1</t>
        </is>
      </c>
      <c r="H32" s="18" t="inlineStr">
        <is>
          <t>Home</t>
        </is>
      </c>
      <c r="I32" s="18" t="inlineStr">
        <is>
          <t>Home</t>
        </is>
      </c>
      <c r="J32" s="18" t="inlineStr">
        <is>
          <t>Home</t>
        </is>
      </c>
      <c r="K32" s="18" t="inlineStr">
        <is>
          <t>Home (auto)</t>
        </is>
      </c>
      <c r="L32" s="18" t="inlineStr">
        <is>
          <t>Yes</t>
        </is>
      </c>
      <c r="M32" s="29" t="inlineStr">
        <is>
          <t>Massey</t>
        </is>
      </c>
    </row>
    <row r="33">
      <c r="A33" s="18" t="n">
        <v>5</v>
      </c>
      <c r="B33" s="18" t="inlineStr">
        <is>
          <t>UTEP @ New Mexico</t>
        </is>
      </c>
      <c r="C33" s="18" t="inlineStr">
        <is>
          <t>-22.5</t>
        </is>
      </c>
      <c r="D33" s="18" t="inlineStr">
        <is>
          <t>-22.1</t>
        </is>
      </c>
      <c r="E33" s="18" t="inlineStr">
        <is>
          <t>-21.2</t>
        </is>
      </c>
      <c r="F33" s="18" t="inlineStr">
        <is>
          <t>-31.6</t>
        </is>
      </c>
      <c r="G33" s="18" t="inlineStr">
        <is>
          <t>-28.2</t>
        </is>
      </c>
      <c r="H33" s="18" t="inlineStr">
        <is>
          <t>Away (auto)</t>
        </is>
      </c>
      <c r="I33" s="18" t="inlineStr">
        <is>
          <t>Away (auto)</t>
        </is>
      </c>
      <c r="J33" s="18" t="inlineStr">
        <is>
          <t>Home</t>
        </is>
      </c>
      <c r="K33" s="18" t="inlineStr">
        <is>
          <t>Home</t>
        </is>
      </c>
      <c r="L33" s="18" t="inlineStr">
        <is>
          <t>Yes</t>
        </is>
      </c>
      <c r="M33" s="29" t="inlineStr">
        <is>
          <t>Ridge</t>
        </is>
      </c>
    </row>
    <row r="34">
      <c r="A34" s="18" t="n">
        <v>5</v>
      </c>
      <c r="B34" s="18" t="inlineStr">
        <is>
          <t>San José State @ Hawai'i</t>
        </is>
      </c>
      <c r="C34" s="18" t="inlineStr">
        <is>
          <t>-3.0</t>
        </is>
      </c>
      <c r="D34" s="18" t="inlineStr">
        <is>
          <t>-6.7</t>
        </is>
      </c>
      <c r="E34" s="18" t="inlineStr">
        <is>
          <t>-7.0</t>
        </is>
      </c>
      <c r="F34" s="18" t="inlineStr">
        <is>
          <t>-7.7</t>
        </is>
      </c>
      <c r="G34" s="18" t="inlineStr">
        <is>
          <t>+2.1</t>
        </is>
      </c>
      <c r="H34" s="18" t="inlineStr">
        <is>
          <t>Home</t>
        </is>
      </c>
      <c r="I34" s="18" t="inlineStr">
        <is>
          <t>Home</t>
        </is>
      </c>
      <c r="J34" s="18" t="inlineStr">
        <is>
          <t>Home</t>
        </is>
      </c>
      <c r="K34" s="18" t="inlineStr">
        <is>
          <t>Away</t>
        </is>
      </c>
      <c r="L34" s="18" t="inlineStr">
        <is>
          <t>Yes</t>
        </is>
      </c>
      <c r="M34" s="29" t="inlineStr">
        <is>
          <t>Ridge</t>
        </is>
      </c>
    </row>
    <row r="35">
      <c r="A35" s="20" t="inlineStr">
        <is>
          <t>* Tightest (Live) compares each model's line to TODAY's still-moving market line, not a final closing line -- it will keep changing until kickoff. See the graded Game-by-Game table below for the real, closing-line version of this comparison.</t>
        </is>
      </c>
    </row>
    <row r="38">
      <c r="A38" s="27" t="inlineStr">
        <is>
          <t>2026 Mountain West Games -- Game by Game</t>
        </is>
      </c>
    </row>
    <row r="39" ht="26" customHeight="1">
      <c r="A39" s="28" t="inlineStr">
        <is>
          <t>Week</t>
        </is>
      </c>
      <c r="B39" s="28" t="inlineStr">
        <is>
          <t>Matchup</t>
        </is>
      </c>
      <c r="C39" s="28" t="inlineStr">
        <is>
          <t>Final Score</t>
        </is>
      </c>
      <c r="D39" s="28" t="inlineStr">
        <is>
          <t>Vegas Spread (Home)</t>
        </is>
      </c>
      <c r="E39" s="28" t="inlineStr">
        <is>
          <t>Actual Margin (Home)</t>
        </is>
      </c>
      <c r="F39" s="28" t="inlineStr">
        <is>
          <t>Ridge Line</t>
        </is>
      </c>
      <c r="G39" s="28" t="inlineStr">
        <is>
          <t>Ridge Edge</t>
        </is>
      </c>
      <c r="H39" s="28" t="inlineStr">
        <is>
          <t>Ridge Lean</t>
        </is>
      </c>
      <c r="I39" s="28" t="inlineStr">
        <is>
          <t>Ridge Result</t>
        </is>
      </c>
      <c r="J39" s="28" t="inlineStr">
        <is>
          <t>XGBoost Line</t>
        </is>
      </c>
      <c r="K39" s="28" t="inlineStr">
        <is>
          <t>XGBoost Edge</t>
        </is>
      </c>
      <c r="L39" s="28" t="inlineStr">
        <is>
          <t>XGBoost Lean</t>
        </is>
      </c>
      <c r="M39" s="28" t="inlineStr">
        <is>
          <t>XGBoost Result</t>
        </is>
      </c>
      <c r="N39" s="28" t="inlineStr">
        <is>
          <t>Gamma Line</t>
        </is>
      </c>
      <c r="O39" s="28" t="inlineStr">
        <is>
          <t>Gamma Edge</t>
        </is>
      </c>
      <c r="P39" s="28" t="inlineStr">
        <is>
          <t>Gamma Lean</t>
        </is>
      </c>
      <c r="Q39" s="28" t="inlineStr">
        <is>
          <t>Gamma Result</t>
        </is>
      </c>
      <c r="R39" s="28" t="inlineStr">
        <is>
          <t>Massey Line</t>
        </is>
      </c>
      <c r="S39" s="28" t="inlineStr">
        <is>
          <t>Massey Edge</t>
        </is>
      </c>
      <c r="T39" s="28" t="inlineStr">
        <is>
          <t>Massey Lean</t>
        </is>
      </c>
      <c r="U39" s="28" t="inlineStr">
        <is>
          <t>Massey Result</t>
        </is>
      </c>
      <c r="V39" s="28" t="inlineStr">
        <is>
          <t>Ridge/XGBoost Agree?</t>
        </is>
      </c>
      <c r="W39" s="28" t="inlineStr">
        <is>
          <t>Ridge Agrees (w/ Live Model)?</t>
        </is>
      </c>
      <c r="X39" s="28" t="inlineStr">
        <is>
          <t>Tightest CLV Line</t>
        </is>
      </c>
      <c r="Y39" s="28" t="inlineStr">
        <is>
          <t>Ridge CLV Pts (Cum.)</t>
        </is>
      </c>
      <c r="Z39" s="28" t="inlineStr">
        <is>
          <t>XGBoost CLV Pts (Cum.)</t>
        </is>
      </c>
      <c r="AA39" s="28" t="inlineStr">
        <is>
          <t>Gamma CLV Pts (Cum.)</t>
        </is>
      </c>
      <c r="AB39" s="28" t="inlineStr">
        <is>
          <t>Massey CLV Pts (Cum.)</t>
        </is>
      </c>
    </row>
    <row r="40">
      <c r="A40" s="18" t="n">
        <v>1</v>
      </c>
      <c r="B40" s="18" t="inlineStr">
        <is>
          <t>Duquesne @ Air Force</t>
        </is>
      </c>
      <c r="C40" s="18" t="inlineStr">
        <is>
          <t>0-34</t>
        </is>
      </c>
      <c r="D40" s="18" t="inlineStr">
        <is>
          <t>-30.0</t>
        </is>
      </c>
      <c r="E40" s="18" t="inlineStr">
        <is>
          <t>+34.0</t>
        </is>
      </c>
      <c r="F40" s="18" t="inlineStr">
        <is>
          <t>-17.0</t>
        </is>
      </c>
      <c r="G40" s="18" t="inlineStr">
        <is>
          <t>-13.0</t>
        </is>
      </c>
      <c r="H40" s="18" t="inlineStr">
        <is>
          <t>Away</t>
        </is>
      </c>
      <c r="I40" s="30" t="inlineStr">
        <is>
          <t>Loss</t>
        </is>
      </c>
      <c r="J40" s="18" t="inlineStr">
        <is>
          <t>-28.3</t>
        </is>
      </c>
      <c r="K40" s="18" t="inlineStr">
        <is>
          <t>-1.7</t>
        </is>
      </c>
      <c r="L40" s="18" t="inlineStr">
        <is>
          <t>Away</t>
        </is>
      </c>
      <c r="M40" s="30" t="inlineStr">
        <is>
          <t>Loss (no real edge)</t>
        </is>
      </c>
      <c r="N40" s="18" t="inlineStr">
        <is>
          <t>-36.5</t>
        </is>
      </c>
      <c r="O40" s="18" t="inlineStr">
        <is>
          <t>+6.5</t>
        </is>
      </c>
      <c r="P40" s="18" t="inlineStr">
        <is>
          <t>Home</t>
        </is>
      </c>
      <c r="Q40" s="29" t="inlineStr">
        <is>
          <t>Win (seed week)</t>
        </is>
      </c>
      <c r="R40" s="18" t="inlineStr">
        <is>
          <t>--</t>
        </is>
      </c>
      <c r="S40" s="18" t="inlineStr">
        <is>
          <t>--</t>
        </is>
      </c>
      <c r="T40" s="18" t="inlineStr">
        <is>
          <t>n/a</t>
        </is>
      </c>
      <c r="U40" s="18" t="inlineStr">
        <is>
          <t>n/a</t>
        </is>
      </c>
      <c r="V40" s="18" t="inlineStr">
        <is>
          <t>Yes</t>
        </is>
      </c>
      <c r="W40" s="18" t="inlineStr">
        <is>
          <t>No</t>
        </is>
      </c>
      <c r="X40" s="29" t="inlineStr">
        <is>
          <t>XGBoost</t>
        </is>
      </c>
      <c r="Y40" s="18" t="inlineStr">
        <is>
          <t>-13.0</t>
        </is>
      </c>
      <c r="Z40" s="18" t="inlineStr">
        <is>
          <t>-1.7</t>
        </is>
      </c>
      <c r="AA40" s="18" t="inlineStr">
        <is>
          <t>+6.5</t>
        </is>
      </c>
      <c r="AB40" s="18" t="inlineStr">
        <is>
          <t>+0.0</t>
        </is>
      </c>
    </row>
    <row r="41">
      <c r="A41" s="18" t="n">
        <v>1</v>
      </c>
      <c r="B41" s="18" t="inlineStr">
        <is>
          <t>Wyoming @ Colorado State</t>
        </is>
      </c>
      <c r="C41" s="18" t="inlineStr">
        <is>
          <t>13-35</t>
        </is>
      </c>
      <c r="D41" s="18" t="inlineStr">
        <is>
          <t>-2.8</t>
        </is>
      </c>
      <c r="E41" s="18" t="inlineStr">
        <is>
          <t>+22.0</t>
        </is>
      </c>
      <c r="F41" s="18" t="inlineStr">
        <is>
          <t>-7.8</t>
        </is>
      </c>
      <c r="G41" s="18" t="inlineStr">
        <is>
          <t>+5.1</t>
        </is>
      </c>
      <c r="H41" s="18" t="inlineStr">
        <is>
          <t>Home</t>
        </is>
      </c>
      <c r="I41" s="29" t="inlineStr">
        <is>
          <t>Win</t>
        </is>
      </c>
      <c r="J41" s="18" t="inlineStr">
        <is>
          <t>-3.3</t>
        </is>
      </c>
      <c r="K41" s="18" t="inlineStr">
        <is>
          <t>+0.6</t>
        </is>
      </c>
      <c r="L41" s="18" t="inlineStr">
        <is>
          <t>Home</t>
        </is>
      </c>
      <c r="M41" s="29" t="inlineStr">
        <is>
          <t>Win (no real edge)</t>
        </is>
      </c>
      <c r="N41" s="18" t="inlineStr">
        <is>
          <t>-6.4</t>
        </is>
      </c>
      <c r="O41" s="18" t="inlineStr">
        <is>
          <t>+3.7</t>
        </is>
      </c>
      <c r="P41" s="18" t="inlineStr">
        <is>
          <t>Home</t>
        </is>
      </c>
      <c r="Q41" s="29" t="inlineStr">
        <is>
          <t>Win (seed week)</t>
        </is>
      </c>
      <c r="R41" s="18" t="inlineStr">
        <is>
          <t>--</t>
        </is>
      </c>
      <c r="S41" s="18" t="inlineStr">
        <is>
          <t>--</t>
        </is>
      </c>
      <c r="T41" s="18" t="inlineStr">
        <is>
          <t>n/a</t>
        </is>
      </c>
      <c r="U41" s="18" t="inlineStr">
        <is>
          <t>n/a</t>
        </is>
      </c>
      <c r="V41" s="18" t="inlineStr">
        <is>
          <t>Yes</t>
        </is>
      </c>
      <c r="W41" s="18" t="inlineStr">
        <is>
          <t>Yes</t>
        </is>
      </c>
      <c r="X41" s="29" t="inlineStr">
        <is>
          <t>XGBoost</t>
        </is>
      </c>
      <c r="Y41" s="18" t="inlineStr">
        <is>
          <t>-7.9</t>
        </is>
      </c>
      <c r="Z41" s="18" t="inlineStr">
        <is>
          <t>-1.1</t>
        </is>
      </c>
      <c r="AA41" s="18" t="inlineStr">
        <is>
          <t>+10.2</t>
        </is>
      </c>
      <c r="AB41" s="18" t="inlineStr">
        <is>
          <t>+0.0</t>
        </is>
      </c>
    </row>
    <row r="42">
      <c r="A42" s="18" t="n">
        <v>1</v>
      </c>
      <c r="B42" s="18" t="inlineStr">
        <is>
          <t>San José State @ Eastern Michigan</t>
        </is>
      </c>
      <c r="C42" s="18" t="inlineStr">
        <is>
          <t>27-21</t>
        </is>
      </c>
      <c r="D42" s="18" t="inlineStr">
        <is>
          <t>-1.5</t>
        </is>
      </c>
      <c r="E42" s="18" t="inlineStr">
        <is>
          <t>-6.0</t>
        </is>
      </c>
      <c r="F42" s="18" t="inlineStr">
        <is>
          <t>-15.8</t>
        </is>
      </c>
      <c r="G42" s="18" t="inlineStr">
        <is>
          <t>+14.3</t>
        </is>
      </c>
      <c r="H42" s="18" t="inlineStr">
        <is>
          <t>Home</t>
        </is>
      </c>
      <c r="I42" s="30" t="inlineStr">
        <is>
          <t>Loss</t>
        </is>
      </c>
      <c r="J42" s="18" t="inlineStr">
        <is>
          <t>-10.9</t>
        </is>
      </c>
      <c r="K42" s="18" t="inlineStr">
        <is>
          <t>+9.4</t>
        </is>
      </c>
      <c r="L42" s="18" t="inlineStr">
        <is>
          <t>Home</t>
        </is>
      </c>
      <c r="M42" s="30" t="inlineStr">
        <is>
          <t>Loss</t>
        </is>
      </c>
      <c r="N42" s="18" t="inlineStr">
        <is>
          <t>+0.5</t>
        </is>
      </c>
      <c r="O42" s="18" t="inlineStr">
        <is>
          <t>-2.0</t>
        </is>
      </c>
      <c r="P42" s="18" t="inlineStr">
        <is>
          <t>Away</t>
        </is>
      </c>
      <c r="Q42" s="29" t="inlineStr">
        <is>
          <t>Win (seed week)</t>
        </is>
      </c>
      <c r="R42" s="18" t="inlineStr">
        <is>
          <t>--</t>
        </is>
      </c>
      <c r="S42" s="18" t="inlineStr">
        <is>
          <t>--</t>
        </is>
      </c>
      <c r="T42" s="18" t="inlineStr">
        <is>
          <t>n/a</t>
        </is>
      </c>
      <c r="U42" s="18" t="inlineStr">
        <is>
          <t>n/a</t>
        </is>
      </c>
      <c r="V42" s="18" t="inlineStr">
        <is>
          <t>Yes</t>
        </is>
      </c>
      <c r="W42" s="18" t="inlineStr">
        <is>
          <t>No</t>
        </is>
      </c>
      <c r="X42" s="29" t="inlineStr">
        <is>
          <t>Gamma</t>
        </is>
      </c>
      <c r="Y42" s="18" t="inlineStr">
        <is>
          <t>+6.4</t>
        </is>
      </c>
      <c r="Z42" s="18" t="inlineStr">
        <is>
          <t>+8.3</t>
        </is>
      </c>
      <c r="AA42" s="18" t="inlineStr">
        <is>
          <t>+8.2</t>
        </is>
      </c>
      <c r="AB42" s="18" t="inlineStr">
        <is>
          <t>+0.0</t>
        </is>
      </c>
    </row>
    <row r="43">
      <c r="A43" s="18" t="n">
        <v>1</v>
      </c>
      <c r="B43" s="18" t="inlineStr">
        <is>
          <t>UNLV @ Hawai'i</t>
        </is>
      </c>
      <c r="C43" s="18" t="inlineStr">
        <is>
          <t>21-6</t>
        </is>
      </c>
      <c r="D43" s="18" t="inlineStr">
        <is>
          <t>+2.8</t>
        </is>
      </c>
      <c r="E43" s="18" t="inlineStr">
        <is>
          <t>-15.0</t>
        </is>
      </c>
      <c r="F43" s="18" t="inlineStr">
        <is>
          <t>+2.9</t>
        </is>
      </c>
      <c r="G43" s="18" t="inlineStr">
        <is>
          <t>-0.1</t>
        </is>
      </c>
      <c r="H43" s="18" t="inlineStr">
        <is>
          <t>Away</t>
        </is>
      </c>
      <c r="I43" s="29" t="inlineStr">
        <is>
          <t>Win (no real edge)</t>
        </is>
      </c>
      <c r="J43" s="18" t="inlineStr">
        <is>
          <t>-2.3</t>
        </is>
      </c>
      <c r="K43" s="18" t="inlineStr">
        <is>
          <t>+5.0</t>
        </is>
      </c>
      <c r="L43" s="18" t="inlineStr">
        <is>
          <t>Home</t>
        </is>
      </c>
      <c r="M43" s="30" t="inlineStr">
        <is>
          <t>Loss</t>
        </is>
      </c>
      <c r="N43" s="18" t="inlineStr">
        <is>
          <t>+4.4</t>
        </is>
      </c>
      <c r="O43" s="18" t="inlineStr">
        <is>
          <t>-1.6</t>
        </is>
      </c>
      <c r="P43" s="18" t="inlineStr">
        <is>
          <t>Away</t>
        </is>
      </c>
      <c r="Q43" s="29" t="inlineStr">
        <is>
          <t>Win (no real edge) (seed week)</t>
        </is>
      </c>
      <c r="R43" s="18" t="inlineStr">
        <is>
          <t>--</t>
        </is>
      </c>
      <c r="S43" s="18" t="inlineStr">
        <is>
          <t>--</t>
        </is>
      </c>
      <c r="T43" s="18" t="inlineStr">
        <is>
          <t>n/a</t>
        </is>
      </c>
      <c r="U43" s="18" t="inlineStr">
        <is>
          <t>n/a</t>
        </is>
      </c>
      <c r="V43" s="18" t="inlineStr">
        <is>
          <t>No</t>
        </is>
      </c>
      <c r="W43" s="18" t="inlineStr">
        <is>
          <t>Yes</t>
        </is>
      </c>
      <c r="X43" s="29" t="inlineStr">
        <is>
          <t>Ridge</t>
        </is>
      </c>
      <c r="Y43" s="18" t="inlineStr">
        <is>
          <t>+6.2</t>
        </is>
      </c>
      <c r="Z43" s="18" t="inlineStr">
        <is>
          <t>+13.3</t>
        </is>
      </c>
      <c r="AA43" s="18" t="inlineStr">
        <is>
          <t>+6.5</t>
        </is>
      </c>
      <c r="AB43" s="18" t="inlineStr">
        <is>
          <t>+0.0</t>
        </is>
      </c>
    </row>
    <row r="44">
      <c r="A44" s="18" t="n">
        <v>1</v>
      </c>
      <c r="B44" s="18" t="inlineStr">
        <is>
          <t>Northern Illinois @ Iowa</t>
        </is>
      </c>
      <c r="C44" s="18" t="inlineStr">
        <is>
          <t>0-40</t>
        </is>
      </c>
      <c r="D44" s="18" t="inlineStr">
        <is>
          <t>-31.8</t>
        </is>
      </c>
      <c r="E44" s="18" t="inlineStr">
        <is>
          <t>+40.0</t>
        </is>
      </c>
      <c r="F44" s="18" t="inlineStr">
        <is>
          <t>-28.3</t>
        </is>
      </c>
      <c r="G44" s="18" t="inlineStr">
        <is>
          <t>-3.5</t>
        </is>
      </c>
      <c r="H44" s="18" t="inlineStr">
        <is>
          <t>Away</t>
        </is>
      </c>
      <c r="I44" s="30" t="inlineStr">
        <is>
          <t>Loss</t>
        </is>
      </c>
      <c r="J44" s="18" t="inlineStr">
        <is>
          <t>-24.5</t>
        </is>
      </c>
      <c r="K44" s="18" t="inlineStr">
        <is>
          <t>-7.2</t>
        </is>
      </c>
      <c r="L44" s="18" t="inlineStr">
        <is>
          <t>Away</t>
        </is>
      </c>
      <c r="M44" s="30" t="inlineStr">
        <is>
          <t>Loss</t>
        </is>
      </c>
      <c r="N44" s="18" t="inlineStr">
        <is>
          <t>-41.0</t>
        </is>
      </c>
      <c r="O44" s="18" t="inlineStr">
        <is>
          <t>+9.2</t>
        </is>
      </c>
      <c r="P44" s="18" t="inlineStr">
        <is>
          <t>Home</t>
        </is>
      </c>
      <c r="Q44" s="29" t="inlineStr">
        <is>
          <t>Win (seed week)</t>
        </is>
      </c>
      <c r="R44" s="18" t="inlineStr">
        <is>
          <t>--</t>
        </is>
      </c>
      <c r="S44" s="18" t="inlineStr">
        <is>
          <t>--</t>
        </is>
      </c>
      <c r="T44" s="18" t="inlineStr">
        <is>
          <t>n/a</t>
        </is>
      </c>
      <c r="U44" s="18" t="inlineStr">
        <is>
          <t>n/a</t>
        </is>
      </c>
      <c r="V44" s="18" t="inlineStr">
        <is>
          <t>Yes</t>
        </is>
      </c>
      <c r="W44" s="18" t="inlineStr">
        <is>
          <t>No</t>
        </is>
      </c>
      <c r="X44" s="29" t="inlineStr">
        <is>
          <t>Ridge</t>
        </is>
      </c>
      <c r="Y44" s="18" t="inlineStr">
        <is>
          <t>+2.8</t>
        </is>
      </c>
      <c r="Z44" s="18" t="inlineStr">
        <is>
          <t>+6.1</t>
        </is>
      </c>
      <c r="AA44" s="18" t="inlineStr">
        <is>
          <t>+15.8</t>
        </is>
      </c>
      <c r="AB44" s="18" t="inlineStr">
        <is>
          <t>+0.0</t>
        </is>
      </c>
    </row>
    <row r="45">
      <c r="A45" s="18" t="n">
        <v>1</v>
      </c>
      <c r="B45" s="18" t="inlineStr">
        <is>
          <t>Western Kentucky @ Nevada</t>
        </is>
      </c>
      <c r="C45" s="18" t="inlineStr">
        <is>
          <t>14-49</t>
        </is>
      </c>
      <c r="D45" s="18" t="inlineStr">
        <is>
          <t>+0.2</t>
        </is>
      </c>
      <c r="E45" s="18" t="inlineStr">
        <is>
          <t>+35.0</t>
        </is>
      </c>
      <c r="F45" s="18" t="inlineStr">
        <is>
          <t>+3.3</t>
        </is>
      </c>
      <c r="G45" s="18" t="inlineStr">
        <is>
          <t>-3.0</t>
        </is>
      </c>
      <c r="H45" s="18" t="inlineStr">
        <is>
          <t>Away</t>
        </is>
      </c>
      <c r="I45" s="30" t="inlineStr">
        <is>
          <t>Loss</t>
        </is>
      </c>
      <c r="J45" s="18" t="inlineStr">
        <is>
          <t>+7.9</t>
        </is>
      </c>
      <c r="K45" s="18" t="inlineStr">
        <is>
          <t>-7.6</t>
        </is>
      </c>
      <c r="L45" s="18" t="inlineStr">
        <is>
          <t>Away</t>
        </is>
      </c>
      <c r="M45" s="30" t="inlineStr">
        <is>
          <t>Loss</t>
        </is>
      </c>
      <c r="N45" s="18" t="inlineStr">
        <is>
          <t>-2.5</t>
        </is>
      </c>
      <c r="O45" s="18" t="inlineStr">
        <is>
          <t>+2.7</t>
        </is>
      </c>
      <c r="P45" s="18" t="inlineStr">
        <is>
          <t>Home</t>
        </is>
      </c>
      <c r="Q45" s="29" t="inlineStr">
        <is>
          <t>Win (seed week)</t>
        </is>
      </c>
      <c r="R45" s="18" t="inlineStr">
        <is>
          <t>--</t>
        </is>
      </c>
      <c r="S45" s="18" t="inlineStr">
        <is>
          <t>--</t>
        </is>
      </c>
      <c r="T45" s="18" t="inlineStr">
        <is>
          <t>n/a</t>
        </is>
      </c>
      <c r="U45" s="18" t="inlineStr">
        <is>
          <t>n/a</t>
        </is>
      </c>
      <c r="V45" s="18" t="inlineStr">
        <is>
          <t>Yes</t>
        </is>
      </c>
      <c r="W45" s="18" t="inlineStr">
        <is>
          <t>No</t>
        </is>
      </c>
      <c r="X45" s="29" t="inlineStr">
        <is>
          <t>Gamma</t>
        </is>
      </c>
      <c r="Y45" s="18" t="inlineStr">
        <is>
          <t>-0.3</t>
        </is>
      </c>
      <c r="Z45" s="18" t="inlineStr">
        <is>
          <t>-1.5</t>
        </is>
      </c>
      <c r="AA45" s="18" t="inlineStr">
        <is>
          <t>+18.5</t>
        </is>
      </c>
      <c r="AB45" s="18" t="inlineStr">
        <is>
          <t>+0.0</t>
        </is>
      </c>
    </row>
    <row r="46">
      <c r="A46" s="18" t="n">
        <v>1</v>
      </c>
      <c r="B46" s="18" t="inlineStr">
        <is>
          <t>Central Michigan @ New Mexico</t>
        </is>
      </c>
      <c r="C46" s="18" t="inlineStr">
        <is>
          <t>7-38</t>
        </is>
      </c>
      <c r="D46" s="18" t="inlineStr">
        <is>
          <t>-11.2</t>
        </is>
      </c>
      <c r="E46" s="18" t="inlineStr">
        <is>
          <t>+31.0</t>
        </is>
      </c>
      <c r="F46" s="18" t="inlineStr">
        <is>
          <t>-17.5</t>
        </is>
      </c>
      <c r="G46" s="18" t="inlineStr">
        <is>
          <t>+6.2</t>
        </is>
      </c>
      <c r="H46" s="18" t="inlineStr">
        <is>
          <t>Home</t>
        </is>
      </c>
      <c r="I46" s="29" t="inlineStr">
        <is>
          <t>Win</t>
        </is>
      </c>
      <c r="J46" s="18" t="inlineStr">
        <is>
          <t>-11.2</t>
        </is>
      </c>
      <c r="K46" s="18" t="inlineStr">
        <is>
          <t>-0.1</t>
        </is>
      </c>
      <c r="L46" s="18" t="inlineStr">
        <is>
          <t>Away</t>
        </is>
      </c>
      <c r="M46" s="30" t="inlineStr">
        <is>
          <t>Loss (no real edge)</t>
        </is>
      </c>
      <c r="N46" s="18" t="inlineStr">
        <is>
          <t>-15.6</t>
        </is>
      </c>
      <c r="O46" s="18" t="inlineStr">
        <is>
          <t>+4.3</t>
        </is>
      </c>
      <c r="P46" s="18" t="inlineStr">
        <is>
          <t>Home</t>
        </is>
      </c>
      <c r="Q46" s="29" t="inlineStr">
        <is>
          <t>Win (seed week)</t>
        </is>
      </c>
      <c r="R46" s="18" t="inlineStr">
        <is>
          <t>--</t>
        </is>
      </c>
      <c r="S46" s="18" t="inlineStr">
        <is>
          <t>--</t>
        </is>
      </c>
      <c r="T46" s="18" t="inlineStr">
        <is>
          <t>n/a</t>
        </is>
      </c>
      <c r="U46" s="18" t="inlineStr">
        <is>
          <t>n/a</t>
        </is>
      </c>
      <c r="V46" s="18" t="inlineStr">
        <is>
          <t>No</t>
        </is>
      </c>
      <c r="W46" s="18" t="inlineStr">
        <is>
          <t>Yes</t>
        </is>
      </c>
      <c r="X46" s="29" t="inlineStr">
        <is>
          <t>XGBoost</t>
        </is>
      </c>
      <c r="Y46" s="18" t="inlineStr">
        <is>
          <t>+5.9</t>
        </is>
      </c>
      <c r="Z46" s="18" t="inlineStr">
        <is>
          <t>-1.6</t>
        </is>
      </c>
      <c r="AA46" s="18" t="inlineStr">
        <is>
          <t>+22.9</t>
        </is>
      </c>
      <c r="AB46" s="18" t="inlineStr">
        <is>
          <t>+0.0</t>
        </is>
      </c>
    </row>
    <row r="47">
      <c r="A47" s="18" t="n">
        <v>1</v>
      </c>
      <c r="B47" s="18" t="inlineStr">
        <is>
          <t>Jacksonville State @ North Dakota State</t>
        </is>
      </c>
      <c r="C47" s="18" t="inlineStr">
        <is>
          <t>7-33</t>
        </is>
      </c>
      <c r="D47" s="18" t="inlineStr">
        <is>
          <t>-6.8</t>
        </is>
      </c>
      <c r="E47" s="18" t="inlineStr">
        <is>
          <t>+26.0</t>
        </is>
      </c>
      <c r="F47" s="18" t="inlineStr">
        <is>
          <t>-18.4</t>
        </is>
      </c>
      <c r="G47" s="18" t="inlineStr">
        <is>
          <t>+11.6</t>
        </is>
      </c>
      <c r="H47" s="18" t="inlineStr">
        <is>
          <t>Home</t>
        </is>
      </c>
      <c r="I47" s="29" t="inlineStr">
        <is>
          <t>Win</t>
        </is>
      </c>
      <c r="J47" s="18" t="inlineStr">
        <is>
          <t>-15.5</t>
        </is>
      </c>
      <c r="K47" s="18" t="inlineStr">
        <is>
          <t>+8.7</t>
        </is>
      </c>
      <c r="L47" s="18" t="inlineStr">
        <is>
          <t>Home</t>
        </is>
      </c>
      <c r="M47" s="29" t="inlineStr">
        <is>
          <t>Win</t>
        </is>
      </c>
      <c r="N47" s="18" t="inlineStr">
        <is>
          <t>-25.5</t>
        </is>
      </c>
      <c r="O47" s="18" t="inlineStr">
        <is>
          <t>+18.7</t>
        </is>
      </c>
      <c r="P47" s="18" t="inlineStr">
        <is>
          <t>Home</t>
        </is>
      </c>
      <c r="Q47" s="29" t="inlineStr">
        <is>
          <t>Win (seed week)</t>
        </is>
      </c>
      <c r="R47" s="18" t="inlineStr">
        <is>
          <t>--</t>
        </is>
      </c>
      <c r="S47" s="18" t="inlineStr">
        <is>
          <t>--</t>
        </is>
      </c>
      <c r="T47" s="18" t="inlineStr">
        <is>
          <t>n/a</t>
        </is>
      </c>
      <c r="U47" s="18" t="inlineStr">
        <is>
          <t>n/a</t>
        </is>
      </c>
      <c r="V47" s="18" t="inlineStr">
        <is>
          <t>Yes</t>
        </is>
      </c>
      <c r="W47" s="18" t="inlineStr">
        <is>
          <t>Yes</t>
        </is>
      </c>
      <c r="X47" s="29" t="inlineStr">
        <is>
          <t>XGBoost</t>
        </is>
      </c>
      <c r="Y47" s="18" t="inlineStr">
        <is>
          <t>+17.6</t>
        </is>
      </c>
      <c r="Z47" s="18" t="inlineStr">
        <is>
          <t>+7.1</t>
        </is>
      </c>
      <c r="AA47" s="18" t="inlineStr">
        <is>
          <t>+41.6</t>
        </is>
      </c>
      <c r="AB47" s="18" t="inlineStr">
        <is>
          <t>+0.0</t>
        </is>
      </c>
    </row>
    <row r="48">
      <c r="A48" s="18" t="n">
        <v>1</v>
      </c>
      <c r="B48" s="18" t="inlineStr">
        <is>
          <t>Fordham @ North Dakota State</t>
        </is>
      </c>
      <c r="C48" s="18" t="inlineStr">
        <is>
          <t>0-38</t>
        </is>
      </c>
      <c r="D48" s="18" t="inlineStr">
        <is>
          <t>-41.5</t>
        </is>
      </c>
      <c r="E48" s="18" t="inlineStr">
        <is>
          <t>+38.0</t>
        </is>
      </c>
      <c r="F48" s="18" t="inlineStr">
        <is>
          <t>-40.9</t>
        </is>
      </c>
      <c r="G48" s="18" t="inlineStr">
        <is>
          <t>-0.6</t>
        </is>
      </c>
      <c r="H48" s="18" t="inlineStr">
        <is>
          <t>Away</t>
        </is>
      </c>
      <c r="I48" s="29" t="inlineStr">
        <is>
          <t>Win (no real edge)</t>
        </is>
      </c>
      <c r="J48" s="18" t="inlineStr">
        <is>
          <t>-35.6</t>
        </is>
      </c>
      <c r="K48" s="18" t="inlineStr">
        <is>
          <t>-5.9</t>
        </is>
      </c>
      <c r="L48" s="18" t="inlineStr">
        <is>
          <t>Away</t>
        </is>
      </c>
      <c r="M48" s="29" t="inlineStr">
        <is>
          <t>Win</t>
        </is>
      </c>
      <c r="N48" s="18" t="inlineStr">
        <is>
          <t>-58.5</t>
        </is>
      </c>
      <c r="O48" s="18" t="inlineStr">
        <is>
          <t>+17.0</t>
        </is>
      </c>
      <c r="P48" s="18" t="inlineStr">
        <is>
          <t>Home</t>
        </is>
      </c>
      <c r="Q48" s="30" t="inlineStr">
        <is>
          <t>Loss (seed week)</t>
        </is>
      </c>
      <c r="R48" s="18" t="inlineStr">
        <is>
          <t>--</t>
        </is>
      </c>
      <c r="S48" s="18" t="inlineStr">
        <is>
          <t>--</t>
        </is>
      </c>
      <c r="T48" s="18" t="inlineStr">
        <is>
          <t>n/a</t>
        </is>
      </c>
      <c r="U48" s="18" t="inlineStr">
        <is>
          <t>n/a</t>
        </is>
      </c>
      <c r="V48" s="18" t="inlineStr">
        <is>
          <t>Yes</t>
        </is>
      </c>
      <c r="W48" s="18" t="inlineStr">
        <is>
          <t>No</t>
        </is>
      </c>
      <c r="X48" s="29" t="inlineStr">
        <is>
          <t>Ridge</t>
        </is>
      </c>
      <c r="Y48" s="18" t="inlineStr">
        <is>
          <t>+16.9</t>
        </is>
      </c>
      <c r="Z48" s="18" t="inlineStr">
        <is>
          <t>+1.2</t>
        </is>
      </c>
      <c r="AA48" s="18" t="inlineStr">
        <is>
          <t>+58.5</t>
        </is>
      </c>
      <c r="AB48" s="18" t="inlineStr">
        <is>
          <t>+0.0</t>
        </is>
      </c>
    </row>
    <row r="49">
      <c r="A49" s="18" t="n">
        <v>1</v>
      </c>
      <c r="B49" s="18" t="inlineStr">
        <is>
          <t>UTEP @ Oklahoma</t>
        </is>
      </c>
      <c r="C49" s="18" t="inlineStr">
        <is>
          <t>0-51</t>
        </is>
      </c>
      <c r="D49" s="18" t="inlineStr">
        <is>
          <t>-40.8</t>
        </is>
      </c>
      <c r="E49" s="18" t="inlineStr">
        <is>
          <t>+51.0</t>
        </is>
      </c>
      <c r="F49" s="18" t="inlineStr">
        <is>
          <t>-34.8</t>
        </is>
      </c>
      <c r="G49" s="18" t="inlineStr">
        <is>
          <t>-5.9</t>
        </is>
      </c>
      <c r="H49" s="18" t="inlineStr">
        <is>
          <t>Away</t>
        </is>
      </c>
      <c r="I49" s="30" t="inlineStr">
        <is>
          <t>Loss</t>
        </is>
      </c>
      <c r="J49" s="18" t="inlineStr">
        <is>
          <t>-31.3</t>
        </is>
      </c>
      <c r="K49" s="18" t="inlineStr">
        <is>
          <t>-9.5</t>
        </is>
      </c>
      <c r="L49" s="18" t="inlineStr">
        <is>
          <t>Away</t>
        </is>
      </c>
      <c r="M49" s="30" t="inlineStr">
        <is>
          <t>Loss</t>
        </is>
      </c>
      <c r="N49" s="18" t="inlineStr">
        <is>
          <t>-44.4</t>
        </is>
      </c>
      <c r="O49" s="18" t="inlineStr">
        <is>
          <t>+3.6</t>
        </is>
      </c>
      <c r="P49" s="18" t="inlineStr">
        <is>
          <t>Home</t>
        </is>
      </c>
      <c r="Q49" s="29" t="inlineStr">
        <is>
          <t>Win (seed week)</t>
        </is>
      </c>
      <c r="R49" s="18" t="inlineStr">
        <is>
          <t>--</t>
        </is>
      </c>
      <c r="S49" s="18" t="inlineStr">
        <is>
          <t>--</t>
        </is>
      </c>
      <c r="T49" s="18" t="inlineStr">
        <is>
          <t>n/a</t>
        </is>
      </c>
      <c r="U49" s="18" t="inlineStr">
        <is>
          <t>n/a</t>
        </is>
      </c>
      <c r="V49" s="18" t="inlineStr">
        <is>
          <t>Yes</t>
        </is>
      </c>
      <c r="W49" s="18" t="inlineStr">
        <is>
          <t>No</t>
        </is>
      </c>
      <c r="X49" s="29" t="inlineStr">
        <is>
          <t>Gamma</t>
        </is>
      </c>
      <c r="Y49" s="18" t="inlineStr">
        <is>
          <t>+11.0</t>
        </is>
      </c>
      <c r="Z49" s="18" t="inlineStr">
        <is>
          <t>-8.3</t>
        </is>
      </c>
      <c r="AA49" s="18" t="inlineStr">
        <is>
          <t>+62.1</t>
        </is>
      </c>
      <c r="AB49" s="18" t="inlineStr">
        <is>
          <t>+0.0</t>
        </is>
      </c>
    </row>
    <row r="50">
      <c r="A50" s="18" t="n">
        <v>1</v>
      </c>
      <c r="B50" s="18" t="inlineStr">
        <is>
          <t>Hawai'i @ Stanford</t>
        </is>
      </c>
      <c r="C50" s="18" t="inlineStr">
        <is>
          <t>27-37</t>
        </is>
      </c>
      <c r="D50" s="18" t="inlineStr">
        <is>
          <t>-4.8</t>
        </is>
      </c>
      <c r="E50" s="18" t="inlineStr">
        <is>
          <t>+10.0</t>
        </is>
      </c>
      <c r="F50" s="18" t="inlineStr">
        <is>
          <t>-1.5</t>
        </is>
      </c>
      <c r="G50" s="18" t="inlineStr">
        <is>
          <t>-3.3</t>
        </is>
      </c>
      <c r="H50" s="18" t="inlineStr">
        <is>
          <t>Away</t>
        </is>
      </c>
      <c r="I50" s="30" t="inlineStr">
        <is>
          <t>Loss</t>
        </is>
      </c>
      <c r="J50" s="18" t="inlineStr">
        <is>
          <t>+1.7</t>
        </is>
      </c>
      <c r="K50" s="18" t="inlineStr">
        <is>
          <t>-6.5</t>
        </is>
      </c>
      <c r="L50" s="18" t="inlineStr">
        <is>
          <t>Away</t>
        </is>
      </c>
      <c r="M50" s="30" t="inlineStr">
        <is>
          <t>Loss</t>
        </is>
      </c>
      <c r="N50" s="18" t="inlineStr">
        <is>
          <t>-11.2</t>
        </is>
      </c>
      <c r="O50" s="18" t="inlineStr">
        <is>
          <t>+6.4</t>
        </is>
      </c>
      <c r="P50" s="18" t="inlineStr">
        <is>
          <t>Home</t>
        </is>
      </c>
      <c r="Q50" s="29" t="inlineStr">
        <is>
          <t>Win (seed week)</t>
        </is>
      </c>
      <c r="R50" s="18" t="inlineStr">
        <is>
          <t>--</t>
        </is>
      </c>
      <c r="S50" s="18" t="inlineStr">
        <is>
          <t>--</t>
        </is>
      </c>
      <c r="T50" s="18" t="inlineStr">
        <is>
          <t>n/a</t>
        </is>
      </c>
      <c r="U50" s="18" t="inlineStr">
        <is>
          <t>n/a</t>
        </is>
      </c>
      <c r="V50" s="18" t="inlineStr">
        <is>
          <t>Yes</t>
        </is>
      </c>
      <c r="W50" s="18" t="inlineStr">
        <is>
          <t>No</t>
        </is>
      </c>
      <c r="X50" s="29" t="inlineStr">
        <is>
          <t>Ridge</t>
        </is>
      </c>
      <c r="Y50" s="18" t="inlineStr">
        <is>
          <t>+7.7</t>
        </is>
      </c>
      <c r="Z50" s="18" t="inlineStr">
        <is>
          <t>-14.8</t>
        </is>
      </c>
      <c r="AA50" s="18" t="inlineStr">
        <is>
          <t>+68.5</t>
        </is>
      </c>
      <c r="AB50" s="18" t="inlineStr">
        <is>
          <t>+0.0</t>
        </is>
      </c>
    </row>
    <row r="51">
      <c r="A51" s="18" t="n">
        <v>1</v>
      </c>
      <c r="B51" s="18" t="inlineStr">
        <is>
          <t>Memphis @ UNLV</t>
        </is>
      </c>
      <c r="C51" s="18" t="inlineStr">
        <is>
          <t>27-21</t>
        </is>
      </c>
      <c r="D51" s="18" t="inlineStr">
        <is>
          <t>-4.8</t>
        </is>
      </c>
      <c r="E51" s="18" t="inlineStr">
        <is>
          <t>-6.0</t>
        </is>
      </c>
      <c r="F51" s="18" t="inlineStr">
        <is>
          <t>-10.9</t>
        </is>
      </c>
      <c r="G51" s="18" t="inlineStr">
        <is>
          <t>+6.2</t>
        </is>
      </c>
      <c r="H51" s="18" t="inlineStr">
        <is>
          <t>Home</t>
        </is>
      </c>
      <c r="I51" s="30" t="inlineStr">
        <is>
          <t>Loss</t>
        </is>
      </c>
      <c r="J51" s="18" t="inlineStr">
        <is>
          <t>-7.1</t>
        </is>
      </c>
      <c r="K51" s="18" t="inlineStr">
        <is>
          <t>+2.3</t>
        </is>
      </c>
      <c r="L51" s="18" t="inlineStr">
        <is>
          <t>Home</t>
        </is>
      </c>
      <c r="M51" s="30" t="inlineStr">
        <is>
          <t>Loss</t>
        </is>
      </c>
      <c r="N51" s="18" t="inlineStr">
        <is>
          <t>+1.6</t>
        </is>
      </c>
      <c r="O51" s="18" t="inlineStr">
        <is>
          <t>-6.3</t>
        </is>
      </c>
      <c r="P51" s="18" t="inlineStr">
        <is>
          <t>Away</t>
        </is>
      </c>
      <c r="Q51" s="29" t="inlineStr">
        <is>
          <t>Win (seed week)</t>
        </is>
      </c>
      <c r="R51" s="18" t="inlineStr">
        <is>
          <t>--</t>
        </is>
      </c>
      <c r="S51" s="18" t="inlineStr">
        <is>
          <t>--</t>
        </is>
      </c>
      <c r="T51" s="18" t="inlineStr">
        <is>
          <t>n/a</t>
        </is>
      </c>
      <c r="U51" s="18" t="inlineStr">
        <is>
          <t>n/a</t>
        </is>
      </c>
      <c r="V51" s="18" t="inlineStr">
        <is>
          <t>Yes</t>
        </is>
      </c>
      <c r="W51" s="18" t="inlineStr">
        <is>
          <t>No</t>
        </is>
      </c>
      <c r="X51" s="29" t="inlineStr">
        <is>
          <t>XGBoost</t>
        </is>
      </c>
      <c r="Y51" s="18" t="inlineStr">
        <is>
          <t>+13.9</t>
        </is>
      </c>
      <c r="Z51" s="18" t="inlineStr">
        <is>
          <t>-12.5</t>
        </is>
      </c>
      <c r="AA51" s="18" t="inlineStr">
        <is>
          <t>+62.2</t>
        </is>
      </c>
      <c r="AB51" s="18" t="inlineStr">
        <is>
          <t>+0.0</t>
        </is>
      </c>
    </row>
    <row r="52">
      <c r="A52" s="18" t="n">
        <v>1</v>
      </c>
      <c r="B52" s="18" t="inlineStr">
        <is>
          <t>San José State @ USC</t>
        </is>
      </c>
      <c r="C52" s="18" t="inlineStr">
        <is>
          <t>26-42</t>
        </is>
      </c>
      <c r="D52" s="18" t="inlineStr">
        <is>
          <t>-37.2</t>
        </is>
      </c>
      <c r="E52" s="18" t="inlineStr">
        <is>
          <t>+16.0</t>
        </is>
      </c>
      <c r="F52" s="18" t="inlineStr">
        <is>
          <t>-34.6</t>
        </is>
      </c>
      <c r="G52" s="18" t="inlineStr">
        <is>
          <t>-2.7</t>
        </is>
      </c>
      <c r="H52" s="18" t="inlineStr">
        <is>
          <t>Away</t>
        </is>
      </c>
      <c r="I52" s="29" t="inlineStr">
        <is>
          <t>Win</t>
        </is>
      </c>
      <c r="J52" s="18" t="inlineStr">
        <is>
          <t>-35.6</t>
        </is>
      </c>
      <c r="K52" s="18" t="inlineStr">
        <is>
          <t>-1.6</t>
        </is>
      </c>
      <c r="L52" s="18" t="inlineStr">
        <is>
          <t>Away</t>
        </is>
      </c>
      <c r="M52" s="29" t="inlineStr">
        <is>
          <t>Win (no real edge)</t>
        </is>
      </c>
      <c r="N52" s="18" t="inlineStr">
        <is>
          <t>-30.3</t>
        </is>
      </c>
      <c r="O52" s="18" t="inlineStr">
        <is>
          <t>-7.0</t>
        </is>
      </c>
      <c r="P52" s="18" t="inlineStr">
        <is>
          <t>Away</t>
        </is>
      </c>
      <c r="Q52" s="29" t="inlineStr">
        <is>
          <t>Win (seed week)</t>
        </is>
      </c>
      <c r="R52" s="18" t="inlineStr">
        <is>
          <t>--</t>
        </is>
      </c>
      <c r="S52" s="18" t="inlineStr">
        <is>
          <t>--</t>
        </is>
      </c>
      <c r="T52" s="18" t="inlineStr">
        <is>
          <t>n/a</t>
        </is>
      </c>
      <c r="U52" s="18" t="inlineStr">
        <is>
          <t>n/a</t>
        </is>
      </c>
      <c r="V52" s="18" t="inlineStr">
        <is>
          <t>Yes</t>
        </is>
      </c>
      <c r="W52" s="18" t="inlineStr">
        <is>
          <t>Yes</t>
        </is>
      </c>
      <c r="X52" s="29" t="inlineStr">
        <is>
          <t>XGBoost</t>
        </is>
      </c>
      <c r="Y52" s="18" t="inlineStr">
        <is>
          <t>+11.2</t>
        </is>
      </c>
      <c r="Z52" s="18" t="inlineStr">
        <is>
          <t>-14.1</t>
        </is>
      </c>
      <c r="AA52" s="18" t="inlineStr">
        <is>
          <t>+55.2</t>
        </is>
      </c>
      <c r="AB52" s="18" t="inlineStr">
        <is>
          <t>+0.0</t>
        </is>
      </c>
    </row>
    <row r="53">
      <c r="A53" s="18" t="n">
        <v>2</v>
      </c>
      <c r="B53" s="18" t="inlineStr">
        <is>
          <t>North Dakota State @ Air Force</t>
        </is>
      </c>
      <c r="C53" s="18" t="inlineStr">
        <is>
          <t>38-32</t>
        </is>
      </c>
      <c r="D53" s="18" t="inlineStr">
        <is>
          <t>+1.8</t>
        </is>
      </c>
      <c r="E53" s="18" t="inlineStr">
        <is>
          <t>-6.0</t>
        </is>
      </c>
      <c r="F53" s="18" t="inlineStr">
        <is>
          <t>+17.0</t>
        </is>
      </c>
      <c r="G53" s="18" t="inlineStr">
        <is>
          <t>-15.3</t>
        </is>
      </c>
      <c r="H53" s="18" t="inlineStr">
        <is>
          <t>Away</t>
        </is>
      </c>
      <c r="I53" s="29" t="inlineStr">
        <is>
          <t>Win</t>
        </is>
      </c>
      <c r="J53" s="18" t="inlineStr">
        <is>
          <t>+14.5</t>
        </is>
      </c>
      <c r="K53" s="18" t="inlineStr">
        <is>
          <t>-12.8</t>
        </is>
      </c>
      <c r="L53" s="18" t="inlineStr">
        <is>
          <t>Away</t>
        </is>
      </c>
      <c r="M53" s="29" t="inlineStr">
        <is>
          <t>Win</t>
        </is>
      </c>
      <c r="N53" s="18" t="inlineStr">
        <is>
          <t>+17.9</t>
        </is>
      </c>
      <c r="O53" s="18" t="inlineStr">
        <is>
          <t>-16.2</t>
        </is>
      </c>
      <c r="P53" s="18" t="inlineStr">
        <is>
          <t>Away</t>
        </is>
      </c>
      <c r="Q53" s="29" t="inlineStr">
        <is>
          <t>Win</t>
        </is>
      </c>
      <c r="R53" s="18" t="inlineStr">
        <is>
          <t>+1.9</t>
        </is>
      </c>
      <c r="S53" s="18" t="inlineStr">
        <is>
          <t>-0.2</t>
        </is>
      </c>
      <c r="T53" s="18" t="inlineStr">
        <is>
          <t>Away</t>
        </is>
      </c>
      <c r="U53" s="29" t="inlineStr">
        <is>
          <t>Win (no real edge)</t>
        </is>
      </c>
      <c r="V53" s="18" t="inlineStr">
        <is>
          <t>Yes</t>
        </is>
      </c>
      <c r="W53" s="18" t="inlineStr">
        <is>
          <t>Yes</t>
        </is>
      </c>
      <c r="X53" s="29" t="inlineStr">
        <is>
          <t>Massey</t>
        </is>
      </c>
      <c r="Y53" s="18" t="inlineStr">
        <is>
          <t>-4.1</t>
        </is>
      </c>
      <c r="Z53" s="18" t="inlineStr">
        <is>
          <t>-26.9</t>
        </is>
      </c>
      <c r="AA53" s="18" t="inlineStr">
        <is>
          <t>+39.0</t>
        </is>
      </c>
      <c r="AB53" s="18" t="inlineStr">
        <is>
          <t>-0.2</t>
        </is>
      </c>
    </row>
    <row r="54">
      <c r="A54" s="18" t="n">
        <v>2</v>
      </c>
      <c r="B54" s="18" t="inlineStr">
        <is>
          <t>New Mexico State @ Hawai'i</t>
        </is>
      </c>
      <c r="C54" s="18" t="inlineStr">
        <is>
          <t>19-29</t>
        </is>
      </c>
      <c r="D54" s="18" t="inlineStr">
        <is>
          <t>-7.5</t>
        </is>
      </c>
      <c r="E54" s="18" t="inlineStr">
        <is>
          <t>+10.0</t>
        </is>
      </c>
      <c r="F54" s="18" t="inlineStr">
        <is>
          <t>-14.1</t>
        </is>
      </c>
      <c r="G54" s="18" t="inlineStr">
        <is>
          <t>+6.6</t>
        </is>
      </c>
      <c r="H54" s="18" t="inlineStr">
        <is>
          <t>Home</t>
        </is>
      </c>
      <c r="I54" s="29" t="inlineStr">
        <is>
          <t>Win</t>
        </is>
      </c>
      <c r="J54" s="18" t="inlineStr">
        <is>
          <t>-13.7</t>
        </is>
      </c>
      <c r="K54" s="18" t="inlineStr">
        <is>
          <t>+6.2</t>
        </is>
      </c>
      <c r="L54" s="18" t="inlineStr">
        <is>
          <t>Home</t>
        </is>
      </c>
      <c r="M54" s="29" t="inlineStr">
        <is>
          <t>Win</t>
        </is>
      </c>
      <c r="N54" s="18" t="inlineStr">
        <is>
          <t>-7.6</t>
        </is>
      </c>
      <c r="O54" s="18" t="inlineStr">
        <is>
          <t>+0.1</t>
        </is>
      </c>
      <c r="P54" s="18" t="inlineStr">
        <is>
          <t>Home</t>
        </is>
      </c>
      <c r="Q54" s="29" t="inlineStr">
        <is>
          <t>Win (no real edge)</t>
        </is>
      </c>
      <c r="R54" s="18" t="inlineStr">
        <is>
          <t>+7.2</t>
        </is>
      </c>
      <c r="S54" s="18" t="inlineStr">
        <is>
          <t>-14.7</t>
        </is>
      </c>
      <c r="T54" s="18" t="inlineStr">
        <is>
          <t>Away</t>
        </is>
      </c>
      <c r="U54" s="30" t="inlineStr">
        <is>
          <t>Loss</t>
        </is>
      </c>
      <c r="V54" s="18" t="inlineStr">
        <is>
          <t>Yes</t>
        </is>
      </c>
      <c r="W54" s="18" t="inlineStr">
        <is>
          <t>Yes</t>
        </is>
      </c>
      <c r="X54" s="29" t="inlineStr">
        <is>
          <t>Gamma</t>
        </is>
      </c>
      <c r="Y54" s="18" t="inlineStr">
        <is>
          <t>+2.5</t>
        </is>
      </c>
      <c r="Z54" s="18" t="inlineStr">
        <is>
          <t>-20.7</t>
        </is>
      </c>
      <c r="AA54" s="18" t="inlineStr">
        <is>
          <t>+39.1</t>
        </is>
      </c>
      <c r="AB54" s="18" t="inlineStr">
        <is>
          <t>-14.9</t>
        </is>
      </c>
    </row>
    <row r="55">
      <c r="A55" s="18" t="n">
        <v>2</v>
      </c>
      <c r="B55" s="18" t="inlineStr">
        <is>
          <t>Montana State @ Nevada</t>
        </is>
      </c>
      <c r="C55" s="18" t="inlineStr">
        <is>
          <t>20-7</t>
        </is>
      </c>
      <c r="D55" s="18" t="inlineStr">
        <is>
          <t>+5.0</t>
        </is>
      </c>
      <c r="E55" s="18" t="inlineStr">
        <is>
          <t>-13.0</t>
        </is>
      </c>
      <c r="F55" s="18" t="inlineStr">
        <is>
          <t>-17.2</t>
        </is>
      </c>
      <c r="G55" s="18" t="inlineStr">
        <is>
          <t>+22.2</t>
        </is>
      </c>
      <c r="H55" s="18" t="inlineStr">
        <is>
          <t>Home</t>
        </is>
      </c>
      <c r="I55" s="30" t="inlineStr">
        <is>
          <t>Loss</t>
        </is>
      </c>
      <c r="J55" s="18" t="inlineStr">
        <is>
          <t>-12.1</t>
        </is>
      </c>
      <c r="K55" s="18" t="inlineStr">
        <is>
          <t>+17.1</t>
        </is>
      </c>
      <c r="L55" s="18" t="inlineStr">
        <is>
          <t>Home</t>
        </is>
      </c>
      <c r="M55" s="30" t="inlineStr">
        <is>
          <t>Loss</t>
        </is>
      </c>
      <c r="N55" s="18" t="inlineStr">
        <is>
          <t>-33.6</t>
        </is>
      </c>
      <c r="O55" s="18" t="inlineStr">
        <is>
          <t>+38.6</t>
        </is>
      </c>
      <c r="P55" s="18" t="inlineStr">
        <is>
          <t>Home</t>
        </is>
      </c>
      <c r="Q55" s="30" t="inlineStr">
        <is>
          <t>Loss</t>
        </is>
      </c>
      <c r="R55" s="18" t="inlineStr">
        <is>
          <t>-11.8</t>
        </is>
      </c>
      <c r="S55" s="18" t="inlineStr">
        <is>
          <t>+16.8</t>
        </is>
      </c>
      <c r="T55" s="18" t="inlineStr">
        <is>
          <t>Home</t>
        </is>
      </c>
      <c r="U55" s="30" t="inlineStr">
        <is>
          <t>Loss</t>
        </is>
      </c>
      <c r="V55" s="18" t="inlineStr">
        <is>
          <t>Yes</t>
        </is>
      </c>
      <c r="W55" s="18" t="inlineStr">
        <is>
          <t>Yes</t>
        </is>
      </c>
      <c r="X55" s="29" t="inlineStr">
        <is>
          <t>Massey</t>
        </is>
      </c>
      <c r="Y55" s="18" t="inlineStr">
        <is>
          <t>+24.8</t>
        </is>
      </c>
      <c r="Z55" s="18" t="inlineStr">
        <is>
          <t>-3.6</t>
        </is>
      </c>
      <c r="AA55" s="18" t="inlineStr">
        <is>
          <t>+77.8</t>
        </is>
      </c>
      <c r="AB55" s="18" t="inlineStr">
        <is>
          <t>+1.8</t>
        </is>
      </c>
    </row>
    <row r="56">
      <c r="A56" s="18" t="n">
        <v>2</v>
      </c>
      <c r="B56" s="18" t="inlineStr">
        <is>
          <t>Mercyhurst @ New Mexico</t>
        </is>
      </c>
      <c r="C56" s="18" t="inlineStr">
        <is>
          <t>7-70</t>
        </is>
      </c>
      <c r="D56" s="18" t="inlineStr">
        <is>
          <t>-42.2</t>
        </is>
      </c>
      <c r="E56" s="18" t="inlineStr">
        <is>
          <t>+63.0</t>
        </is>
      </c>
      <c r="F56" s="18" t="inlineStr">
        <is>
          <t>-17.0</t>
        </is>
      </c>
      <c r="G56" s="18" t="inlineStr">
        <is>
          <t>-25.2</t>
        </is>
      </c>
      <c r="H56" s="18" t="inlineStr">
        <is>
          <t>Away</t>
        </is>
      </c>
      <c r="I56" s="30" t="inlineStr">
        <is>
          <t>Loss</t>
        </is>
      </c>
      <c r="J56" s="18" t="inlineStr">
        <is>
          <t>-27.4</t>
        </is>
      </c>
      <c r="K56" s="18" t="inlineStr">
        <is>
          <t>-14.9</t>
        </is>
      </c>
      <c r="L56" s="18" t="inlineStr">
        <is>
          <t>Away</t>
        </is>
      </c>
      <c r="M56" s="30" t="inlineStr">
        <is>
          <t>Loss</t>
        </is>
      </c>
      <c r="N56" s="18" t="inlineStr">
        <is>
          <t>-45.6</t>
        </is>
      </c>
      <c r="O56" s="18" t="inlineStr">
        <is>
          <t>+3.3</t>
        </is>
      </c>
      <c r="P56" s="18" t="inlineStr">
        <is>
          <t>Home</t>
        </is>
      </c>
      <c r="Q56" s="29" t="inlineStr">
        <is>
          <t>Win</t>
        </is>
      </c>
      <c r="R56" s="18" t="inlineStr">
        <is>
          <t>-20.6</t>
        </is>
      </c>
      <c r="S56" s="18" t="inlineStr">
        <is>
          <t>-21.6</t>
        </is>
      </c>
      <c r="T56" s="18" t="inlineStr">
        <is>
          <t>Away</t>
        </is>
      </c>
      <c r="U56" s="30" t="inlineStr">
        <is>
          <t>Loss</t>
        </is>
      </c>
      <c r="V56" s="18" t="inlineStr">
        <is>
          <t>Yes</t>
        </is>
      </c>
      <c r="W56" s="18" t="inlineStr">
        <is>
          <t>No</t>
        </is>
      </c>
      <c r="X56" s="29" t="inlineStr">
        <is>
          <t>Gamma</t>
        </is>
      </c>
      <c r="Y56" s="18" t="inlineStr">
        <is>
          <t>-0.5</t>
        </is>
      </c>
      <c r="Z56" s="18" t="inlineStr">
        <is>
          <t>-18.4</t>
        </is>
      </c>
      <c r="AA56" s="18" t="inlineStr">
        <is>
          <t>+81.1</t>
        </is>
      </c>
      <c r="AB56" s="18" t="inlineStr">
        <is>
          <t>-19.8</t>
        </is>
      </c>
    </row>
    <row r="57">
      <c r="A57" s="18" t="n">
        <v>2</v>
      </c>
      <c r="B57" s="18" t="inlineStr">
        <is>
          <t>UNLV @ North Texas</t>
        </is>
      </c>
      <c r="C57" s="18" t="inlineStr">
        <is>
          <t>6-44</t>
        </is>
      </c>
      <c r="D57" s="18" t="inlineStr">
        <is>
          <t>+2.8</t>
        </is>
      </c>
      <c r="E57" s="18" t="inlineStr">
        <is>
          <t>+38.0</t>
        </is>
      </c>
      <c r="F57" s="18" t="inlineStr">
        <is>
          <t>-3.6</t>
        </is>
      </c>
      <c r="G57" s="18" t="inlineStr">
        <is>
          <t>+6.3</t>
        </is>
      </c>
      <c r="H57" s="18" t="inlineStr">
        <is>
          <t>Home</t>
        </is>
      </c>
      <c r="I57" s="29" t="inlineStr">
        <is>
          <t>Win</t>
        </is>
      </c>
      <c r="J57" s="18" t="inlineStr">
        <is>
          <t>+1.3</t>
        </is>
      </c>
      <c r="K57" s="18" t="inlineStr">
        <is>
          <t>+1.4</t>
        </is>
      </c>
      <c r="L57" s="18" t="inlineStr">
        <is>
          <t>Home</t>
        </is>
      </c>
      <c r="M57" s="29" t="inlineStr">
        <is>
          <t>Win (no real edge)</t>
        </is>
      </c>
      <c r="N57" s="18" t="inlineStr">
        <is>
          <t>-5.3</t>
        </is>
      </c>
      <c r="O57" s="18" t="inlineStr">
        <is>
          <t>+8.0</t>
        </is>
      </c>
      <c r="P57" s="18" t="inlineStr">
        <is>
          <t>Home</t>
        </is>
      </c>
      <c r="Q57" s="29" t="inlineStr">
        <is>
          <t>Win</t>
        </is>
      </c>
      <c r="R57" s="18" t="inlineStr">
        <is>
          <t>+5.7</t>
        </is>
      </c>
      <c r="S57" s="18" t="inlineStr">
        <is>
          <t>-3.0</t>
        </is>
      </c>
      <c r="T57" s="18" t="inlineStr">
        <is>
          <t>Away</t>
        </is>
      </c>
      <c r="U57" s="30" t="inlineStr">
        <is>
          <t>Loss</t>
        </is>
      </c>
      <c r="V57" s="18" t="inlineStr">
        <is>
          <t>Yes</t>
        </is>
      </c>
      <c r="W57" s="18" t="inlineStr">
        <is>
          <t>Yes</t>
        </is>
      </c>
      <c r="X57" s="29" t="inlineStr">
        <is>
          <t>XGBoost</t>
        </is>
      </c>
      <c r="Y57" s="18" t="inlineStr">
        <is>
          <t>+5.9</t>
        </is>
      </c>
      <c r="Z57" s="18" t="inlineStr">
        <is>
          <t>-17.0</t>
        </is>
      </c>
      <c r="AA57" s="18" t="inlineStr">
        <is>
          <t>+89.1</t>
        </is>
      </c>
      <c r="AB57" s="18" t="inlineStr">
        <is>
          <t>-22.7</t>
        </is>
      </c>
    </row>
    <row r="58">
      <c r="A58" s="18" t="n">
        <v>2</v>
      </c>
      <c r="B58" s="18" t="inlineStr">
        <is>
          <t>Illinois State @ Northern Illinois</t>
        </is>
      </c>
      <c r="C58" s="18" t="inlineStr">
        <is>
          <t>28-24</t>
        </is>
      </c>
      <c r="D58" s="18" t="inlineStr">
        <is>
          <t>+2.5</t>
        </is>
      </c>
      <c r="E58" s="18" t="inlineStr">
        <is>
          <t>-4.0</t>
        </is>
      </c>
      <c r="F58" s="18" t="inlineStr">
        <is>
          <t>-15.0</t>
        </is>
      </c>
      <c r="G58" s="18" t="inlineStr">
        <is>
          <t>+17.5</t>
        </is>
      </c>
      <c r="H58" s="18" t="inlineStr">
        <is>
          <t>Home</t>
        </is>
      </c>
      <c r="I58" s="30" t="inlineStr">
        <is>
          <t>Loss</t>
        </is>
      </c>
      <c r="J58" s="18" t="inlineStr">
        <is>
          <t>-16.1</t>
        </is>
      </c>
      <c r="K58" s="18" t="inlineStr">
        <is>
          <t>+18.6</t>
        </is>
      </c>
      <c r="L58" s="18" t="inlineStr">
        <is>
          <t>Home</t>
        </is>
      </c>
      <c r="M58" s="30" t="inlineStr">
        <is>
          <t>Loss</t>
        </is>
      </c>
      <c r="N58" s="18" t="inlineStr">
        <is>
          <t>-23.3</t>
        </is>
      </c>
      <c r="O58" s="18" t="inlineStr">
        <is>
          <t>+25.8</t>
        </is>
      </c>
      <c r="P58" s="18" t="inlineStr">
        <is>
          <t>Home</t>
        </is>
      </c>
      <c r="Q58" s="30" t="inlineStr">
        <is>
          <t>Loss</t>
        </is>
      </c>
      <c r="R58" s="18" t="inlineStr">
        <is>
          <t>+5.0</t>
        </is>
      </c>
      <c r="S58" s="18" t="inlineStr">
        <is>
          <t>-2.5</t>
        </is>
      </c>
      <c r="T58" s="18" t="inlineStr">
        <is>
          <t>Away</t>
        </is>
      </c>
      <c r="U58" s="29" t="inlineStr">
        <is>
          <t>Win</t>
        </is>
      </c>
      <c r="V58" s="18" t="inlineStr">
        <is>
          <t>Yes</t>
        </is>
      </c>
      <c r="W58" s="18" t="inlineStr">
        <is>
          <t>Yes</t>
        </is>
      </c>
      <c r="X58" s="29" t="inlineStr">
        <is>
          <t>Massey</t>
        </is>
      </c>
      <c r="Y58" s="18" t="inlineStr">
        <is>
          <t>+23.4</t>
        </is>
      </c>
      <c r="Z58" s="18" t="inlineStr">
        <is>
          <t>+1.6</t>
        </is>
      </c>
      <c r="AA58" s="18" t="inlineStr">
        <is>
          <t>+114.9</t>
        </is>
      </c>
      <c r="AB58" s="18" t="inlineStr">
        <is>
          <t>-25.2</t>
        </is>
      </c>
    </row>
    <row r="59">
      <c r="A59" s="18" t="n">
        <v>2</v>
      </c>
      <c r="B59" s="18" t="inlineStr">
        <is>
          <t>Cal Poly @ San José State</t>
        </is>
      </c>
      <c r="C59" s="18" t="inlineStr">
        <is>
          <t>20-30</t>
        </is>
      </c>
      <c r="D59" s="18" t="inlineStr">
        <is>
          <t>-21.5</t>
        </is>
      </c>
      <c r="E59" s="18" t="inlineStr">
        <is>
          <t>+10.0</t>
        </is>
      </c>
      <c r="F59" s="18" t="inlineStr">
        <is>
          <t>-19.9</t>
        </is>
      </c>
      <c r="G59" s="18" t="inlineStr">
        <is>
          <t>-1.6</t>
        </is>
      </c>
      <c r="H59" s="18" t="inlineStr">
        <is>
          <t>Away</t>
        </is>
      </c>
      <c r="I59" s="29" t="inlineStr">
        <is>
          <t>Win (no real edge)</t>
        </is>
      </c>
      <c r="J59" s="18" t="inlineStr">
        <is>
          <t>-27.9</t>
        </is>
      </c>
      <c r="K59" s="18" t="inlineStr">
        <is>
          <t>+6.4</t>
        </is>
      </c>
      <c r="L59" s="18" t="inlineStr">
        <is>
          <t>Home</t>
        </is>
      </c>
      <c r="M59" s="30" t="inlineStr">
        <is>
          <t>Loss</t>
        </is>
      </c>
      <c r="N59" s="18" t="inlineStr">
        <is>
          <t>-30.7</t>
        </is>
      </c>
      <c r="O59" s="18" t="inlineStr">
        <is>
          <t>+9.2</t>
        </is>
      </c>
      <c r="P59" s="18" t="inlineStr">
        <is>
          <t>Home</t>
        </is>
      </c>
      <c r="Q59" s="30" t="inlineStr">
        <is>
          <t>Loss</t>
        </is>
      </c>
      <c r="R59" s="18" t="inlineStr">
        <is>
          <t>-6.5</t>
        </is>
      </c>
      <c r="S59" s="18" t="inlineStr">
        <is>
          <t>-15.0</t>
        </is>
      </c>
      <c r="T59" s="18" t="inlineStr">
        <is>
          <t>Away</t>
        </is>
      </c>
      <c r="U59" s="29" t="inlineStr">
        <is>
          <t>Win</t>
        </is>
      </c>
      <c r="V59" s="18" t="inlineStr">
        <is>
          <t>No</t>
        </is>
      </c>
      <c r="W59" s="18" t="inlineStr">
        <is>
          <t>No</t>
        </is>
      </c>
      <c r="X59" s="29" t="inlineStr">
        <is>
          <t>Ridge</t>
        </is>
      </c>
      <c r="Y59" s="18" t="inlineStr">
        <is>
          <t>+21.8</t>
        </is>
      </c>
      <c r="Z59" s="18" t="inlineStr">
        <is>
          <t>+7.9</t>
        </is>
      </c>
      <c r="AA59" s="18" t="inlineStr">
        <is>
          <t>+124.1</t>
        </is>
      </c>
      <c r="AB59" s="18" t="inlineStr">
        <is>
          <t>-40.2</t>
        </is>
      </c>
    </row>
    <row r="60">
      <c r="A60" s="18" t="n">
        <v>2</v>
      </c>
      <c r="B60" s="18" t="inlineStr">
        <is>
          <t>Texas Southern @ UTEP</t>
        </is>
      </c>
      <c r="C60" s="18" t="inlineStr">
        <is>
          <t>10-51</t>
        </is>
      </c>
      <c r="D60" s="18" t="inlineStr">
        <is>
          <t>-27.2</t>
        </is>
      </c>
      <c r="E60" s="18" t="inlineStr">
        <is>
          <t>+41.0</t>
        </is>
      </c>
      <c r="F60" s="18" t="inlineStr">
        <is>
          <t>-14.6</t>
        </is>
      </c>
      <c r="G60" s="18" t="inlineStr">
        <is>
          <t>-12.6</t>
        </is>
      </c>
      <c r="H60" s="18" t="inlineStr">
        <is>
          <t>Away</t>
        </is>
      </c>
      <c r="I60" s="30" t="inlineStr">
        <is>
          <t>Loss</t>
        </is>
      </c>
      <c r="J60" s="18" t="inlineStr">
        <is>
          <t>-20.7</t>
        </is>
      </c>
      <c r="K60" s="18" t="inlineStr">
        <is>
          <t>-6.5</t>
        </is>
      </c>
      <c r="L60" s="18" t="inlineStr">
        <is>
          <t>Away</t>
        </is>
      </c>
      <c r="M60" s="30" t="inlineStr">
        <is>
          <t>Loss</t>
        </is>
      </c>
      <c r="N60" s="18" t="inlineStr">
        <is>
          <t>-19.8</t>
        </is>
      </c>
      <c r="O60" s="18" t="inlineStr">
        <is>
          <t>-7.5</t>
        </is>
      </c>
      <c r="P60" s="18" t="inlineStr">
        <is>
          <t>Away</t>
        </is>
      </c>
      <c r="Q60" s="30" t="inlineStr">
        <is>
          <t>Loss</t>
        </is>
      </c>
      <c r="R60" s="18" t="inlineStr">
        <is>
          <t>+7.8</t>
        </is>
      </c>
      <c r="S60" s="18" t="inlineStr">
        <is>
          <t>-35.0</t>
        </is>
      </c>
      <c r="T60" s="18" t="inlineStr">
        <is>
          <t>Away</t>
        </is>
      </c>
      <c r="U60" s="30" t="inlineStr">
        <is>
          <t>Loss</t>
        </is>
      </c>
      <c r="V60" s="18" t="inlineStr">
        <is>
          <t>Yes</t>
        </is>
      </c>
      <c r="W60" s="18" t="inlineStr">
        <is>
          <t>Yes</t>
        </is>
      </c>
      <c r="X60" s="29" t="inlineStr">
        <is>
          <t>XGBoost</t>
        </is>
      </c>
      <c r="Y60" s="18" t="inlineStr">
        <is>
          <t>+9.2</t>
        </is>
      </c>
      <c r="Z60" s="18" t="inlineStr">
        <is>
          <t>+1.4</t>
        </is>
      </c>
      <c r="AA60" s="18" t="inlineStr">
        <is>
          <t>+116.6</t>
        </is>
      </c>
      <c r="AB60" s="18" t="inlineStr">
        <is>
          <t>-75.2</t>
        </is>
      </c>
    </row>
    <row r="61">
      <c r="A61" s="18" t="n">
        <v>2</v>
      </c>
      <c r="B61" s="18" t="inlineStr">
        <is>
          <t>Northern Colorado @ Wyoming</t>
        </is>
      </c>
      <c r="C61" s="18" t="inlineStr">
        <is>
          <t>13-21</t>
        </is>
      </c>
      <c r="D61" s="18" t="inlineStr">
        <is>
          <t>-23.5</t>
        </is>
      </c>
      <c r="E61" s="18" t="inlineStr">
        <is>
          <t>+8.0</t>
        </is>
      </c>
      <c r="F61" s="18" t="inlineStr">
        <is>
          <t>-16.3</t>
        </is>
      </c>
      <c r="G61" s="18" t="inlineStr">
        <is>
          <t>-7.2</t>
        </is>
      </c>
      <c r="H61" s="18" t="inlineStr">
        <is>
          <t>Away</t>
        </is>
      </c>
      <c r="I61" s="29" t="inlineStr">
        <is>
          <t>Win</t>
        </is>
      </c>
      <c r="J61" s="18" t="inlineStr">
        <is>
          <t>-22.0</t>
        </is>
      </c>
      <c r="K61" s="18" t="inlineStr">
        <is>
          <t>-1.5</t>
        </is>
      </c>
      <c r="L61" s="18" t="inlineStr">
        <is>
          <t>Away</t>
        </is>
      </c>
      <c r="M61" s="29" t="inlineStr">
        <is>
          <t>Win (no real edge)</t>
        </is>
      </c>
      <c r="N61" s="18" t="inlineStr">
        <is>
          <t>-27.6</t>
        </is>
      </c>
      <c r="O61" s="18" t="inlineStr">
        <is>
          <t>+4.1</t>
        </is>
      </c>
      <c r="P61" s="18" t="inlineStr">
        <is>
          <t>Home</t>
        </is>
      </c>
      <c r="Q61" s="30" t="inlineStr">
        <is>
          <t>Loss</t>
        </is>
      </c>
      <c r="R61" s="18" t="inlineStr">
        <is>
          <t>+0.5</t>
        </is>
      </c>
      <c r="S61" s="18" t="inlineStr">
        <is>
          <t>-24.0</t>
        </is>
      </c>
      <c r="T61" s="18" t="inlineStr">
        <is>
          <t>Away</t>
        </is>
      </c>
      <c r="U61" s="29" t="inlineStr">
        <is>
          <t>Win</t>
        </is>
      </c>
      <c r="V61" s="18" t="inlineStr">
        <is>
          <t>Yes</t>
        </is>
      </c>
      <c r="W61" s="18" t="inlineStr">
        <is>
          <t>No</t>
        </is>
      </c>
      <c r="X61" s="29" t="inlineStr">
        <is>
          <t>XGBoost</t>
        </is>
      </c>
      <c r="Y61" s="18" t="inlineStr">
        <is>
          <t>+2.0</t>
        </is>
      </c>
      <c r="Z61" s="18" t="inlineStr">
        <is>
          <t>-0.1</t>
        </is>
      </c>
      <c r="AA61" s="18" t="inlineStr">
        <is>
          <t>+120.7</t>
        </is>
      </c>
      <c r="AB61" s="18" t="inlineStr">
        <is>
          <t>-99.2</t>
        </is>
      </c>
    </row>
    <row r="62">
      <c r="A62" s="18" t="n">
        <v>3</v>
      </c>
      <c r="B62" s="18" t="inlineStr">
        <is>
          <t>Northern Illinois @ Arizona</t>
        </is>
      </c>
      <c r="C62" s="18" t="inlineStr">
        <is>
          <t>17-42</t>
        </is>
      </c>
      <c r="D62" s="18" t="inlineStr">
        <is>
          <t>-34.5</t>
        </is>
      </c>
      <c r="E62" s="18" t="inlineStr">
        <is>
          <t>+25.0</t>
        </is>
      </c>
      <c r="F62" s="18" t="inlineStr">
        <is>
          <t>-26.3</t>
        </is>
      </c>
      <c r="G62" s="18" t="inlineStr">
        <is>
          <t>-8.2</t>
        </is>
      </c>
      <c r="H62" s="18" t="inlineStr">
        <is>
          <t>Away</t>
        </is>
      </c>
      <c r="I62" s="29" t="inlineStr">
        <is>
          <t>Win</t>
        </is>
      </c>
      <c r="J62" s="18" t="inlineStr">
        <is>
          <t>-20.9</t>
        </is>
      </c>
      <c r="K62" s="18" t="inlineStr">
        <is>
          <t>-13.6</t>
        </is>
      </c>
      <c r="L62" s="18" t="inlineStr">
        <is>
          <t>Away</t>
        </is>
      </c>
      <c r="M62" s="29" t="inlineStr">
        <is>
          <t>Win</t>
        </is>
      </c>
      <c r="N62" s="18" t="inlineStr">
        <is>
          <t>-30.9</t>
        </is>
      </c>
      <c r="O62" s="18" t="inlineStr">
        <is>
          <t>-3.6</t>
        </is>
      </c>
      <c r="P62" s="18" t="inlineStr">
        <is>
          <t>Away</t>
        </is>
      </c>
      <c r="Q62" s="29" t="inlineStr">
        <is>
          <t>Win</t>
        </is>
      </c>
      <c r="R62" s="18" t="inlineStr">
        <is>
          <t>-19.0</t>
        </is>
      </c>
      <c r="S62" s="18" t="inlineStr">
        <is>
          <t>-15.5</t>
        </is>
      </c>
      <c r="T62" s="18" t="inlineStr">
        <is>
          <t>Away</t>
        </is>
      </c>
      <c r="U62" s="29" t="inlineStr">
        <is>
          <t>Win</t>
        </is>
      </c>
      <c r="V62" s="18" t="inlineStr">
        <is>
          <t>Yes</t>
        </is>
      </c>
      <c r="W62" s="18" t="inlineStr">
        <is>
          <t>Yes</t>
        </is>
      </c>
      <c r="X62" s="29" t="inlineStr">
        <is>
          <t>Gamma</t>
        </is>
      </c>
      <c r="Y62" s="18" t="inlineStr">
        <is>
          <t>-6.2</t>
        </is>
      </c>
      <c r="Z62" s="18" t="inlineStr">
        <is>
          <t>-13.7</t>
        </is>
      </c>
      <c r="AA62" s="18" t="inlineStr">
        <is>
          <t>+117.1</t>
        </is>
      </c>
      <c r="AB62" s="18" t="inlineStr">
        <is>
          <t>-114.7</t>
        </is>
      </c>
    </row>
    <row r="63">
      <c r="A63" s="18" t="n">
        <v>3</v>
      </c>
      <c r="B63" s="18" t="inlineStr">
        <is>
          <t>Wyoming @ Central Michigan</t>
        </is>
      </c>
      <c r="C63" s="18" t="inlineStr">
        <is>
          <t>10-24</t>
        </is>
      </c>
      <c r="D63" s="18" t="inlineStr">
        <is>
          <t>+1.8</t>
        </is>
      </c>
      <c r="E63" s="18" t="inlineStr">
        <is>
          <t>+14.0</t>
        </is>
      </c>
      <c r="F63" s="18" t="inlineStr">
        <is>
          <t>-9.5</t>
        </is>
      </c>
      <c r="G63" s="18" t="inlineStr">
        <is>
          <t>+11.3</t>
        </is>
      </c>
      <c r="H63" s="18" t="inlineStr">
        <is>
          <t>Home</t>
        </is>
      </c>
      <c r="I63" s="29" t="inlineStr">
        <is>
          <t>Win</t>
        </is>
      </c>
      <c r="J63" s="18" t="inlineStr">
        <is>
          <t>-9.2</t>
        </is>
      </c>
      <c r="K63" s="18" t="inlineStr">
        <is>
          <t>+11.0</t>
        </is>
      </c>
      <c r="L63" s="18" t="inlineStr">
        <is>
          <t>Home</t>
        </is>
      </c>
      <c r="M63" s="29" t="inlineStr">
        <is>
          <t>Win</t>
        </is>
      </c>
      <c r="N63" s="18" t="inlineStr">
        <is>
          <t>-9.3</t>
        </is>
      </c>
      <c r="O63" s="18" t="inlineStr">
        <is>
          <t>+11.0</t>
        </is>
      </c>
      <c r="P63" s="18" t="inlineStr">
        <is>
          <t>Home</t>
        </is>
      </c>
      <c r="Q63" s="29" t="inlineStr">
        <is>
          <t>Win</t>
        </is>
      </c>
      <c r="R63" s="18" t="inlineStr">
        <is>
          <t>-2.2</t>
        </is>
      </c>
      <c r="S63" s="18" t="inlineStr">
        <is>
          <t>+4.0</t>
        </is>
      </c>
      <c r="T63" s="18" t="inlineStr">
        <is>
          <t>Home</t>
        </is>
      </c>
      <c r="U63" s="29" t="inlineStr">
        <is>
          <t>Win</t>
        </is>
      </c>
      <c r="V63" s="18" t="inlineStr">
        <is>
          <t>Yes</t>
        </is>
      </c>
      <c r="W63" s="18" t="inlineStr">
        <is>
          <t>Yes</t>
        </is>
      </c>
      <c r="X63" s="29" t="inlineStr">
        <is>
          <t>Massey</t>
        </is>
      </c>
      <c r="Y63" s="18" t="inlineStr">
        <is>
          <t>+5.1</t>
        </is>
      </c>
      <c r="Z63" s="18" t="inlineStr">
        <is>
          <t>-2.7</t>
        </is>
      </c>
      <c r="AA63" s="18" t="inlineStr">
        <is>
          <t>+128.1</t>
        </is>
      </c>
      <c r="AB63" s="18" t="inlineStr">
        <is>
          <t>-110.7</t>
        </is>
      </c>
    </row>
    <row r="64">
      <c r="A64" s="18" t="n">
        <v>3</v>
      </c>
      <c r="B64" s="18" t="inlineStr">
        <is>
          <t>UTEP @ Michigan</t>
        </is>
      </c>
      <c r="C64" s="18" t="inlineStr">
        <is>
          <t>17-52</t>
        </is>
      </c>
      <c r="D64" s="18" t="inlineStr">
        <is>
          <t>-34.5</t>
        </is>
      </c>
      <c r="E64" s="18" t="inlineStr">
        <is>
          <t>+35.0</t>
        </is>
      </c>
      <c r="F64" s="18" t="inlineStr">
        <is>
          <t>-35.0</t>
        </is>
      </c>
      <c r="G64" s="18" t="inlineStr">
        <is>
          <t>+0.5</t>
        </is>
      </c>
      <c r="H64" s="18" t="inlineStr">
        <is>
          <t>Home</t>
        </is>
      </c>
      <c r="I64" s="29" t="inlineStr">
        <is>
          <t>Win (no real edge)</t>
        </is>
      </c>
      <c r="J64" s="18" t="inlineStr">
        <is>
          <t>-33.3</t>
        </is>
      </c>
      <c r="K64" s="18" t="inlineStr">
        <is>
          <t>-1.2</t>
        </is>
      </c>
      <c r="L64" s="18" t="inlineStr">
        <is>
          <t>Away</t>
        </is>
      </c>
      <c r="M64" s="30" t="inlineStr">
        <is>
          <t>Loss (no real edge)</t>
        </is>
      </c>
      <c r="N64" s="18" t="inlineStr">
        <is>
          <t>-29.7</t>
        </is>
      </c>
      <c r="O64" s="18" t="inlineStr">
        <is>
          <t>-4.8</t>
        </is>
      </c>
      <c r="P64" s="18" t="inlineStr">
        <is>
          <t>Away</t>
        </is>
      </c>
      <c r="Q64" s="30" t="inlineStr">
        <is>
          <t>Loss</t>
        </is>
      </c>
      <c r="R64" s="18" t="inlineStr">
        <is>
          <t>-11.8</t>
        </is>
      </c>
      <c r="S64" s="18" t="inlineStr">
        <is>
          <t>-22.7</t>
        </is>
      </c>
      <c r="T64" s="18" t="inlineStr">
        <is>
          <t>Away</t>
        </is>
      </c>
      <c r="U64" s="30" t="inlineStr">
        <is>
          <t>Loss</t>
        </is>
      </c>
      <c r="V64" s="18" t="inlineStr">
        <is>
          <t>No</t>
        </is>
      </c>
      <c r="W64" s="18" t="inlineStr">
        <is>
          <t>No</t>
        </is>
      </c>
      <c r="X64" s="29" t="inlineStr">
        <is>
          <t>Ridge</t>
        </is>
      </c>
      <c r="Y64" s="18" t="inlineStr">
        <is>
          <t>+5.6</t>
        </is>
      </c>
      <c r="Z64" s="18" t="inlineStr">
        <is>
          <t>-3.9</t>
        </is>
      </c>
      <c r="AA64" s="18" t="inlineStr">
        <is>
          <t>+123.3</t>
        </is>
      </c>
      <c r="AB64" s="18" t="inlineStr">
        <is>
          <t>-133.4</t>
        </is>
      </c>
    </row>
    <row r="65">
      <c r="A65" s="18" t="n">
        <v>3</v>
      </c>
      <c r="B65" s="18" t="inlineStr">
        <is>
          <t>Nevada @ Middle Tennessee</t>
        </is>
      </c>
      <c r="C65" s="18" t="inlineStr">
        <is>
          <t>20-27</t>
        </is>
      </c>
      <c r="D65" s="18" t="inlineStr">
        <is>
          <t>+3.8</t>
        </is>
      </c>
      <c r="E65" s="18" t="inlineStr">
        <is>
          <t>+7.0</t>
        </is>
      </c>
      <c r="F65" s="18" t="inlineStr">
        <is>
          <t>-3.6</t>
        </is>
      </c>
      <c r="G65" s="18" t="inlineStr">
        <is>
          <t>+7.3</t>
        </is>
      </c>
      <c r="H65" s="18" t="inlineStr">
        <is>
          <t>Home</t>
        </is>
      </c>
      <c r="I65" s="29" t="inlineStr">
        <is>
          <t>Win</t>
        </is>
      </c>
      <c r="J65" s="18" t="inlineStr">
        <is>
          <t>+2.0</t>
        </is>
      </c>
      <c r="K65" s="18" t="inlineStr">
        <is>
          <t>+1.7</t>
        </is>
      </c>
      <c r="L65" s="18" t="inlineStr">
        <is>
          <t>Home</t>
        </is>
      </c>
      <c r="M65" s="29" t="inlineStr">
        <is>
          <t>Win (no real edge)</t>
        </is>
      </c>
      <c r="N65" s="18" t="inlineStr">
        <is>
          <t>+2.9</t>
        </is>
      </c>
      <c r="O65" s="18" t="inlineStr">
        <is>
          <t>+0.9</t>
        </is>
      </c>
      <c r="P65" s="18" t="inlineStr">
        <is>
          <t>Home</t>
        </is>
      </c>
      <c r="Q65" s="29" t="inlineStr">
        <is>
          <t>Win (no real edge)</t>
        </is>
      </c>
      <c r="R65" s="18" t="inlineStr">
        <is>
          <t>-4.9</t>
        </is>
      </c>
      <c r="S65" s="18" t="inlineStr">
        <is>
          <t>+8.7</t>
        </is>
      </c>
      <c r="T65" s="18" t="inlineStr">
        <is>
          <t>Home</t>
        </is>
      </c>
      <c r="U65" s="29" t="inlineStr">
        <is>
          <t>Win</t>
        </is>
      </c>
      <c r="V65" s="18" t="inlineStr">
        <is>
          <t>Yes</t>
        </is>
      </c>
      <c r="W65" s="18" t="inlineStr">
        <is>
          <t>Yes</t>
        </is>
      </c>
      <c r="X65" s="29" t="inlineStr">
        <is>
          <t>Gamma</t>
        </is>
      </c>
      <c r="Y65" s="18" t="inlineStr">
        <is>
          <t>+12.9</t>
        </is>
      </c>
      <c r="Z65" s="18" t="inlineStr">
        <is>
          <t>-2.2</t>
        </is>
      </c>
      <c r="AA65" s="18" t="inlineStr">
        <is>
          <t>+124.2</t>
        </is>
      </c>
      <c r="AB65" s="18" t="inlineStr">
        <is>
          <t>-124.8</t>
        </is>
      </c>
    </row>
    <row r="66">
      <c r="A66" s="18" t="n">
        <v>3</v>
      </c>
      <c r="B66" s="18" t="inlineStr">
        <is>
          <t>New Mexico @ Oklahoma</t>
        </is>
      </c>
      <c r="C66" s="18" t="inlineStr">
        <is>
          <t>6-14</t>
        </is>
      </c>
      <c r="D66" s="18" t="inlineStr">
        <is>
          <t>-21.2</t>
        </is>
      </c>
      <c r="E66" s="18" t="inlineStr">
        <is>
          <t>+8.0</t>
        </is>
      </c>
      <c r="F66" s="18" t="inlineStr">
        <is>
          <t>-14.1</t>
        </is>
      </c>
      <c r="G66" s="18" t="inlineStr">
        <is>
          <t>-7.2</t>
        </is>
      </c>
      <c r="H66" s="18" t="inlineStr">
        <is>
          <t>Away</t>
        </is>
      </c>
      <c r="I66" s="29" t="inlineStr">
        <is>
          <t>Win</t>
        </is>
      </c>
      <c r="J66" s="18" t="inlineStr">
        <is>
          <t>-15.4</t>
        </is>
      </c>
      <c r="K66" s="18" t="inlineStr">
        <is>
          <t>-5.9</t>
        </is>
      </c>
      <c r="L66" s="18" t="inlineStr">
        <is>
          <t>Away</t>
        </is>
      </c>
      <c r="M66" s="29" t="inlineStr">
        <is>
          <t>Win</t>
        </is>
      </c>
      <c r="N66" s="18" t="inlineStr">
        <is>
          <t>-10.8</t>
        </is>
      </c>
      <c r="O66" s="18" t="inlineStr">
        <is>
          <t>-10.4</t>
        </is>
      </c>
      <c r="P66" s="18" t="inlineStr">
        <is>
          <t>Away</t>
        </is>
      </c>
      <c r="Q66" s="29" t="inlineStr">
        <is>
          <t>Win</t>
        </is>
      </c>
      <c r="R66" s="18" t="inlineStr">
        <is>
          <t>+0.4</t>
        </is>
      </c>
      <c r="S66" s="18" t="inlineStr">
        <is>
          <t>-21.6</t>
        </is>
      </c>
      <c r="T66" s="18" t="inlineStr">
        <is>
          <t>Away</t>
        </is>
      </c>
      <c r="U66" s="29" t="inlineStr">
        <is>
          <t>Win</t>
        </is>
      </c>
      <c r="V66" s="18" t="inlineStr">
        <is>
          <t>Yes</t>
        </is>
      </c>
      <c r="W66" s="18" t="inlineStr">
        <is>
          <t>Yes</t>
        </is>
      </c>
      <c r="X66" s="29" t="inlineStr">
        <is>
          <t>XGBoost</t>
        </is>
      </c>
      <c r="Y66" s="18" t="inlineStr">
        <is>
          <t>+5.7</t>
        </is>
      </c>
      <c r="Z66" s="18" t="inlineStr">
        <is>
          <t>-8.1</t>
        </is>
      </c>
      <c r="AA66" s="18" t="inlineStr">
        <is>
          <t>+113.8</t>
        </is>
      </c>
      <c r="AB66" s="18" t="inlineStr">
        <is>
          <t>-146.4</t>
        </is>
      </c>
    </row>
    <row r="67">
      <c r="A67" s="18" t="n">
        <v>3</v>
      </c>
      <c r="B67" s="18" t="inlineStr">
        <is>
          <t>North Dakota State @ Sacramento State</t>
        </is>
      </c>
      <c r="C67" s="18" t="inlineStr">
        <is>
          <t>31-10</t>
        </is>
      </c>
      <c r="D67" s="18" t="inlineStr">
        <is>
          <t>+25.5</t>
        </is>
      </c>
      <c r="E67" s="18" t="inlineStr">
        <is>
          <t>-21.0</t>
        </is>
      </c>
      <c r="F67" s="18" t="inlineStr">
        <is>
          <t>+13.0</t>
        </is>
      </c>
      <c r="G67" s="18" t="inlineStr">
        <is>
          <t>+12.5</t>
        </is>
      </c>
      <c r="H67" s="18" t="inlineStr">
        <is>
          <t>Home</t>
        </is>
      </c>
      <c r="I67" s="29" t="inlineStr">
        <is>
          <t>Win</t>
        </is>
      </c>
      <c r="J67" s="18" t="inlineStr">
        <is>
          <t>+18.3</t>
        </is>
      </c>
      <c r="K67" s="18" t="inlineStr">
        <is>
          <t>+7.2</t>
        </is>
      </c>
      <c r="L67" s="18" t="inlineStr">
        <is>
          <t>Home</t>
        </is>
      </c>
      <c r="M67" s="29" t="inlineStr">
        <is>
          <t>Win</t>
        </is>
      </c>
      <c r="N67" s="18" t="inlineStr">
        <is>
          <t>+35.9</t>
        </is>
      </c>
      <c r="O67" s="18" t="inlineStr">
        <is>
          <t>-10.4</t>
        </is>
      </c>
      <c r="P67" s="18" t="inlineStr">
        <is>
          <t>Away</t>
        </is>
      </c>
      <c r="Q67" s="30" t="inlineStr">
        <is>
          <t>Loss</t>
        </is>
      </c>
      <c r="R67" s="18" t="inlineStr">
        <is>
          <t>+12.2</t>
        </is>
      </c>
      <c r="S67" s="18" t="inlineStr">
        <is>
          <t>+13.3</t>
        </is>
      </c>
      <c r="T67" s="18" t="inlineStr">
        <is>
          <t>Home</t>
        </is>
      </c>
      <c r="U67" s="29" t="inlineStr">
        <is>
          <t>Win</t>
        </is>
      </c>
      <c r="V67" s="18" t="inlineStr">
        <is>
          <t>Yes</t>
        </is>
      </c>
      <c r="W67" s="18" t="inlineStr">
        <is>
          <t>No</t>
        </is>
      </c>
      <c r="X67" s="29" t="inlineStr">
        <is>
          <t>XGBoost</t>
        </is>
      </c>
      <c r="Y67" s="18" t="inlineStr">
        <is>
          <t>+18.2</t>
        </is>
      </c>
      <c r="Z67" s="18" t="inlineStr">
        <is>
          <t>-0.9</t>
        </is>
      </c>
      <c r="AA67" s="18" t="inlineStr">
        <is>
          <t>+103.3</t>
        </is>
      </c>
      <c r="AB67" s="18" t="inlineStr">
        <is>
          <t>-133.1</t>
        </is>
      </c>
    </row>
    <row r="68">
      <c r="A68" s="18" t="n">
        <v>3</v>
      </c>
      <c r="B68" s="18" t="inlineStr">
        <is>
          <t>Fresno State @ San José State</t>
        </is>
      </c>
      <c r="C68" s="18" t="inlineStr">
        <is>
          <t>26-10</t>
        </is>
      </c>
      <c r="D68" s="18" t="inlineStr">
        <is>
          <t>+4.0</t>
        </is>
      </c>
      <c r="E68" s="18" t="inlineStr">
        <is>
          <t>-16.0</t>
        </is>
      </c>
      <c r="F68" s="18" t="inlineStr">
        <is>
          <t>+3.1</t>
        </is>
      </c>
      <c r="G68" s="18" t="inlineStr">
        <is>
          <t>+0.9</t>
        </is>
      </c>
      <c r="H68" s="18" t="inlineStr">
        <is>
          <t>Home</t>
        </is>
      </c>
      <c r="I68" s="30" t="inlineStr">
        <is>
          <t>Loss (no real edge)</t>
        </is>
      </c>
      <c r="J68" s="18" t="inlineStr">
        <is>
          <t>+10.0</t>
        </is>
      </c>
      <c r="K68" s="18" t="inlineStr">
        <is>
          <t>-6.0</t>
        </is>
      </c>
      <c r="L68" s="18" t="inlineStr">
        <is>
          <t>Away</t>
        </is>
      </c>
      <c r="M68" s="29" t="inlineStr">
        <is>
          <t>Win</t>
        </is>
      </c>
      <c r="N68" s="18" t="inlineStr">
        <is>
          <t>+1.2</t>
        </is>
      </c>
      <c r="O68" s="18" t="inlineStr">
        <is>
          <t>+2.8</t>
        </is>
      </c>
      <c r="P68" s="18" t="inlineStr">
        <is>
          <t>Home</t>
        </is>
      </c>
      <c r="Q68" s="30" t="inlineStr">
        <is>
          <t>Loss</t>
        </is>
      </c>
      <c r="R68" s="18" t="inlineStr">
        <is>
          <t>-2.2</t>
        </is>
      </c>
      <c r="S68" s="18" t="inlineStr">
        <is>
          <t>+6.2</t>
        </is>
      </c>
      <c r="T68" s="18" t="inlineStr">
        <is>
          <t>Home</t>
        </is>
      </c>
      <c r="U68" s="30" t="inlineStr">
        <is>
          <t>Loss</t>
        </is>
      </c>
      <c r="V68" s="18" t="inlineStr">
        <is>
          <t>No</t>
        </is>
      </c>
      <c r="W68" s="18" t="inlineStr">
        <is>
          <t>Yes</t>
        </is>
      </c>
      <c r="X68" s="29" t="inlineStr">
        <is>
          <t>Ridge</t>
        </is>
      </c>
      <c r="Y68" s="18" t="inlineStr">
        <is>
          <t>+19.1</t>
        </is>
      </c>
      <c r="Z68" s="18" t="inlineStr">
        <is>
          <t>-6.9</t>
        </is>
      </c>
      <c r="AA68" s="18" t="inlineStr">
        <is>
          <t>+106.1</t>
        </is>
      </c>
      <c r="AB68" s="18" t="inlineStr">
        <is>
          <t>-126.9</t>
        </is>
      </c>
    </row>
    <row r="69">
      <c r="A69" s="18" t="n">
        <v>4</v>
      </c>
      <c r="B69" s="18" t="inlineStr">
        <is>
          <t>UNLV @ Akron</t>
        </is>
      </c>
      <c r="C69" s="18" t="inlineStr">
        <is>
          <t>38-10</t>
        </is>
      </c>
      <c r="D69" s="18" t="inlineStr">
        <is>
          <t>+13.5</t>
        </is>
      </c>
      <c r="E69" s="18" t="inlineStr">
        <is>
          <t>-28.0</t>
        </is>
      </c>
      <c r="F69" s="18" t="inlineStr">
        <is>
          <t>+1.5</t>
        </is>
      </c>
      <c r="G69" s="18" t="inlineStr">
        <is>
          <t>+12.0</t>
        </is>
      </c>
      <c r="H69" s="18" t="inlineStr">
        <is>
          <t>Home</t>
        </is>
      </c>
      <c r="I69" s="30" t="inlineStr">
        <is>
          <t>Loss</t>
        </is>
      </c>
      <c r="J69" s="18" t="inlineStr">
        <is>
          <t>+8.8</t>
        </is>
      </c>
      <c r="K69" s="18" t="inlineStr">
        <is>
          <t>+4.7</t>
        </is>
      </c>
      <c r="L69" s="18" t="inlineStr">
        <is>
          <t>Home</t>
        </is>
      </c>
      <c r="M69" s="30" t="inlineStr">
        <is>
          <t>Loss</t>
        </is>
      </c>
      <c r="N69" s="18" t="inlineStr">
        <is>
          <t>+3.4</t>
        </is>
      </c>
      <c r="O69" s="18" t="inlineStr">
        <is>
          <t>+10.1</t>
        </is>
      </c>
      <c r="P69" s="18" t="inlineStr">
        <is>
          <t>Home</t>
        </is>
      </c>
      <c r="Q69" s="30" t="inlineStr">
        <is>
          <t>Loss</t>
        </is>
      </c>
      <c r="R69" s="18" t="inlineStr">
        <is>
          <t>-7.4</t>
        </is>
      </c>
      <c r="S69" s="18" t="inlineStr">
        <is>
          <t>+20.9</t>
        </is>
      </c>
      <c r="T69" s="18" t="inlineStr">
        <is>
          <t>Home</t>
        </is>
      </c>
      <c r="U69" s="30" t="inlineStr">
        <is>
          <t>Loss</t>
        </is>
      </c>
      <c r="V69" s="18" t="inlineStr">
        <is>
          <t>Yes</t>
        </is>
      </c>
      <c r="W69" s="18" t="inlineStr">
        <is>
          <t>Yes</t>
        </is>
      </c>
      <c r="X69" s="29" t="inlineStr">
        <is>
          <t>XGBoost</t>
        </is>
      </c>
      <c r="Y69" s="18" t="inlineStr">
        <is>
          <t>+31.1</t>
        </is>
      </c>
      <c r="Z69" s="18" t="inlineStr">
        <is>
          <t>-2.2</t>
        </is>
      </c>
      <c r="AA69" s="18" t="inlineStr">
        <is>
          <t>+116.2</t>
        </is>
      </c>
      <c r="AB69" s="18" t="inlineStr">
        <is>
          <t>-105.9</t>
        </is>
      </c>
    </row>
    <row r="70">
      <c r="A70" s="18" t="n">
        <v>4</v>
      </c>
      <c r="B70" s="18" t="inlineStr">
        <is>
          <t>Northern Illinois @ Georgia State</t>
        </is>
      </c>
      <c r="C70" s="18" t="inlineStr">
        <is>
          <t>14-35</t>
        </is>
      </c>
      <c r="D70" s="18" t="inlineStr">
        <is>
          <t>-8.8</t>
        </is>
      </c>
      <c r="E70" s="18" t="inlineStr">
        <is>
          <t>+21.0</t>
        </is>
      </c>
      <c r="F70" s="18" t="inlineStr">
        <is>
          <t>-11.6</t>
        </is>
      </c>
      <c r="G70" s="18" t="inlineStr">
        <is>
          <t>+2.9</t>
        </is>
      </c>
      <c r="H70" s="18" t="inlineStr">
        <is>
          <t>Home</t>
        </is>
      </c>
      <c r="I70" s="29" t="inlineStr">
        <is>
          <t>Win</t>
        </is>
      </c>
      <c r="J70" s="18" t="inlineStr">
        <is>
          <t>-2.5</t>
        </is>
      </c>
      <c r="K70" s="18" t="inlineStr">
        <is>
          <t>-6.3</t>
        </is>
      </c>
      <c r="L70" s="18" t="inlineStr">
        <is>
          <t>Away</t>
        </is>
      </c>
      <c r="M70" s="30" t="inlineStr">
        <is>
          <t>Loss</t>
        </is>
      </c>
      <c r="N70" s="18" t="inlineStr">
        <is>
          <t>-7.7</t>
        </is>
      </c>
      <c r="O70" s="18" t="inlineStr">
        <is>
          <t>-1.0</t>
        </is>
      </c>
      <c r="P70" s="18" t="inlineStr">
        <is>
          <t>Away</t>
        </is>
      </c>
      <c r="Q70" s="30" t="inlineStr">
        <is>
          <t>Loss (no real edge)</t>
        </is>
      </c>
      <c r="R70" s="18" t="inlineStr">
        <is>
          <t>-24.2</t>
        </is>
      </c>
      <c r="S70" s="18" t="inlineStr">
        <is>
          <t>+15.4</t>
        </is>
      </c>
      <c r="T70" s="18" t="inlineStr">
        <is>
          <t>Home</t>
        </is>
      </c>
      <c r="U70" s="29" t="inlineStr">
        <is>
          <t>Win</t>
        </is>
      </c>
      <c r="V70" s="18" t="inlineStr">
        <is>
          <t>No</t>
        </is>
      </c>
      <c r="W70" s="18" t="inlineStr">
        <is>
          <t>No</t>
        </is>
      </c>
      <c r="X70" s="29" t="inlineStr">
        <is>
          <t>Gamma</t>
        </is>
      </c>
      <c r="Y70" s="18" t="inlineStr">
        <is>
          <t>+33.9</t>
        </is>
      </c>
      <c r="Z70" s="18" t="inlineStr">
        <is>
          <t>-8.5</t>
        </is>
      </c>
      <c r="AA70" s="18" t="inlineStr">
        <is>
          <t>+115.2</t>
        </is>
      </c>
      <c r="AB70" s="18" t="inlineStr">
        <is>
          <t>-90.5</t>
        </is>
      </c>
    </row>
    <row r="71">
      <c r="A71" s="18" t="n">
        <v>4</v>
      </c>
      <c r="B71" s="18" t="inlineStr">
        <is>
          <t>Air Force @ Nevada</t>
        </is>
      </c>
      <c r="C71" s="18" t="inlineStr">
        <is>
          <t>36-33</t>
        </is>
      </c>
      <c r="D71" s="18" t="inlineStr">
        <is>
          <t>+5.2</t>
        </is>
      </c>
      <c r="E71" s="18" t="inlineStr">
        <is>
          <t>-3.0</t>
        </is>
      </c>
      <c r="F71" s="18" t="inlineStr">
        <is>
          <t>+3.3</t>
        </is>
      </c>
      <c r="G71" s="18" t="inlineStr">
        <is>
          <t>+2.0</t>
        </is>
      </c>
      <c r="H71" s="18" t="inlineStr">
        <is>
          <t>Home</t>
        </is>
      </c>
      <c r="I71" s="29" t="inlineStr">
        <is>
          <t>Win (no real edge)</t>
        </is>
      </c>
      <c r="J71" s="18" t="inlineStr">
        <is>
          <t>-0.1</t>
        </is>
      </c>
      <c r="K71" s="18" t="inlineStr">
        <is>
          <t>+5.3</t>
        </is>
      </c>
      <c r="L71" s="18" t="inlineStr">
        <is>
          <t>Home</t>
        </is>
      </c>
      <c r="M71" s="29" t="inlineStr">
        <is>
          <t>Win</t>
        </is>
      </c>
      <c r="N71" s="18" t="inlineStr">
        <is>
          <t>+2.3</t>
        </is>
      </c>
      <c r="O71" s="18" t="inlineStr">
        <is>
          <t>+3.0</t>
        </is>
      </c>
      <c r="P71" s="18" t="inlineStr">
        <is>
          <t>Home</t>
        </is>
      </c>
      <c r="Q71" s="29" t="inlineStr">
        <is>
          <t>Win</t>
        </is>
      </c>
      <c r="R71" s="18" t="inlineStr">
        <is>
          <t>-0.2</t>
        </is>
      </c>
      <c r="S71" s="18" t="inlineStr">
        <is>
          <t>+5.5</t>
        </is>
      </c>
      <c r="T71" s="18" t="inlineStr">
        <is>
          <t>Home</t>
        </is>
      </c>
      <c r="U71" s="29" t="inlineStr">
        <is>
          <t>Win</t>
        </is>
      </c>
      <c r="V71" s="18" t="inlineStr">
        <is>
          <t>Yes</t>
        </is>
      </c>
      <c r="W71" s="18" t="inlineStr">
        <is>
          <t>Yes</t>
        </is>
      </c>
      <c r="X71" s="29" t="inlineStr">
        <is>
          <t>Ridge</t>
        </is>
      </c>
      <c r="Y71" s="18" t="inlineStr">
        <is>
          <t>+35.9</t>
        </is>
      </c>
      <c r="Z71" s="18" t="inlineStr">
        <is>
          <t>-3.1</t>
        </is>
      </c>
      <c r="AA71" s="18" t="inlineStr">
        <is>
          <t>+118.2</t>
        </is>
      </c>
      <c r="AB71" s="18" t="inlineStr">
        <is>
          <t>-85.0</t>
        </is>
      </c>
    </row>
    <row r="72">
      <c r="A72" s="18" t="n">
        <v>4</v>
      </c>
      <c r="B72" s="18" t="inlineStr">
        <is>
          <t>New Mexico @ New Mexico State</t>
        </is>
      </c>
      <c r="C72" s="18" t="inlineStr">
        <is>
          <t>42-18</t>
        </is>
      </c>
      <c r="D72" s="18" t="inlineStr">
        <is>
          <t>+11.5</t>
        </is>
      </c>
      <c r="E72" s="18" t="inlineStr">
        <is>
          <t>-24.0</t>
        </is>
      </c>
      <c r="F72" s="18" t="inlineStr">
        <is>
          <t>+6.9</t>
        </is>
      </c>
      <c r="G72" s="18" t="inlineStr">
        <is>
          <t>+4.6</t>
        </is>
      </c>
      <c r="H72" s="18" t="inlineStr">
        <is>
          <t>Home</t>
        </is>
      </c>
      <c r="I72" s="30" t="inlineStr">
        <is>
          <t>Loss</t>
        </is>
      </c>
      <c r="J72" s="18" t="inlineStr">
        <is>
          <t>+11.0</t>
        </is>
      </c>
      <c r="K72" s="18" t="inlineStr">
        <is>
          <t>+0.5</t>
        </is>
      </c>
      <c r="L72" s="18" t="inlineStr">
        <is>
          <t>Home</t>
        </is>
      </c>
      <c r="M72" s="30" t="inlineStr">
        <is>
          <t>Loss (no real edge)</t>
        </is>
      </c>
      <c r="N72" s="18" t="inlineStr">
        <is>
          <t>+18.7</t>
        </is>
      </c>
      <c r="O72" s="18" t="inlineStr">
        <is>
          <t>-7.2</t>
        </is>
      </c>
      <c r="P72" s="18" t="inlineStr">
        <is>
          <t>Away</t>
        </is>
      </c>
      <c r="Q72" s="29" t="inlineStr">
        <is>
          <t>Win</t>
        </is>
      </c>
      <c r="R72" s="18" t="inlineStr">
        <is>
          <t>+12.4</t>
        </is>
      </c>
      <c r="S72" s="18" t="inlineStr">
        <is>
          <t>-0.9</t>
        </is>
      </c>
      <c r="T72" s="18" t="inlineStr">
        <is>
          <t>Away</t>
        </is>
      </c>
      <c r="U72" s="29" t="inlineStr">
        <is>
          <t>Win (no real edge)</t>
        </is>
      </c>
      <c r="V72" s="18" t="inlineStr">
        <is>
          <t>Yes</t>
        </is>
      </c>
      <c r="W72" s="18" t="inlineStr">
        <is>
          <t>No</t>
        </is>
      </c>
      <c r="X72" s="29" t="inlineStr">
        <is>
          <t>XGBoost</t>
        </is>
      </c>
      <c r="Y72" s="18" t="inlineStr">
        <is>
          <t>+40.5</t>
        </is>
      </c>
      <c r="Z72" s="18" t="inlineStr">
        <is>
          <t>-2.6</t>
        </is>
      </c>
      <c r="AA72" s="18" t="inlineStr">
        <is>
          <t>+111.0</t>
        </is>
      </c>
      <c r="AB72" s="18" t="inlineStr">
        <is>
          <t>-85.9</t>
        </is>
      </c>
    </row>
    <row r="73">
      <c r="A73" s="18" t="n">
        <v>4</v>
      </c>
      <c r="B73" s="18" t="inlineStr">
        <is>
          <t>Oregon State @ UTEP</t>
        </is>
      </c>
      <c r="C73" s="18" t="inlineStr">
        <is>
          <t>33-7</t>
        </is>
      </c>
      <c r="D73" s="18" t="inlineStr">
        <is>
          <t>+11.5</t>
        </is>
      </c>
      <c r="E73" s="18" t="inlineStr">
        <is>
          <t>-26.0</t>
        </is>
      </c>
      <c r="F73" s="18" t="inlineStr">
        <is>
          <t>-3.6</t>
        </is>
      </c>
      <c r="G73" s="18" t="inlineStr">
        <is>
          <t>+15.1</t>
        </is>
      </c>
      <c r="H73" s="18" t="inlineStr">
        <is>
          <t>Home</t>
        </is>
      </c>
      <c r="I73" s="30" t="inlineStr">
        <is>
          <t>Loss</t>
        </is>
      </c>
      <c r="J73" s="18" t="inlineStr">
        <is>
          <t>+1.5</t>
        </is>
      </c>
      <c r="K73" s="18" t="inlineStr">
        <is>
          <t>+10.0</t>
        </is>
      </c>
      <c r="L73" s="18" t="inlineStr">
        <is>
          <t>Home</t>
        </is>
      </c>
      <c r="M73" s="30" t="inlineStr">
        <is>
          <t>Loss</t>
        </is>
      </c>
      <c r="N73" s="18" t="inlineStr">
        <is>
          <t>+10.5</t>
        </is>
      </c>
      <c r="O73" s="18" t="inlineStr">
        <is>
          <t>+1.0</t>
        </is>
      </c>
      <c r="P73" s="18" t="inlineStr">
        <is>
          <t>Home</t>
        </is>
      </c>
      <c r="Q73" s="30" t="inlineStr">
        <is>
          <t>Loss (no real edge)</t>
        </is>
      </c>
      <c r="R73" s="18" t="inlineStr">
        <is>
          <t>+7.2</t>
        </is>
      </c>
      <c r="S73" s="18" t="inlineStr">
        <is>
          <t>+4.3</t>
        </is>
      </c>
      <c r="T73" s="18" t="inlineStr">
        <is>
          <t>Home</t>
        </is>
      </c>
      <c r="U73" s="30" t="inlineStr">
        <is>
          <t>Loss</t>
        </is>
      </c>
      <c r="V73" s="18" t="inlineStr">
        <is>
          <t>Yes</t>
        </is>
      </c>
      <c r="W73" s="18" t="inlineStr">
        <is>
          <t>Yes</t>
        </is>
      </c>
      <c r="X73" s="29" t="inlineStr">
        <is>
          <t>Gamma</t>
        </is>
      </c>
      <c r="Y73" s="18" t="inlineStr">
        <is>
          <t>+55.6</t>
        </is>
      </c>
      <c r="Z73" s="18" t="inlineStr">
        <is>
          <t>+7.4</t>
        </is>
      </c>
      <c r="AA73" s="18" t="inlineStr">
        <is>
          <t>+112.0</t>
        </is>
      </c>
      <c r="AB73" s="18" t="inlineStr">
        <is>
          <t>-81.7</t>
        </is>
      </c>
    </row>
    <row r="74">
      <c r="A74" s="18" t="n">
        <v>4</v>
      </c>
      <c r="B74" s="18" t="inlineStr">
        <is>
          <t>Hawai'i @ Wyoming</t>
        </is>
      </c>
      <c r="C74" s="18" t="inlineStr">
        <is>
          <t>10-27</t>
        </is>
      </c>
      <c r="D74" s="18" t="inlineStr">
        <is>
          <t>+2.2</t>
        </is>
      </c>
      <c r="E74" s="18" t="inlineStr">
        <is>
          <t>+17.0</t>
        </is>
      </c>
      <c r="F74" s="18" t="inlineStr">
        <is>
          <t>+6.0</t>
        </is>
      </c>
      <c r="G74" s="18" t="inlineStr">
        <is>
          <t>-3.7</t>
        </is>
      </c>
      <c r="H74" s="18" t="inlineStr">
        <is>
          <t>Away</t>
        </is>
      </c>
      <c r="I74" s="30" t="inlineStr">
        <is>
          <t>Loss</t>
        </is>
      </c>
      <c r="J74" s="18" t="inlineStr">
        <is>
          <t>+0.9</t>
        </is>
      </c>
      <c r="K74" s="18" t="inlineStr">
        <is>
          <t>+1.4</t>
        </is>
      </c>
      <c r="L74" s="18" t="inlineStr">
        <is>
          <t>Home</t>
        </is>
      </c>
      <c r="M74" s="29" t="inlineStr">
        <is>
          <t>Win (no real edge)</t>
        </is>
      </c>
      <c r="N74" s="18" t="inlineStr">
        <is>
          <t>+1.4</t>
        </is>
      </c>
      <c r="O74" s="18" t="inlineStr">
        <is>
          <t>+0.9</t>
        </is>
      </c>
      <c r="P74" s="18" t="inlineStr">
        <is>
          <t>Home</t>
        </is>
      </c>
      <c r="Q74" s="29" t="inlineStr">
        <is>
          <t>Win (no real edge)</t>
        </is>
      </c>
      <c r="R74" s="18" t="inlineStr">
        <is>
          <t>-6.3</t>
        </is>
      </c>
      <c r="S74" s="18" t="inlineStr">
        <is>
          <t>+8.5</t>
        </is>
      </c>
      <c r="T74" s="18" t="inlineStr">
        <is>
          <t>Home</t>
        </is>
      </c>
      <c r="U74" s="29" t="inlineStr">
        <is>
          <t>Win</t>
        </is>
      </c>
      <c r="V74" s="18" t="inlineStr">
        <is>
          <t>No</t>
        </is>
      </c>
      <c r="W74" s="18" t="inlineStr">
        <is>
          <t>No</t>
        </is>
      </c>
      <c r="X74" s="29" t="inlineStr">
        <is>
          <t>Gamma</t>
        </is>
      </c>
      <c r="Y74" s="18" t="inlineStr">
        <is>
          <t>+51.9</t>
        </is>
      </c>
      <c r="Z74" s="18" t="inlineStr">
        <is>
          <t>+8.8</t>
        </is>
      </c>
      <c r="AA74" s="18" t="inlineStr">
        <is>
          <t>+112.9</t>
        </is>
      </c>
      <c r="AB74" s="18" t="inlineStr">
        <is>
          <t>-73.1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0"/>
  <sheetViews>
    <sheetView showGridLines="0" workbookViewId="0">
      <selection pane="bottomLeft" activeCell="A1" sqref="A1"/>
    </sheetView>
  </sheetViews>
  <sheetFormatPr baseColWidth="8" defaultRowHeight="14.5"/>
  <cols>
    <col width="6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26.5" customHeight="1">
      <c r="A1" s="39" t="inlineStr">
        <is>
          <t>Week</t>
        </is>
      </c>
      <c r="B1" s="39" t="inlineStr">
        <is>
          <t>Date</t>
        </is>
      </c>
      <c r="C1" s="39" t="inlineStr">
        <is>
          <t>Home Conf</t>
        </is>
      </c>
      <c r="D1" s="39" t="inlineStr">
        <is>
          <t>Away Conf</t>
        </is>
      </c>
      <c r="E1" s="39" t="inlineStr">
        <is>
          <t>Away Team</t>
        </is>
      </c>
      <c r="F1" s="39" t="inlineStr">
        <is>
          <t>Home Team</t>
        </is>
      </c>
      <c r="G1" s="39" t="inlineStr">
        <is>
          <t>Model Line (Home)</t>
        </is>
      </c>
      <c r="H1" s="39" t="inlineStr">
        <is>
          <t>Market Line (Home)</t>
        </is>
      </c>
      <c r="I1" s="39" t="inlineStr">
        <is>
          <t>Spread Edge (pts)</t>
        </is>
      </c>
      <c r="J1" s="39" t="inlineStr">
        <is>
          <t>Ridge Line (Home)</t>
        </is>
      </c>
      <c r="K1" s="39" t="inlineStr">
        <is>
          <t>Massey Line (Home)</t>
        </is>
      </c>
      <c r="L1" s="39" t="inlineStr">
        <is>
          <t>Model Total</t>
        </is>
      </c>
      <c r="M1" s="39" t="inlineStr">
        <is>
          <t>Market Total</t>
        </is>
      </c>
      <c r="N1" s="39" t="inlineStr">
        <is>
          <t>Total Edge (pts)</t>
        </is>
      </c>
      <c r="O1" s="39" t="inlineStr">
        <is>
          <t>Away Pts</t>
        </is>
      </c>
      <c r="P1" s="39" t="inlineStr">
        <is>
          <t>Home Pts</t>
        </is>
      </c>
      <c r="Q1" s="39" t="inlineStr">
        <is>
          <t>Model Result</t>
        </is>
      </c>
    </row>
    <row r="2">
      <c r="A2" s="35" t="n">
        <v>5</v>
      </c>
      <c r="B2" s="35" t="inlineStr">
        <is>
          <t>2026-10-02</t>
        </is>
      </c>
      <c r="C2" s="35" t="inlineStr">
        <is>
          <t>ACC</t>
        </is>
      </c>
      <c r="D2" s="35" t="inlineStr">
        <is>
          <t>ACC</t>
        </is>
      </c>
      <c r="E2" s="35" t="inlineStr">
        <is>
          <t>Pittsburgh</t>
        </is>
      </c>
      <c r="F2" s="35" t="inlineStr">
        <is>
          <t>Virginia Tech</t>
        </is>
      </c>
      <c r="G2" s="35" t="n">
        <v>4.1</v>
      </c>
      <c r="H2" s="35" t="n">
        <v>-2.5</v>
      </c>
      <c r="I2" s="40" t="n">
        <v>-6.6</v>
      </c>
      <c r="J2" s="35" t="n">
        <v>-1.3</v>
      </c>
      <c r="K2" s="35" t="n">
        <v>1</v>
      </c>
      <c r="L2" s="35" t="n">
        <v>51.2</v>
      </c>
      <c r="M2" s="35" t="n">
        <v>54.5</v>
      </c>
      <c r="N2" s="40" t="n">
        <v>-3.3</v>
      </c>
      <c r="O2" s="35" t="n">
        <v>35</v>
      </c>
      <c r="P2" s="35" t="n">
        <v>33</v>
      </c>
      <c r="Q2" s="40" t="inlineStr">
        <is>
          <t>Win</t>
        </is>
      </c>
    </row>
    <row r="3">
      <c r="A3" s="35" t="n">
        <v>5</v>
      </c>
      <c r="B3" s="35" t="inlineStr">
        <is>
          <t>2026-10-03</t>
        </is>
      </c>
      <c r="C3" s="35" t="inlineStr">
        <is>
          <t>ACC</t>
        </is>
      </c>
      <c r="D3" s="35" t="inlineStr">
        <is>
          <t>ACC</t>
        </is>
      </c>
      <c r="E3" s="35" t="inlineStr">
        <is>
          <t>Miami</t>
        </is>
      </c>
      <c r="F3" s="35" t="inlineStr">
        <is>
          <t>Clemson</t>
        </is>
      </c>
      <c r="G3" s="35" t="n">
        <v>17.6</v>
      </c>
      <c r="H3" s="35" t="n">
        <v>16.5</v>
      </c>
      <c r="I3" s="35" t="n">
        <v>-1.1</v>
      </c>
      <c r="J3" s="35" t="n">
        <v>8.199999999999999</v>
      </c>
      <c r="K3" s="35" t="n">
        <v>17.3</v>
      </c>
      <c r="L3" s="35" t="n">
        <v>47.3</v>
      </c>
      <c r="M3" s="35" t="n">
        <v>47.5</v>
      </c>
      <c r="N3" s="35" t="n">
        <v>-0.2</v>
      </c>
      <c r="O3" s="35" t="n"/>
      <c r="P3" s="35" t="n"/>
      <c r="Q3" s="35" t="n"/>
    </row>
    <row r="4">
      <c r="A4" s="35" t="n">
        <v>5</v>
      </c>
      <c r="B4" s="35" t="inlineStr">
        <is>
          <t>2026-10-03</t>
        </is>
      </c>
      <c r="C4" s="35" t="inlineStr">
        <is>
          <t>ACC</t>
        </is>
      </c>
      <c r="D4" s="35" t="inlineStr">
        <is>
          <t>ACC</t>
        </is>
      </c>
      <c r="E4" s="35" t="inlineStr">
        <is>
          <t>Virginia</t>
        </is>
      </c>
      <c r="F4" s="35" t="inlineStr">
        <is>
          <t>Florida State</t>
        </is>
      </c>
      <c r="G4" s="35" t="n">
        <v>8.300000000000001</v>
      </c>
      <c r="H4" s="35" t="n">
        <v>2.5</v>
      </c>
      <c r="I4" s="40" t="n">
        <v>-5.8</v>
      </c>
      <c r="J4" s="35" t="n">
        <v>-0.7</v>
      </c>
      <c r="K4" s="35" t="n">
        <v>7.4</v>
      </c>
      <c r="L4" s="35" t="n">
        <v>51.6</v>
      </c>
      <c r="M4" s="35" t="n">
        <v>51.5</v>
      </c>
      <c r="N4" s="35" t="n">
        <v>0.1</v>
      </c>
      <c r="O4" s="35" t="n"/>
      <c r="P4" s="35" t="n"/>
      <c r="Q4" s="35" t="n"/>
    </row>
    <row r="5">
      <c r="A5" s="35" t="n">
        <v>5</v>
      </c>
      <c r="B5" s="35" t="inlineStr">
        <is>
          <t>2026-10-03</t>
        </is>
      </c>
      <c r="C5" s="35" t="inlineStr">
        <is>
          <t>ACC</t>
        </is>
      </c>
      <c r="D5" s="35" t="inlineStr">
        <is>
          <t>ACC</t>
        </is>
      </c>
      <c r="E5" s="35" t="inlineStr">
        <is>
          <t>Louisville</t>
        </is>
      </c>
      <c r="F5" s="35" t="inlineStr">
        <is>
          <t>NC State</t>
        </is>
      </c>
      <c r="G5" s="35" t="n">
        <v>2.5</v>
      </c>
      <c r="H5" s="35" t="n">
        <v>3.5</v>
      </c>
      <c r="I5" s="35" t="n">
        <v>1</v>
      </c>
      <c r="J5" s="35" t="n">
        <v>1.4</v>
      </c>
      <c r="K5" s="35" t="n">
        <v>-6.3</v>
      </c>
      <c r="L5" s="35" t="n">
        <v>57.3</v>
      </c>
      <c r="M5" s="35" t="n">
        <v>58.2</v>
      </c>
      <c r="N5" s="35" t="n">
        <v>-1</v>
      </c>
      <c r="O5" s="35" t="n"/>
      <c r="P5" s="35" t="n"/>
      <c r="Q5" s="35" t="n"/>
    </row>
    <row r="6">
      <c r="A6" s="35" t="n">
        <v>5</v>
      </c>
      <c r="B6" s="35" t="inlineStr">
        <is>
          <t>2026-10-03</t>
        </is>
      </c>
      <c r="C6" s="35" t="inlineStr">
        <is>
          <t>ACC</t>
        </is>
      </c>
      <c r="D6" s="35" t="inlineStr">
        <is>
          <t>FBS Independents</t>
        </is>
      </c>
      <c r="E6" s="35" t="inlineStr">
        <is>
          <t>Notre Dame</t>
        </is>
      </c>
      <c r="F6" s="35" t="inlineStr">
        <is>
          <t>North Carolina</t>
        </is>
      </c>
      <c r="G6" s="35" t="n">
        <v>19.5</v>
      </c>
      <c r="H6" s="35" t="n">
        <v>21.5</v>
      </c>
      <c r="I6" s="40" t="n">
        <v>2</v>
      </c>
      <c r="J6" s="35" t="n">
        <v>11.2</v>
      </c>
      <c r="K6" s="35" t="n">
        <v>12.6</v>
      </c>
      <c r="L6" s="35" t="n">
        <v>48.4</v>
      </c>
      <c r="M6" s="35" t="n">
        <v>46.5</v>
      </c>
      <c r="N6" s="35" t="n">
        <v>1.9</v>
      </c>
      <c r="O6" s="35" t="n">
        <v>37</v>
      </c>
      <c r="P6" s="35" t="n">
        <v>26</v>
      </c>
      <c r="Q6" s="40" t="inlineStr">
        <is>
          <t>Win</t>
        </is>
      </c>
    </row>
    <row r="7">
      <c r="A7" s="35" t="n">
        <v>5</v>
      </c>
      <c r="B7" s="35" t="inlineStr">
        <is>
          <t>2026-10-03</t>
        </is>
      </c>
      <c r="C7" s="35" t="inlineStr">
        <is>
          <t>ACC</t>
        </is>
      </c>
      <c r="D7" s="35" t="inlineStr">
        <is>
          <t>ACC</t>
        </is>
      </c>
      <c r="E7" s="35" t="inlineStr">
        <is>
          <t>Boston College</t>
        </is>
      </c>
      <c r="F7" s="35" t="inlineStr">
        <is>
          <t>SMU</t>
        </is>
      </c>
      <c r="G7" s="35" t="n">
        <v>-21.8</v>
      </c>
      <c r="H7" s="35" t="n">
        <v>-21.5</v>
      </c>
      <c r="I7" s="35" t="n">
        <v>0.3</v>
      </c>
      <c r="J7" s="35" t="n">
        <v>-19.4</v>
      </c>
      <c r="K7" s="35" t="n">
        <v>-12</v>
      </c>
      <c r="L7" s="35" t="n">
        <v>48.3</v>
      </c>
      <c r="M7" s="35" t="n">
        <v>55.5</v>
      </c>
      <c r="N7" s="40" t="n">
        <v>-7.2</v>
      </c>
      <c r="O7" s="35" t="n">
        <v>16</v>
      </c>
      <c r="P7" s="35" t="n">
        <v>25</v>
      </c>
      <c r="Q7" s="40" t="inlineStr">
        <is>
          <t>Win</t>
        </is>
      </c>
    </row>
    <row r="8">
      <c r="A8" s="35" t="n">
        <v>5</v>
      </c>
      <c r="B8" s="35" t="inlineStr">
        <is>
          <t>2026-10-03</t>
        </is>
      </c>
      <c r="C8" s="35" t="inlineStr">
        <is>
          <t>ACC</t>
        </is>
      </c>
      <c r="D8" s="35" t="inlineStr">
        <is>
          <t>ACC</t>
        </is>
      </c>
      <c r="E8" s="35" t="inlineStr">
        <is>
          <t>Stanford</t>
        </is>
      </c>
      <c r="F8" s="35" t="inlineStr">
        <is>
          <t>Wake Forest</t>
        </is>
      </c>
      <c r="G8" s="35" t="n">
        <v>-25.8</v>
      </c>
      <c r="H8" s="35" t="n">
        <v>-14</v>
      </c>
      <c r="I8" s="40" t="n">
        <v>11.8</v>
      </c>
      <c r="J8" s="35" t="n">
        <v>-7.7</v>
      </c>
      <c r="K8" s="35" t="n">
        <v>-15.2</v>
      </c>
      <c r="L8" s="35" t="n">
        <v>56.1</v>
      </c>
      <c r="M8" s="35" t="n">
        <v>53.5</v>
      </c>
      <c r="N8" s="40" t="n">
        <v>2.6</v>
      </c>
      <c r="O8" s="35" t="n">
        <v>3</v>
      </c>
      <c r="P8" s="35" t="n">
        <v>57</v>
      </c>
      <c r="Q8" s="40" t="inlineStr">
        <is>
          <t>Win</t>
        </is>
      </c>
    </row>
    <row r="9">
      <c r="A9" s="35" t="n">
        <v>5</v>
      </c>
      <c r="B9" s="35" t="inlineStr">
        <is>
          <t>2026-10-02</t>
        </is>
      </c>
      <c r="C9" s="35" t="inlineStr">
        <is>
          <t>American Athletic</t>
        </is>
      </c>
      <c r="D9" s="35" t="inlineStr">
        <is>
          <t>American Athletic</t>
        </is>
      </c>
      <c r="E9" s="35" t="inlineStr">
        <is>
          <t>North Texas</t>
        </is>
      </c>
      <c r="F9" s="35" t="inlineStr">
        <is>
          <t>Tulsa</t>
        </is>
      </c>
      <c r="G9" s="35" t="n">
        <v>4.9</v>
      </c>
      <c r="H9" s="35" t="n">
        <v>2</v>
      </c>
      <c r="I9" s="40" t="n">
        <v>-2.9</v>
      </c>
      <c r="J9" s="35" t="n">
        <v>4.5</v>
      </c>
      <c r="K9" s="35" t="n">
        <v>-4.5</v>
      </c>
      <c r="L9" s="35" t="n">
        <v>56.4</v>
      </c>
      <c r="M9" s="35" t="n">
        <v>56.8</v>
      </c>
      <c r="N9" s="35" t="n">
        <v>-0.3</v>
      </c>
      <c r="O9" s="35" t="n">
        <v>45</v>
      </c>
      <c r="P9" s="35" t="n">
        <v>44</v>
      </c>
      <c r="Q9" s="40" t="inlineStr">
        <is>
          <t>Win</t>
        </is>
      </c>
    </row>
    <row r="10">
      <c r="A10" s="35" t="n">
        <v>5</v>
      </c>
      <c r="B10" s="35" t="inlineStr">
        <is>
          <t>2026-10-03</t>
        </is>
      </c>
      <c r="C10" s="35" t="inlineStr">
        <is>
          <t>American Athletic</t>
        </is>
      </c>
      <c r="D10" s="35" t="inlineStr">
        <is>
          <t>American Athletic</t>
        </is>
      </c>
      <c r="E10" s="35" t="inlineStr">
        <is>
          <t>Memphis</t>
        </is>
      </c>
      <c r="F10" s="35" t="inlineStr">
        <is>
          <t>Charlotte</t>
        </is>
      </c>
      <c r="G10" s="35" t="n">
        <v>23.9</v>
      </c>
      <c r="H10" s="35" t="n">
        <v>20.5</v>
      </c>
      <c r="I10" s="40" t="n">
        <v>-3.4</v>
      </c>
      <c r="J10" s="35" t="n">
        <v>17.5</v>
      </c>
      <c r="K10" s="35" t="n">
        <v>8.6</v>
      </c>
      <c r="L10" s="35" t="n">
        <v>54.4</v>
      </c>
      <c r="M10" s="35" t="n">
        <v>52.2</v>
      </c>
      <c r="N10" s="40" t="n">
        <v>2.2</v>
      </c>
      <c r="O10" s="35" t="n">
        <v>59</v>
      </c>
      <c r="P10" s="35" t="n">
        <v>8</v>
      </c>
      <c r="Q10" s="40" t="inlineStr">
        <is>
          <t>Win</t>
        </is>
      </c>
    </row>
    <row r="11">
      <c r="A11" s="35" t="n">
        <v>5</v>
      </c>
      <c r="B11" s="35" t="inlineStr">
        <is>
          <t>2026-10-03</t>
        </is>
      </c>
      <c r="C11" s="35" t="inlineStr">
        <is>
          <t>American Athletic</t>
        </is>
      </c>
      <c r="D11" s="35" t="inlineStr">
        <is>
          <t>SWAC</t>
        </is>
      </c>
      <c r="E11" s="35" t="inlineStr">
        <is>
          <t>Texas Southern</t>
        </is>
      </c>
      <c r="F11" s="35" t="inlineStr">
        <is>
          <t>Florida Atlantic</t>
        </is>
      </c>
      <c r="G11" s="35" t="n">
        <v>-31.2</v>
      </c>
      <c r="H11" s="35" t="n">
        <v>-44.2</v>
      </c>
      <c r="I11" s="40" t="n">
        <v>-13.1</v>
      </c>
      <c r="J11" s="35" t="n">
        <v>-18.2</v>
      </c>
      <c r="K11" s="35" t="n">
        <v>-21.1</v>
      </c>
      <c r="L11" s="35" t="n">
        <v>56.5</v>
      </c>
      <c r="M11" s="35" t="n">
        <v>61.2</v>
      </c>
      <c r="N11" s="40" t="n">
        <v>-4.8</v>
      </c>
      <c r="O11" s="35" t="n"/>
      <c r="P11" s="35" t="n"/>
      <c r="Q11" s="35" t="n"/>
    </row>
    <row r="12">
      <c r="A12" s="35" t="n">
        <v>5</v>
      </c>
      <c r="B12" s="35" t="inlineStr">
        <is>
          <t>2026-10-03</t>
        </is>
      </c>
      <c r="C12" s="35" t="inlineStr">
        <is>
          <t>American Athletic</t>
        </is>
      </c>
      <c r="D12" s="35" t="inlineStr">
        <is>
          <t>American Athletic</t>
        </is>
      </c>
      <c r="E12" s="35" t="inlineStr">
        <is>
          <t>UTSA</t>
        </is>
      </c>
      <c r="F12" s="35" t="inlineStr">
        <is>
          <t>Rice</t>
        </is>
      </c>
      <c r="G12" s="35" t="n">
        <v>13.4</v>
      </c>
      <c r="H12" s="35" t="n">
        <v>12.5</v>
      </c>
      <c r="I12" s="35" t="n">
        <v>-0.9</v>
      </c>
      <c r="J12" s="35" t="n">
        <v>10.3</v>
      </c>
      <c r="K12" s="35" t="n">
        <v>8.4</v>
      </c>
      <c r="L12" s="35" t="n">
        <v>55.1</v>
      </c>
      <c r="M12" s="35" t="n">
        <v>55.8</v>
      </c>
      <c r="N12" s="35" t="n">
        <v>-0.7</v>
      </c>
      <c r="O12" s="35" t="n"/>
      <c r="P12" s="35" t="n"/>
      <c r="Q12" s="35" t="n"/>
    </row>
    <row r="13">
      <c r="A13" s="35" t="n">
        <v>5</v>
      </c>
      <c r="B13" s="35" t="inlineStr">
        <is>
          <t>2026-10-03</t>
        </is>
      </c>
      <c r="C13" s="35" t="inlineStr">
        <is>
          <t>American Athletic</t>
        </is>
      </c>
      <c r="D13" s="35" t="inlineStr">
        <is>
          <t>American Athletic</t>
        </is>
      </c>
      <c r="E13" s="35" t="inlineStr">
        <is>
          <t>Temple</t>
        </is>
      </c>
      <c r="F13" s="35" t="inlineStr">
        <is>
          <t>South Florida</t>
        </is>
      </c>
      <c r="G13" s="35" t="n">
        <v>-13.2</v>
      </c>
      <c r="H13" s="35" t="n">
        <v>-6</v>
      </c>
      <c r="I13" s="40" t="n">
        <v>7.2</v>
      </c>
      <c r="J13" s="35" t="n">
        <v>-14.2</v>
      </c>
      <c r="K13" s="35" t="n">
        <v>-8.800000000000001</v>
      </c>
      <c r="L13" s="35" t="n">
        <v>58.3</v>
      </c>
      <c r="M13" s="35" t="n">
        <v>48.5</v>
      </c>
      <c r="N13" s="40" t="n">
        <v>9.800000000000001</v>
      </c>
      <c r="O13" s="35" t="n"/>
      <c r="P13" s="35" t="n"/>
      <c r="Q13" s="35" t="n"/>
    </row>
    <row r="14">
      <c r="A14" s="35" t="n">
        <v>5</v>
      </c>
      <c r="B14" s="35" t="inlineStr">
        <is>
          <t>2026-10-03</t>
        </is>
      </c>
      <c r="C14" s="35" t="inlineStr">
        <is>
          <t>American Athletic</t>
        </is>
      </c>
      <c r="D14" s="35" t="inlineStr">
        <is>
          <t>Southern</t>
        </is>
      </c>
      <c r="E14" s="35" t="inlineStr">
        <is>
          <t>Samford</t>
        </is>
      </c>
      <c r="F14" s="35" t="inlineStr">
        <is>
          <t>UAB</t>
        </is>
      </c>
      <c r="G14" s="35" t="n">
        <v>-32.3</v>
      </c>
      <c r="H14" s="35" t="n">
        <v>-30.5</v>
      </c>
      <c r="I14" s="35" t="n">
        <v>1.8</v>
      </c>
      <c r="J14" s="35" t="n">
        <v>-19.3</v>
      </c>
      <c r="K14" s="35" t="n">
        <v>-2</v>
      </c>
      <c r="L14" s="35" t="n">
        <v>57.5</v>
      </c>
      <c r="M14" s="35" t="n">
        <v>52.8</v>
      </c>
      <c r="N14" s="40" t="n">
        <v>4.7</v>
      </c>
      <c r="O14" s="35" t="n"/>
      <c r="P14" s="35" t="n"/>
      <c r="Q14" s="35" t="n"/>
    </row>
    <row r="15">
      <c r="A15" s="35" t="n">
        <v>5</v>
      </c>
      <c r="B15" s="35" t="inlineStr">
        <is>
          <t>2026-10-03</t>
        </is>
      </c>
      <c r="C15" s="35" t="inlineStr">
        <is>
          <t>Big 12</t>
        </is>
      </c>
      <c r="D15" s="35" t="inlineStr">
        <is>
          <t>Big 12</t>
        </is>
      </c>
      <c r="E15" s="35" t="inlineStr">
        <is>
          <t>Texas Tech</t>
        </is>
      </c>
      <c r="F15" s="35" t="inlineStr">
        <is>
          <t>Colorado</t>
        </is>
      </c>
      <c r="G15" s="35" t="n">
        <v>18.1</v>
      </c>
      <c r="H15" s="35" t="n">
        <v>13.5</v>
      </c>
      <c r="I15" s="40" t="n">
        <v>-4.6</v>
      </c>
      <c r="J15" s="35" t="n">
        <v>18.9</v>
      </c>
      <c r="K15" s="35" t="n">
        <v>9.199999999999999</v>
      </c>
      <c r="L15" s="35" t="n">
        <v>49</v>
      </c>
      <c r="M15" s="35" t="n">
        <v>50.5</v>
      </c>
      <c r="N15" s="35" t="n">
        <v>-1.5</v>
      </c>
      <c r="O15" s="35" t="n"/>
      <c r="P15" s="35" t="n"/>
      <c r="Q15" s="35" t="n"/>
    </row>
    <row r="16">
      <c r="A16" s="35" t="n">
        <v>5</v>
      </c>
      <c r="B16" s="35" t="inlineStr">
        <is>
          <t>2026-10-03</t>
        </is>
      </c>
      <c r="C16" s="35" t="inlineStr">
        <is>
          <t>Big 12</t>
        </is>
      </c>
      <c r="D16" s="35" t="inlineStr">
        <is>
          <t>Big 12</t>
        </is>
      </c>
      <c r="E16" s="35" t="inlineStr">
        <is>
          <t>UCF</t>
        </is>
      </c>
      <c r="F16" s="35" t="inlineStr">
        <is>
          <t>Houston</t>
        </is>
      </c>
      <c r="G16" s="35" t="n">
        <v>-12.8</v>
      </c>
      <c r="H16" s="35" t="n">
        <v>-11.2</v>
      </c>
      <c r="I16" s="35" t="n">
        <v>1.5</v>
      </c>
      <c r="J16" s="35" t="n">
        <v>-12</v>
      </c>
      <c r="K16" s="35" t="n">
        <v>-4</v>
      </c>
      <c r="L16" s="35" t="n">
        <v>53.9</v>
      </c>
      <c r="M16" s="35" t="n">
        <v>50.8</v>
      </c>
      <c r="N16" s="40" t="n">
        <v>3.1</v>
      </c>
      <c r="O16" s="35" t="n">
        <v>17</v>
      </c>
      <c r="P16" s="35" t="n">
        <v>27</v>
      </c>
      <c r="Q16" s="40" t="inlineStr">
        <is>
          <t>Win</t>
        </is>
      </c>
    </row>
    <row r="17">
      <c r="A17" s="35" t="n">
        <v>5</v>
      </c>
      <c r="B17" s="35" t="inlineStr">
        <is>
          <t>2026-10-03</t>
        </is>
      </c>
      <c r="C17" s="35" t="inlineStr">
        <is>
          <t>Big 12</t>
        </is>
      </c>
      <c r="D17" s="35" t="inlineStr">
        <is>
          <t>Big 12</t>
        </is>
      </c>
      <c r="E17" s="35" t="inlineStr">
        <is>
          <t>West Virginia</t>
        </is>
      </c>
      <c r="F17" s="35" t="inlineStr">
        <is>
          <t>Iowa State</t>
        </is>
      </c>
      <c r="G17" s="35" t="n">
        <v>-13.4</v>
      </c>
      <c r="H17" s="35" t="n">
        <v>-3</v>
      </c>
      <c r="I17" s="40" t="n">
        <v>10.4</v>
      </c>
      <c r="J17" s="35" t="n">
        <v>-5.6</v>
      </c>
      <c r="K17" s="35" t="n">
        <v>-6.3</v>
      </c>
      <c r="L17" s="35" t="n">
        <v>49</v>
      </c>
      <c r="M17" s="35" t="n">
        <v>53.2</v>
      </c>
      <c r="N17" s="40" t="n">
        <v>-4.2</v>
      </c>
      <c r="O17" s="35" t="n">
        <v>42</v>
      </c>
      <c r="P17" s="35" t="n">
        <v>45</v>
      </c>
      <c r="Q17" s="40" t="inlineStr">
        <is>
          <t>Win</t>
        </is>
      </c>
    </row>
    <row r="18">
      <c r="A18" s="35" t="n">
        <v>5</v>
      </c>
      <c r="B18" s="35" t="inlineStr">
        <is>
          <t>2026-10-03</t>
        </is>
      </c>
      <c r="C18" s="35" t="inlineStr">
        <is>
          <t>Big 12</t>
        </is>
      </c>
      <c r="D18" s="35" t="inlineStr">
        <is>
          <t>Conference USA</t>
        </is>
      </c>
      <c r="E18" s="35" t="inlineStr">
        <is>
          <t>Middle Tennessee</t>
        </is>
      </c>
      <c r="F18" s="35" t="inlineStr">
        <is>
          <t>Kansas</t>
        </is>
      </c>
      <c r="G18" s="35" t="n">
        <v>-29.9</v>
      </c>
      <c r="H18" s="35" t="n">
        <v>-19.8</v>
      </c>
      <c r="I18" s="40" t="n">
        <v>10.2</v>
      </c>
      <c r="J18" s="35" t="n">
        <v>-19.6</v>
      </c>
      <c r="K18" s="35" t="n">
        <v>-7.1</v>
      </c>
      <c r="L18" s="35" t="n">
        <v>54.2</v>
      </c>
      <c r="M18" s="35" t="n">
        <v>50.5</v>
      </c>
      <c r="N18" s="40" t="n">
        <v>3.7</v>
      </c>
      <c r="O18" s="35" t="n">
        <v>0</v>
      </c>
      <c r="P18" s="35" t="n">
        <v>55</v>
      </c>
      <c r="Q18" s="40" t="inlineStr">
        <is>
          <t>Win</t>
        </is>
      </c>
    </row>
    <row r="19">
      <c r="A19" s="35" t="n">
        <v>5</v>
      </c>
      <c r="B19" s="35" t="inlineStr">
        <is>
          <t>2026-10-03</t>
        </is>
      </c>
      <c r="C19" s="35" t="inlineStr">
        <is>
          <t>Big 12</t>
        </is>
      </c>
      <c r="D19" s="35" t="inlineStr">
        <is>
          <t>Big 12</t>
        </is>
      </c>
      <c r="E19" s="35" t="inlineStr">
        <is>
          <t>BYU</t>
        </is>
      </c>
      <c r="F19" s="35" t="inlineStr">
        <is>
          <t>TCU</t>
        </is>
      </c>
      <c r="G19" s="35" t="n">
        <v>2.4</v>
      </c>
      <c r="H19" s="35" t="n">
        <v>6.2</v>
      </c>
      <c r="I19" s="40" t="n">
        <v>3.9</v>
      </c>
      <c r="J19" s="35" t="n">
        <v>8.800000000000001</v>
      </c>
      <c r="K19" s="35" t="n">
        <v>0</v>
      </c>
      <c r="L19" s="35" t="n">
        <v>52.4</v>
      </c>
      <c r="M19" s="35" t="n">
        <v>47.8</v>
      </c>
      <c r="N19" s="40" t="n">
        <v>4.6</v>
      </c>
      <c r="O19" s="35" t="n"/>
      <c r="P19" s="35" t="n"/>
      <c r="Q19" s="35" t="n"/>
    </row>
    <row r="20">
      <c r="A20" s="35" t="n">
        <v>5</v>
      </c>
      <c r="B20" s="35" t="inlineStr">
        <is>
          <t>2026-10-04</t>
        </is>
      </c>
      <c r="C20" s="35" t="inlineStr">
        <is>
          <t>Big 12</t>
        </is>
      </c>
      <c r="D20" s="35" t="inlineStr">
        <is>
          <t>Big 12</t>
        </is>
      </c>
      <c r="E20" s="35" t="inlineStr">
        <is>
          <t>Cincinnati</t>
        </is>
      </c>
      <c r="F20" s="35" t="inlineStr">
        <is>
          <t>Arizona</t>
        </is>
      </c>
      <c r="G20" s="35" t="n">
        <v>-5.9</v>
      </c>
      <c r="H20" s="35" t="n">
        <v>-6.5</v>
      </c>
      <c r="I20" s="35" t="n">
        <v>-0.6</v>
      </c>
      <c r="J20" s="35" t="n">
        <v>-11</v>
      </c>
      <c r="K20" s="35" t="n">
        <v>-2</v>
      </c>
      <c r="L20" s="35" t="n">
        <v>55.7</v>
      </c>
      <c r="M20" s="35" t="n">
        <v>55.5</v>
      </c>
      <c r="N20" s="35" t="n">
        <v>0.2</v>
      </c>
      <c r="O20" s="35" t="n"/>
      <c r="P20" s="35" t="n"/>
      <c r="Q20" s="35" t="n"/>
    </row>
    <row r="21">
      <c r="A21" s="35" t="n">
        <v>5</v>
      </c>
      <c r="B21" s="35" t="inlineStr">
        <is>
          <t>2026-10-04</t>
        </is>
      </c>
      <c r="C21" s="35" t="inlineStr">
        <is>
          <t>Big 12</t>
        </is>
      </c>
      <c r="D21" s="35" t="inlineStr">
        <is>
          <t>Big 12</t>
        </is>
      </c>
      <c r="E21" s="35" t="inlineStr">
        <is>
          <t>Baylor</t>
        </is>
      </c>
      <c r="F21" s="35" t="inlineStr">
        <is>
          <t>Arizona State</t>
        </is>
      </c>
      <c r="G21" s="35" t="n">
        <v>-2.3</v>
      </c>
      <c r="H21" s="35" t="n">
        <v>-3.8</v>
      </c>
      <c r="I21" s="35" t="n">
        <v>-1.5</v>
      </c>
      <c r="J21" s="35" t="n">
        <v>-4</v>
      </c>
      <c r="K21" s="35" t="n">
        <v>-0.9</v>
      </c>
      <c r="L21" s="35" t="n">
        <v>46.8</v>
      </c>
      <c r="M21" s="35" t="n">
        <v>49.2</v>
      </c>
      <c r="N21" s="40" t="n">
        <v>-2.5</v>
      </c>
      <c r="O21" s="35" t="n"/>
      <c r="P21" s="35" t="n"/>
      <c r="Q21" s="35" t="n"/>
    </row>
    <row r="22">
      <c r="A22" s="35" t="n">
        <v>5</v>
      </c>
      <c r="B22" s="35" t="inlineStr">
        <is>
          <t>2026-10-03</t>
        </is>
      </c>
      <c r="C22" s="35" t="inlineStr">
        <is>
          <t>Big Ten</t>
        </is>
      </c>
      <c r="D22" s="35" t="inlineStr">
        <is>
          <t>Big Ten</t>
        </is>
      </c>
      <c r="E22" s="35" t="inlineStr">
        <is>
          <t>Purdue</t>
        </is>
      </c>
      <c r="F22" s="35" t="inlineStr">
        <is>
          <t>Illinois</t>
        </is>
      </c>
      <c r="G22" s="35" t="n">
        <v>-19.2</v>
      </c>
      <c r="H22" s="35" t="n">
        <v>-10</v>
      </c>
      <c r="I22" s="40" t="n">
        <v>9.199999999999999</v>
      </c>
      <c r="J22" s="35" t="n">
        <v>-16.6</v>
      </c>
      <c r="K22" s="35" t="n">
        <v>-10.9</v>
      </c>
      <c r="L22" s="35" t="n">
        <v>60.4</v>
      </c>
      <c r="M22" s="35" t="n">
        <v>62.5</v>
      </c>
      <c r="N22" s="40" t="n">
        <v>-2.1</v>
      </c>
      <c r="O22" s="35" t="n"/>
      <c r="P22" s="35" t="n"/>
      <c r="Q22" s="35" t="n"/>
    </row>
    <row r="23">
      <c r="A23" s="35" t="n">
        <v>5</v>
      </c>
      <c r="B23" s="35" t="inlineStr">
        <is>
          <t>2026-10-03</t>
        </is>
      </c>
      <c r="C23" s="35" t="inlineStr">
        <is>
          <t>Big Ten</t>
        </is>
      </c>
      <c r="D23" s="35" t="inlineStr">
        <is>
          <t>Big Ten</t>
        </is>
      </c>
      <c r="E23" s="35" t="inlineStr">
        <is>
          <t>Ohio State</t>
        </is>
      </c>
      <c r="F23" s="35" t="inlineStr">
        <is>
          <t>Iowa</t>
        </is>
      </c>
      <c r="G23" s="35" t="n">
        <v>8.6</v>
      </c>
      <c r="H23" s="35" t="n">
        <v>14.2</v>
      </c>
      <c r="I23" s="40" t="n">
        <v>5.6</v>
      </c>
      <c r="J23" s="35" t="n">
        <v>7.1</v>
      </c>
      <c r="K23" s="35" t="n">
        <v>2.6</v>
      </c>
      <c r="L23" s="35" t="n">
        <v>45.9</v>
      </c>
      <c r="M23" s="35" t="n">
        <v>45.5</v>
      </c>
      <c r="N23" s="35" t="n">
        <v>0.4</v>
      </c>
      <c r="O23" s="35" t="n"/>
      <c r="P23" s="35" t="n"/>
      <c r="Q23" s="35" t="n"/>
    </row>
    <row r="24">
      <c r="A24" s="35" t="n">
        <v>5</v>
      </c>
      <c r="B24" s="35" t="inlineStr">
        <is>
          <t>2026-10-03</t>
        </is>
      </c>
      <c r="C24" s="35" t="inlineStr">
        <is>
          <t>Big Ten</t>
        </is>
      </c>
      <c r="D24" s="35" t="inlineStr">
        <is>
          <t>Big Ten</t>
        </is>
      </c>
      <c r="E24" s="35" t="inlineStr">
        <is>
          <t>Michigan</t>
        </is>
      </c>
      <c r="F24" s="35" t="inlineStr">
        <is>
          <t>Minnesota</t>
        </is>
      </c>
      <c r="G24" s="35" t="n">
        <v>-1.8</v>
      </c>
      <c r="H24" s="35" t="n">
        <v>5.8</v>
      </c>
      <c r="I24" s="40" t="n">
        <v>7.5</v>
      </c>
      <c r="J24" s="35" t="n">
        <v>5</v>
      </c>
      <c r="K24" s="35" t="n">
        <v>-6.4</v>
      </c>
      <c r="L24" s="35" t="n">
        <v>43.9</v>
      </c>
      <c r="M24" s="35" t="n">
        <v>43.5</v>
      </c>
      <c r="N24" s="35" t="n">
        <v>0.4</v>
      </c>
      <c r="O24" s="35" t="n">
        <v>14</v>
      </c>
      <c r="P24" s="35" t="n">
        <v>20</v>
      </c>
      <c r="Q24" s="40" t="inlineStr">
        <is>
          <t>Win</t>
        </is>
      </c>
    </row>
    <row r="25">
      <c r="A25" s="35" t="n">
        <v>5</v>
      </c>
      <c r="B25" s="35" t="inlineStr">
        <is>
          <t>2026-10-03</t>
        </is>
      </c>
      <c r="C25" s="35" t="inlineStr">
        <is>
          <t>Big Ten</t>
        </is>
      </c>
      <c r="D25" s="35" t="inlineStr">
        <is>
          <t>Big Ten</t>
        </is>
      </c>
      <c r="E25" s="35" t="inlineStr">
        <is>
          <t>Maryland</t>
        </is>
      </c>
      <c r="F25" s="35" t="inlineStr">
        <is>
          <t>Nebraska</t>
        </is>
      </c>
      <c r="G25" s="35" t="n">
        <v>-19.1</v>
      </c>
      <c r="H25" s="35" t="n">
        <v>-14.5</v>
      </c>
      <c r="I25" s="40" t="n">
        <v>4.6</v>
      </c>
      <c r="J25" s="35" t="n">
        <v>-13</v>
      </c>
      <c r="K25" s="35" t="n">
        <v>-14.9</v>
      </c>
      <c r="L25" s="35" t="n">
        <v>52.2</v>
      </c>
      <c r="M25" s="35" t="n">
        <v>52.5</v>
      </c>
      <c r="N25" s="35" t="n">
        <v>-0.3</v>
      </c>
      <c r="O25" s="35" t="n"/>
      <c r="P25" s="35" t="n"/>
      <c r="Q25" s="35" t="n"/>
    </row>
    <row r="26">
      <c r="A26" s="35" t="n">
        <v>5</v>
      </c>
      <c r="B26" s="35" t="inlineStr">
        <is>
          <t>2026-10-03</t>
        </is>
      </c>
      <c r="C26" s="35" t="inlineStr">
        <is>
          <t>Big Ten</t>
        </is>
      </c>
      <c r="D26" s="35" t="inlineStr">
        <is>
          <t>Big Ten</t>
        </is>
      </c>
      <c r="E26" s="35" t="inlineStr">
        <is>
          <t>Penn State</t>
        </is>
      </c>
      <c r="F26" s="35" t="inlineStr">
        <is>
          <t>Northwestern</t>
        </is>
      </c>
      <c r="G26" s="35" t="n">
        <v>-1.4</v>
      </c>
      <c r="H26" s="35" t="n">
        <v>2.5</v>
      </c>
      <c r="I26" s="40" t="n">
        <v>3.9</v>
      </c>
      <c r="J26" s="35" t="n">
        <v>0.7</v>
      </c>
      <c r="K26" s="35" t="n">
        <v>0.3</v>
      </c>
      <c r="L26" s="35" t="n">
        <v>49.9</v>
      </c>
      <c r="M26" s="35" t="n">
        <v>45.8</v>
      </c>
      <c r="N26" s="40" t="n">
        <v>4.2</v>
      </c>
      <c r="O26" s="35" t="n">
        <v>13</v>
      </c>
      <c r="P26" s="35" t="n">
        <v>34</v>
      </c>
      <c r="Q26" s="40" t="inlineStr">
        <is>
          <t>Win</t>
        </is>
      </c>
    </row>
    <row r="27">
      <c r="A27" s="35" t="n">
        <v>5</v>
      </c>
      <c r="B27" s="35" t="inlineStr">
        <is>
          <t>2026-10-03</t>
        </is>
      </c>
      <c r="C27" s="35" t="inlineStr">
        <is>
          <t>Big Ten</t>
        </is>
      </c>
      <c r="D27" s="35" t="inlineStr">
        <is>
          <t>Big Ten</t>
        </is>
      </c>
      <c r="E27" s="35" t="inlineStr">
        <is>
          <t>Washington</t>
        </is>
      </c>
      <c r="F27" s="35" t="inlineStr">
        <is>
          <t>USC</t>
        </is>
      </c>
      <c r="G27" s="35" t="n">
        <v>-4.6</v>
      </c>
      <c r="H27" s="35" t="n">
        <v>-8.800000000000001</v>
      </c>
      <c r="I27" s="40" t="n">
        <v>-4.1</v>
      </c>
      <c r="J27" s="35" t="n">
        <v>-5.4</v>
      </c>
      <c r="K27" s="35" t="n">
        <v>-11.6</v>
      </c>
      <c r="L27" s="35" t="n">
        <v>51.5</v>
      </c>
      <c r="M27" s="35" t="n">
        <v>58.2</v>
      </c>
      <c r="N27" s="40" t="n">
        <v>-6.8</v>
      </c>
      <c r="O27" s="35" t="n"/>
      <c r="P27" s="35" t="n"/>
      <c r="Q27" s="35" t="n"/>
    </row>
    <row r="28">
      <c r="A28" s="35" t="n">
        <v>5</v>
      </c>
      <c r="B28" s="35" t="inlineStr">
        <is>
          <t>2026-10-03</t>
        </is>
      </c>
      <c r="C28" s="35" t="inlineStr">
        <is>
          <t>Big Ten</t>
        </is>
      </c>
      <c r="D28" s="35" t="inlineStr">
        <is>
          <t>Big Ten</t>
        </is>
      </c>
      <c r="E28" s="35" t="inlineStr">
        <is>
          <t>Michigan State</t>
        </is>
      </c>
      <c r="F28" s="35" t="inlineStr">
        <is>
          <t>Wisconsin</t>
        </is>
      </c>
      <c r="G28" s="35" t="n">
        <v>-10.2</v>
      </c>
      <c r="H28" s="35" t="n">
        <v>-9.5</v>
      </c>
      <c r="I28" s="35" t="n">
        <v>0.7</v>
      </c>
      <c r="J28" s="35" t="n">
        <v>-9.5</v>
      </c>
      <c r="K28" s="35" t="n">
        <v>-9.4</v>
      </c>
      <c r="L28" s="35" t="n">
        <v>44.8</v>
      </c>
      <c r="M28" s="35" t="n">
        <v>43.2</v>
      </c>
      <c r="N28" s="35" t="n">
        <v>1.6</v>
      </c>
      <c r="O28" s="35" t="n">
        <v>3</v>
      </c>
      <c r="P28" s="35" t="n">
        <v>31</v>
      </c>
      <c r="Q28" s="40" t="inlineStr">
        <is>
          <t>Win</t>
        </is>
      </c>
    </row>
    <row r="29">
      <c r="A29" s="35" t="n">
        <v>5</v>
      </c>
      <c r="B29" s="35" t="inlineStr">
        <is>
          <t>2026-10-04</t>
        </is>
      </c>
      <c r="C29" s="35" t="inlineStr">
        <is>
          <t>Big Ten</t>
        </is>
      </c>
      <c r="D29" s="35" t="inlineStr">
        <is>
          <t>Big Ten</t>
        </is>
      </c>
      <c r="E29" s="35" t="inlineStr">
        <is>
          <t>Indiana</t>
        </is>
      </c>
      <c r="F29" s="35" t="inlineStr">
        <is>
          <t>Rutgers</t>
        </is>
      </c>
      <c r="G29" s="35" t="n">
        <v>26.2</v>
      </c>
      <c r="H29" s="35" t="n">
        <v>24.5</v>
      </c>
      <c r="I29" s="35" t="n">
        <v>-1.7</v>
      </c>
      <c r="J29" s="35" t="n">
        <v>18.8</v>
      </c>
      <c r="K29" s="35" t="n">
        <v>11.1</v>
      </c>
      <c r="L29" s="35" t="n">
        <v>53.8</v>
      </c>
      <c r="M29" s="35" t="n">
        <v>56.8</v>
      </c>
      <c r="N29" s="40" t="n">
        <v>-2.9</v>
      </c>
      <c r="O29" s="35" t="n"/>
      <c r="P29" s="35" t="n"/>
      <c r="Q29" s="35" t="n"/>
    </row>
    <row r="30">
      <c r="A30" s="35" t="n">
        <v>5</v>
      </c>
      <c r="B30" s="35" t="inlineStr">
        <is>
          <t>2026-10-02</t>
        </is>
      </c>
      <c r="C30" s="35" t="inlineStr">
        <is>
          <t>Conference USA</t>
        </is>
      </c>
      <c r="D30" s="35" t="inlineStr">
        <is>
          <t>Conference USA</t>
        </is>
      </c>
      <c r="E30" s="35" t="inlineStr">
        <is>
          <t>Liberty</t>
        </is>
      </c>
      <c r="F30" s="35" t="inlineStr">
        <is>
          <t>Delaware</t>
        </is>
      </c>
      <c r="G30" s="35" t="n">
        <v>1.8</v>
      </c>
      <c r="H30" s="35" t="n">
        <v>6.8</v>
      </c>
      <c r="I30" s="40" t="n">
        <v>5</v>
      </c>
      <c r="J30" s="35" t="n">
        <v>-0.4</v>
      </c>
      <c r="K30" s="35" t="n">
        <v>4.3</v>
      </c>
      <c r="L30" s="35" t="n">
        <v>51</v>
      </c>
      <c r="M30" s="35" t="n">
        <v>49.8</v>
      </c>
      <c r="N30" s="35" t="n">
        <v>1.2</v>
      </c>
      <c r="O30" s="35" t="n">
        <v>30</v>
      </c>
      <c r="P30" s="35" t="n">
        <v>14</v>
      </c>
      <c r="Q30" s="40" t="inlineStr">
        <is>
          <t>Win</t>
        </is>
      </c>
    </row>
    <row r="31">
      <c r="A31" s="35" t="n">
        <v>5</v>
      </c>
      <c r="B31" s="35" t="inlineStr">
        <is>
          <t>2026-10-02</t>
        </is>
      </c>
      <c r="C31" s="35" t="inlineStr">
        <is>
          <t>Conference USA</t>
        </is>
      </c>
      <c r="D31" s="35" t="inlineStr">
        <is>
          <t>Conference USA</t>
        </is>
      </c>
      <c r="E31" s="35" t="inlineStr">
        <is>
          <t>Western Kentucky</t>
        </is>
      </c>
      <c r="F31" s="35" t="inlineStr">
        <is>
          <t>New Mexico State</t>
        </is>
      </c>
      <c r="G31" s="35" t="n">
        <v>-2</v>
      </c>
      <c r="H31" s="35" t="n">
        <v>-1.5</v>
      </c>
      <c r="I31" s="35" t="n">
        <v>0.5</v>
      </c>
      <c r="J31" s="35" t="n">
        <v>9.699999999999999</v>
      </c>
      <c r="K31" s="35" t="n">
        <v>-8</v>
      </c>
      <c r="L31" s="35" t="n">
        <v>55.5</v>
      </c>
      <c r="M31" s="35" t="n">
        <v>55.8</v>
      </c>
      <c r="N31" s="35" t="n">
        <v>-0.2</v>
      </c>
      <c r="O31" s="35" t="n">
        <v>13</v>
      </c>
      <c r="P31" s="35" t="n">
        <v>34</v>
      </c>
      <c r="Q31" s="40" t="inlineStr">
        <is>
          <t>Win</t>
        </is>
      </c>
    </row>
    <row r="32">
      <c r="A32" s="35" t="n">
        <v>5</v>
      </c>
      <c r="B32" s="35" t="inlineStr">
        <is>
          <t>2026-10-03</t>
        </is>
      </c>
      <c r="C32" s="35" t="inlineStr">
        <is>
          <t>FBS Independents</t>
        </is>
      </c>
      <c r="D32" s="35" t="inlineStr">
        <is>
          <t>ACC</t>
        </is>
      </c>
      <c r="E32" s="35" t="inlineStr">
        <is>
          <t>Syracuse</t>
        </is>
      </c>
      <c r="F32" s="35" t="inlineStr">
        <is>
          <t>UConn</t>
        </is>
      </c>
      <c r="G32" s="35" t="n">
        <v>-1.6</v>
      </c>
      <c r="H32" s="35" t="n">
        <v>7</v>
      </c>
      <c r="I32" s="40" t="n">
        <v>8.6</v>
      </c>
      <c r="J32" s="35" t="n">
        <v>-9.800000000000001</v>
      </c>
      <c r="K32" s="35" t="n">
        <v>-1.9</v>
      </c>
      <c r="L32" s="35" t="n">
        <v>48</v>
      </c>
      <c r="M32" s="35" t="n">
        <v>50.5</v>
      </c>
      <c r="N32" s="40" t="n">
        <v>-2.5</v>
      </c>
      <c r="O32" s="35" t="n">
        <v>42</v>
      </c>
      <c r="P32" s="35" t="n">
        <v>41</v>
      </c>
      <c r="Q32" s="41" t="inlineStr">
        <is>
          <t>Loss</t>
        </is>
      </c>
    </row>
    <row r="33">
      <c r="A33" s="35" t="n">
        <v>5</v>
      </c>
      <c r="B33" s="35" t="inlineStr">
        <is>
          <t>2026-10-03</t>
        </is>
      </c>
      <c r="C33" s="35" t="inlineStr">
        <is>
          <t>Mid-American</t>
        </is>
      </c>
      <c r="D33" s="35" t="inlineStr">
        <is>
          <t>Mid-American</t>
        </is>
      </c>
      <c r="E33" s="35" t="inlineStr">
        <is>
          <t>Toledo</t>
        </is>
      </c>
      <c r="F33" s="35" t="inlineStr">
        <is>
          <t>Ball State</t>
        </is>
      </c>
      <c r="G33" s="35" t="n">
        <v>21.2</v>
      </c>
      <c r="H33" s="35" t="n">
        <v>20.5</v>
      </c>
      <c r="I33" s="35" t="n">
        <v>-0.7</v>
      </c>
      <c r="J33" s="35" t="n">
        <v>12</v>
      </c>
      <c r="K33" s="35" t="n">
        <v>15.6</v>
      </c>
      <c r="L33" s="35" t="n">
        <v>52.4</v>
      </c>
      <c r="M33" s="35" t="n">
        <v>52.5</v>
      </c>
      <c r="N33" s="35" t="n">
        <v>-0.1</v>
      </c>
      <c r="O33" s="35" t="n"/>
      <c r="P33" s="35" t="n"/>
      <c r="Q33" s="35" t="n"/>
    </row>
    <row r="34">
      <c r="A34" s="35" t="n">
        <v>5</v>
      </c>
      <c r="B34" s="35" t="inlineStr">
        <is>
          <t>2026-10-03</t>
        </is>
      </c>
      <c r="C34" s="35" t="inlineStr">
        <is>
          <t>Mid-American</t>
        </is>
      </c>
      <c r="D34" s="35" t="inlineStr">
        <is>
          <t>Mid-American</t>
        </is>
      </c>
      <c r="E34" s="35" t="inlineStr">
        <is>
          <t>Western Michigan</t>
        </is>
      </c>
      <c r="F34" s="35" t="inlineStr">
        <is>
          <t>Buffalo</t>
        </is>
      </c>
      <c r="G34" s="35" t="n">
        <v>9.9</v>
      </c>
      <c r="H34" s="35" t="n">
        <v>13.8</v>
      </c>
      <c r="I34" s="40" t="n">
        <v>3.9</v>
      </c>
      <c r="J34" s="35" t="n">
        <v>10.2</v>
      </c>
      <c r="K34" s="35" t="n">
        <v>7.3</v>
      </c>
      <c r="L34" s="35" t="n">
        <v>45.4</v>
      </c>
      <c r="M34" s="35" t="n">
        <v>46.2</v>
      </c>
      <c r="N34" s="35" t="n">
        <v>-0.9</v>
      </c>
      <c r="O34" s="35" t="n">
        <v>20</v>
      </c>
      <c r="P34" s="35" t="n">
        <v>17</v>
      </c>
      <c r="Q34" s="40" t="inlineStr">
        <is>
          <t>Win</t>
        </is>
      </c>
    </row>
    <row r="35">
      <c r="A35" s="35" t="n">
        <v>5</v>
      </c>
      <c r="B35" s="35" t="inlineStr">
        <is>
          <t>2026-10-03</t>
        </is>
      </c>
      <c r="C35" s="35" t="inlineStr">
        <is>
          <t>Mid-American</t>
        </is>
      </c>
      <c r="D35" s="35" t="inlineStr">
        <is>
          <t>Mid-American</t>
        </is>
      </c>
      <c r="E35" s="35" t="inlineStr">
        <is>
          <t>Akron</t>
        </is>
      </c>
      <c r="F35" s="35" t="inlineStr">
        <is>
          <t>Central Michigan</t>
        </is>
      </c>
      <c r="G35" s="35" t="n">
        <v>-9.800000000000001</v>
      </c>
      <c r="H35" s="35" t="n">
        <v>-6.5</v>
      </c>
      <c r="I35" s="40" t="n">
        <v>3.3</v>
      </c>
      <c r="J35" s="35" t="n">
        <v>-6.3</v>
      </c>
      <c r="K35" s="35" t="n">
        <v>-6.4</v>
      </c>
      <c r="L35" s="35" t="n">
        <v>47</v>
      </c>
      <c r="M35" s="35" t="n">
        <v>47.2</v>
      </c>
      <c r="N35" s="35" t="n">
        <v>-0.2</v>
      </c>
      <c r="O35" s="35" t="n"/>
      <c r="P35" s="35" t="n"/>
      <c r="Q35" s="35" t="n"/>
    </row>
    <row r="36">
      <c r="A36" s="35" t="n">
        <v>5</v>
      </c>
      <c r="B36" s="35" t="inlineStr">
        <is>
          <t>2026-10-03</t>
        </is>
      </c>
      <c r="C36" s="35" t="inlineStr">
        <is>
          <t>Mid-American</t>
        </is>
      </c>
      <c r="D36" s="35" t="inlineStr">
        <is>
          <t>Mid-American</t>
        </is>
      </c>
      <c r="E36" s="35" t="inlineStr">
        <is>
          <t>Ohio</t>
        </is>
      </c>
      <c r="F36" s="35" t="inlineStr">
        <is>
          <t>Kent State</t>
        </is>
      </c>
      <c r="G36" s="35" t="n">
        <v>9.1</v>
      </c>
      <c r="H36" s="35" t="n">
        <v>3.5</v>
      </c>
      <c r="I36" s="40" t="n">
        <v>-5.6</v>
      </c>
      <c r="J36" s="35" t="n">
        <v>11</v>
      </c>
      <c r="K36" s="35" t="n">
        <v>9.4</v>
      </c>
      <c r="L36" s="35" t="n">
        <v>53.3</v>
      </c>
      <c r="M36" s="35" t="n">
        <v>50.8</v>
      </c>
      <c r="N36" s="40" t="n">
        <v>2.6</v>
      </c>
      <c r="O36" s="35" t="n"/>
      <c r="P36" s="35" t="n"/>
      <c r="Q36" s="35" t="n"/>
    </row>
    <row r="37">
      <c r="A37" s="35" t="n">
        <v>5</v>
      </c>
      <c r="B37" s="35" t="inlineStr">
        <is>
          <t>2026-10-03</t>
        </is>
      </c>
      <c r="C37" s="35" t="inlineStr">
        <is>
          <t>Mid-American</t>
        </is>
      </c>
      <c r="D37" s="35" t="inlineStr">
        <is>
          <t>Mid-American</t>
        </is>
      </c>
      <c r="E37" s="35" t="inlineStr">
        <is>
          <t>Eastern Michigan</t>
        </is>
      </c>
      <c r="F37" s="35" t="inlineStr">
        <is>
          <t>Massachusetts</t>
        </is>
      </c>
      <c r="G37" s="35" t="n">
        <v>-2.9</v>
      </c>
      <c r="H37" s="35" t="n">
        <v>-5.8</v>
      </c>
      <c r="I37" s="40" t="n">
        <v>-2.8</v>
      </c>
      <c r="J37" s="35" t="n">
        <v>1.3</v>
      </c>
      <c r="K37" s="35" t="n">
        <v>-24.6</v>
      </c>
      <c r="L37" s="35" t="n">
        <v>48.4</v>
      </c>
      <c r="M37" s="35" t="n">
        <v>48.8</v>
      </c>
      <c r="N37" s="35" t="n">
        <v>-0.4</v>
      </c>
      <c r="O37" s="35" t="n"/>
      <c r="P37" s="35" t="n"/>
      <c r="Q37" s="35" t="n"/>
    </row>
    <row r="38">
      <c r="A38" s="35" t="n">
        <v>5</v>
      </c>
      <c r="B38" s="35" t="inlineStr">
        <is>
          <t>2026-10-03</t>
        </is>
      </c>
      <c r="C38" s="35" t="inlineStr">
        <is>
          <t>Mid-American</t>
        </is>
      </c>
      <c r="D38" s="35" t="inlineStr">
        <is>
          <t>Mid-American</t>
        </is>
      </c>
      <c r="E38" s="35" t="inlineStr">
        <is>
          <t>Bowling Green</t>
        </is>
      </c>
      <c r="F38" s="35" t="inlineStr">
        <is>
          <t>Miami (OH)</t>
        </is>
      </c>
      <c r="G38" s="35" t="n">
        <v>-20.1</v>
      </c>
      <c r="H38" s="35" t="n">
        <v>-13.5</v>
      </c>
      <c r="I38" s="40" t="n">
        <v>6.6</v>
      </c>
      <c r="J38" s="35" t="n">
        <v>-13.7</v>
      </c>
      <c r="K38" s="35" t="n">
        <v>-19.9</v>
      </c>
      <c r="L38" s="35" t="n">
        <v>48.6</v>
      </c>
      <c r="M38" s="35" t="n">
        <v>43.5</v>
      </c>
      <c r="N38" s="40" t="n">
        <v>5.1</v>
      </c>
      <c r="O38" s="35" t="n"/>
      <c r="P38" s="35" t="n"/>
      <c r="Q38" s="35" t="n"/>
    </row>
    <row r="39">
      <c r="A39" s="35" t="n">
        <v>5</v>
      </c>
      <c r="B39" s="35" t="inlineStr">
        <is>
          <t>2026-10-03</t>
        </is>
      </c>
      <c r="C39" s="35" t="inlineStr">
        <is>
          <t>Mountain West</t>
        </is>
      </c>
      <c r="D39" s="35" t="inlineStr">
        <is>
          <t>American Athletic</t>
        </is>
      </c>
      <c r="E39" s="35" t="inlineStr">
        <is>
          <t>Navy</t>
        </is>
      </c>
      <c r="F39" s="35" t="inlineStr">
        <is>
          <t>Air Force</t>
        </is>
      </c>
      <c r="G39" s="35" t="n">
        <v>3.2</v>
      </c>
      <c r="H39" s="35" t="n">
        <v>-3.2</v>
      </c>
      <c r="I39" s="40" t="n">
        <v>-6.4</v>
      </c>
      <c r="J39" s="35" t="n">
        <v>-8.6</v>
      </c>
      <c r="K39" s="35" t="n">
        <v>-7.7</v>
      </c>
      <c r="L39" s="35" t="n">
        <v>54.9</v>
      </c>
      <c r="M39" s="35" t="n">
        <v>45.5</v>
      </c>
      <c r="N39" s="40" t="n">
        <v>9.4</v>
      </c>
      <c r="O39" s="35" t="n">
        <v>9</v>
      </c>
      <c r="P39" s="35" t="n">
        <v>14</v>
      </c>
      <c r="Q39" s="41" t="inlineStr">
        <is>
          <t>Loss</t>
        </is>
      </c>
    </row>
    <row r="40">
      <c r="A40" s="35" t="n">
        <v>5</v>
      </c>
      <c r="B40" s="35" t="inlineStr">
        <is>
          <t>2026-10-03</t>
        </is>
      </c>
      <c r="C40" s="35" t="inlineStr">
        <is>
          <t>Mountain West</t>
        </is>
      </c>
      <c r="D40" s="35" t="inlineStr">
        <is>
          <t>Mountain West</t>
        </is>
      </c>
      <c r="E40" s="35" t="inlineStr">
        <is>
          <t>UTEP</t>
        </is>
      </c>
      <c r="F40" s="35" t="inlineStr">
        <is>
          <t>New Mexico</t>
        </is>
      </c>
      <c r="G40" s="35" t="n">
        <v>-31.8</v>
      </c>
      <c r="H40" s="35" t="n">
        <v>-22.5</v>
      </c>
      <c r="I40" s="40" t="n">
        <v>9.300000000000001</v>
      </c>
      <c r="J40" s="35" t="n">
        <v>-22.1</v>
      </c>
      <c r="K40" s="35" t="n">
        <v>-28.2</v>
      </c>
      <c r="L40" s="35" t="n">
        <v>43.7</v>
      </c>
      <c r="M40" s="35" t="n">
        <v>47.8</v>
      </c>
      <c r="N40" s="40" t="n">
        <v>-4.1</v>
      </c>
      <c r="O40" s="35" t="n"/>
      <c r="P40" s="35" t="n"/>
      <c r="Q40" s="35" t="n"/>
    </row>
    <row r="41">
      <c r="A41" s="35" t="n">
        <v>5</v>
      </c>
      <c r="B41" s="35" t="inlineStr">
        <is>
          <t>2026-10-03</t>
        </is>
      </c>
      <c r="C41" s="35" t="inlineStr">
        <is>
          <t>Mountain West</t>
        </is>
      </c>
      <c r="D41" s="35" t="inlineStr">
        <is>
          <t>Mountain West</t>
        </is>
      </c>
      <c r="E41" s="35" t="inlineStr">
        <is>
          <t>Wyoming</t>
        </is>
      </c>
      <c r="F41" s="35" t="inlineStr">
        <is>
          <t>North Dakota State</t>
        </is>
      </c>
      <c r="G41" s="35" t="n">
        <v>-30.3</v>
      </c>
      <c r="H41" s="35" t="n">
        <v>-17.2</v>
      </c>
      <c r="I41" s="40" t="n">
        <v>13.1</v>
      </c>
      <c r="J41" s="35" t="n">
        <v>-22</v>
      </c>
      <c r="K41" s="35" t="n">
        <v>-20.8</v>
      </c>
      <c r="L41" s="35" t="n">
        <v>46.8</v>
      </c>
      <c r="M41" s="35" t="n">
        <v>44.5</v>
      </c>
      <c r="N41" s="40" t="n">
        <v>2.3</v>
      </c>
      <c r="O41" s="35" t="n"/>
      <c r="P41" s="35" t="n"/>
      <c r="Q41" s="35" t="n"/>
    </row>
    <row r="42">
      <c r="A42" s="35" t="n">
        <v>5</v>
      </c>
      <c r="B42" s="35" t="inlineStr">
        <is>
          <t>2026-10-03</t>
        </is>
      </c>
      <c r="C42" s="35" t="inlineStr">
        <is>
          <t>Mountain West</t>
        </is>
      </c>
      <c r="D42" s="35" t="inlineStr">
        <is>
          <t>ACC</t>
        </is>
      </c>
      <c r="E42" s="35" t="inlineStr">
        <is>
          <t>California</t>
        </is>
      </c>
      <c r="F42" s="35" t="inlineStr">
        <is>
          <t>UNLV</t>
        </is>
      </c>
      <c r="G42" s="35" t="n">
        <v>-5.3</v>
      </c>
      <c r="H42" s="35" t="n">
        <v>-2.8</v>
      </c>
      <c r="I42" s="40" t="n">
        <v>2.6</v>
      </c>
      <c r="J42" s="35" t="n">
        <v>-15.5</v>
      </c>
      <c r="K42" s="35" t="n">
        <v>-3.1</v>
      </c>
      <c r="L42" s="35" t="n">
        <v>45.5</v>
      </c>
      <c r="M42" s="35" t="n">
        <v>53.5</v>
      </c>
      <c r="N42" s="40" t="n">
        <v>-8</v>
      </c>
      <c r="O42" s="35" t="n"/>
      <c r="P42" s="35" t="n"/>
      <c r="Q42" s="35" t="n"/>
    </row>
    <row r="43">
      <c r="A43" s="35" t="n">
        <v>5</v>
      </c>
      <c r="B43" s="35" t="inlineStr">
        <is>
          <t>2026-10-04</t>
        </is>
      </c>
      <c r="C43" s="35" t="inlineStr">
        <is>
          <t>Mountain West</t>
        </is>
      </c>
      <c r="D43" s="35" t="inlineStr">
        <is>
          <t>Mountain West</t>
        </is>
      </c>
      <c r="E43" s="35" t="inlineStr">
        <is>
          <t>San José State</t>
        </is>
      </c>
      <c r="F43" s="35" t="inlineStr">
        <is>
          <t>Hawai'i</t>
        </is>
      </c>
      <c r="G43" s="35" t="n">
        <v>-6.8</v>
      </c>
      <c r="H43" s="35" t="n">
        <v>-3</v>
      </c>
      <c r="I43" s="40" t="n">
        <v>3.8</v>
      </c>
      <c r="J43" s="35" t="n">
        <v>-6.7</v>
      </c>
      <c r="K43" s="35" t="n">
        <v>2.1</v>
      </c>
      <c r="L43" s="35" t="n">
        <v>48.5</v>
      </c>
      <c r="M43" s="35" t="n">
        <v>50.5</v>
      </c>
      <c r="N43" s="40" t="n">
        <v>-2</v>
      </c>
      <c r="O43" s="35" t="n"/>
      <c r="P43" s="35" t="n"/>
      <c r="Q43" s="35" t="n"/>
    </row>
    <row r="44">
      <c r="A44" s="35" t="n">
        <v>5</v>
      </c>
      <c r="B44" s="35" t="inlineStr">
        <is>
          <t>2026-10-03</t>
        </is>
      </c>
      <c r="C44" s="35" t="inlineStr">
        <is>
          <t>Pac-12</t>
        </is>
      </c>
      <c r="D44" s="35" t="inlineStr">
        <is>
          <t>Pac-12</t>
        </is>
      </c>
      <c r="E44" s="35" t="inlineStr">
        <is>
          <t>Utah State</t>
        </is>
      </c>
      <c r="F44" s="35" t="inlineStr">
        <is>
          <t>Boise State</t>
        </is>
      </c>
      <c r="G44" s="35" t="n">
        <v>-14.8</v>
      </c>
      <c r="H44" s="35" t="n">
        <v>-18.5</v>
      </c>
      <c r="I44" s="40" t="n">
        <v>-3.7</v>
      </c>
      <c r="J44" s="35" t="n">
        <v>-18.4</v>
      </c>
      <c r="K44" s="35" t="n">
        <v>-17.6</v>
      </c>
      <c r="L44" s="35" t="n">
        <v>49.6</v>
      </c>
      <c r="M44" s="35" t="n">
        <v>51.5</v>
      </c>
      <c r="N44" s="35" t="n">
        <v>-1.9</v>
      </c>
      <c r="O44" s="35" t="n"/>
      <c r="P44" s="35" t="n"/>
      <c r="Q44" s="35" t="n"/>
    </row>
    <row r="45">
      <c r="A45" s="35" t="n">
        <v>5</v>
      </c>
      <c r="B45" s="35" t="inlineStr">
        <is>
          <t>2026-10-03</t>
        </is>
      </c>
      <c r="C45" s="35" t="inlineStr">
        <is>
          <t>Pac-12</t>
        </is>
      </c>
      <c r="D45" s="35" t="inlineStr">
        <is>
          <t>Pac-12</t>
        </is>
      </c>
      <c r="E45" s="35" t="inlineStr">
        <is>
          <t>Oregon State</t>
        </is>
      </c>
      <c r="F45" s="35" t="inlineStr">
        <is>
          <t>Colorado State</t>
        </is>
      </c>
      <c r="G45" s="35" t="n">
        <v>1.6</v>
      </c>
      <c r="H45" s="35" t="n">
        <v>6.5</v>
      </c>
      <c r="I45" s="40" t="n">
        <v>4.9</v>
      </c>
      <c r="J45" s="35" t="n">
        <v>-1.3</v>
      </c>
      <c r="K45" s="35" t="n">
        <v>-0.1</v>
      </c>
      <c r="L45" s="35" t="n">
        <v>56.2</v>
      </c>
      <c r="M45" s="35" t="n">
        <v>62.2</v>
      </c>
      <c r="N45" s="40" t="n">
        <v>-6</v>
      </c>
      <c r="O45" s="35" t="n"/>
      <c r="P45" s="35" t="n"/>
      <c r="Q45" s="35" t="n"/>
    </row>
    <row r="46">
      <c r="A46" s="35" t="n">
        <v>5</v>
      </c>
      <c r="B46" s="35" t="inlineStr">
        <is>
          <t>2026-10-04</t>
        </is>
      </c>
      <c r="C46" s="35" t="inlineStr">
        <is>
          <t>Pac-12</t>
        </is>
      </c>
      <c r="D46" s="35" t="inlineStr">
        <is>
          <t>Pac-12</t>
        </is>
      </c>
      <c r="E46" s="35" t="inlineStr">
        <is>
          <t>Texas State</t>
        </is>
      </c>
      <c r="F46" s="35" t="inlineStr">
        <is>
          <t>San Diego State</t>
        </is>
      </c>
      <c r="G46" s="35" t="n">
        <v>3.8</v>
      </c>
      <c r="H46" s="35" t="n">
        <v>8.5</v>
      </c>
      <c r="I46" s="40" t="n">
        <v>4.7</v>
      </c>
      <c r="J46" s="35" t="n">
        <v>2.7</v>
      </c>
      <c r="K46" s="35" t="n">
        <v>-0.7</v>
      </c>
      <c r="L46" s="35" t="n">
        <v>53.6</v>
      </c>
      <c r="M46" s="35" t="n">
        <v>57.5</v>
      </c>
      <c r="N46" s="40" t="n">
        <v>-3.9</v>
      </c>
      <c r="O46" s="35" t="n"/>
      <c r="P46" s="35" t="n"/>
      <c r="Q46" s="35" t="n"/>
    </row>
    <row r="47">
      <c r="A47" s="35" t="n">
        <v>5</v>
      </c>
      <c r="B47" s="35" t="inlineStr">
        <is>
          <t>2026-10-04</t>
        </is>
      </c>
      <c r="C47" s="35" t="inlineStr">
        <is>
          <t>Pac-12</t>
        </is>
      </c>
      <c r="D47" s="35" t="inlineStr">
        <is>
          <t>Pac-12</t>
        </is>
      </c>
      <c r="E47" s="35" t="inlineStr">
        <is>
          <t>Fresno State</t>
        </is>
      </c>
      <c r="F47" s="35" t="inlineStr">
        <is>
          <t>Washington State</t>
        </is>
      </c>
      <c r="G47" s="35" t="n">
        <v>-7.8</v>
      </c>
      <c r="H47" s="35" t="n">
        <v>-1.8</v>
      </c>
      <c r="I47" s="40" t="n">
        <v>6.1</v>
      </c>
      <c r="J47" s="35" t="n">
        <v>2.5</v>
      </c>
      <c r="K47" s="35" t="n">
        <v>1.7</v>
      </c>
      <c r="L47" s="35" t="n">
        <v>41.4</v>
      </c>
      <c r="M47" s="35" t="n">
        <v>45.5</v>
      </c>
      <c r="N47" s="40" t="n">
        <v>-4.1</v>
      </c>
      <c r="O47" s="35" t="n"/>
      <c r="P47" s="35" t="n"/>
      <c r="Q47" s="35" t="n"/>
    </row>
    <row r="48">
      <c r="A48" s="35" t="n">
        <v>5</v>
      </c>
      <c r="B48" s="35" t="inlineStr">
        <is>
          <t>2026-10-03</t>
        </is>
      </c>
      <c r="C48" s="35" t="inlineStr">
        <is>
          <t>SEC</t>
        </is>
      </c>
      <c r="D48" s="35" t="inlineStr">
        <is>
          <t>SEC</t>
        </is>
      </c>
      <c r="E48" s="35" t="inlineStr">
        <is>
          <t>Vanderbilt</t>
        </is>
      </c>
      <c r="F48" s="35" t="inlineStr">
        <is>
          <t>Georgia</t>
        </is>
      </c>
      <c r="G48" s="35" t="n">
        <v>-17.2</v>
      </c>
      <c r="H48" s="35" t="n">
        <v>-25.2</v>
      </c>
      <c r="I48" s="40" t="n">
        <v>-8</v>
      </c>
      <c r="J48" s="35" t="n">
        <v>-20.6</v>
      </c>
      <c r="K48" s="35" t="n">
        <v>-23.4</v>
      </c>
      <c r="L48" s="35" t="n">
        <v>49</v>
      </c>
      <c r="M48" s="35" t="n">
        <v>50.8</v>
      </c>
      <c r="N48" s="35" t="n">
        <v>-1.8</v>
      </c>
      <c r="O48" s="35" t="n">
        <v>14</v>
      </c>
      <c r="P48" s="35" t="n">
        <v>38</v>
      </c>
      <c r="Q48" s="40" t="inlineStr">
        <is>
          <t>Win</t>
        </is>
      </c>
    </row>
    <row r="49">
      <c r="A49" s="35" t="n">
        <v>5</v>
      </c>
      <c r="B49" s="35" t="inlineStr">
        <is>
          <t>2026-10-03</t>
        </is>
      </c>
      <c r="C49" s="35" t="inlineStr">
        <is>
          <t>SEC</t>
        </is>
      </c>
      <c r="D49" s="35" t="inlineStr">
        <is>
          <t>Southland</t>
        </is>
      </c>
      <c r="E49" s="35" t="inlineStr">
        <is>
          <t>McNeese</t>
        </is>
      </c>
      <c r="F49" s="35" t="inlineStr">
        <is>
          <t>LSU</t>
        </is>
      </c>
      <c r="G49" s="35" t="n">
        <v>-61.5</v>
      </c>
      <c r="H49" s="35" t="n">
        <v>-52.8</v>
      </c>
      <c r="I49" s="40" t="n">
        <v>8.699999999999999</v>
      </c>
      <c r="J49" s="35" t="n">
        <v>-40.8</v>
      </c>
      <c r="K49" s="35" t="n">
        <v>-23.6</v>
      </c>
      <c r="L49" s="35" t="n">
        <v>57.7</v>
      </c>
      <c r="M49" s="35" t="n">
        <v>61.5</v>
      </c>
      <c r="N49" s="40" t="n">
        <v>-3.8</v>
      </c>
      <c r="O49" s="35" t="n"/>
      <c r="P49" s="35" t="n"/>
      <c r="Q49" s="35" t="n"/>
    </row>
    <row r="50">
      <c r="A50" s="35" t="n">
        <v>5</v>
      </c>
      <c r="B50" s="35" t="inlineStr">
        <is>
          <t>2026-10-03</t>
        </is>
      </c>
      <c r="C50" s="35" t="inlineStr">
        <is>
          <t>SEC</t>
        </is>
      </c>
      <c r="D50" s="35" t="inlineStr">
        <is>
          <t>SEC</t>
        </is>
      </c>
      <c r="E50" s="35" t="inlineStr">
        <is>
          <t>Alabama</t>
        </is>
      </c>
      <c r="F50" s="35" t="inlineStr">
        <is>
          <t>Mississippi State</t>
        </is>
      </c>
      <c r="G50" s="35" t="n">
        <v>11.7</v>
      </c>
      <c r="H50" s="35" t="n">
        <v>5.8</v>
      </c>
      <c r="I50" s="40" t="n">
        <v>-6</v>
      </c>
      <c r="J50" s="35" t="n">
        <v>12.2</v>
      </c>
      <c r="K50" s="35" t="n">
        <v>-0.2</v>
      </c>
      <c r="L50" s="35" t="n">
        <v>55.4</v>
      </c>
      <c r="M50" s="35" t="n">
        <v>60.2</v>
      </c>
      <c r="N50" s="40" t="n">
        <v>-4.9</v>
      </c>
      <c r="O50" s="35" t="n">
        <v>56</v>
      </c>
      <c r="P50" s="35" t="n">
        <v>23</v>
      </c>
      <c r="Q50" s="40" t="inlineStr">
        <is>
          <t>Win</t>
        </is>
      </c>
    </row>
    <row r="51">
      <c r="A51" s="35" t="n">
        <v>5</v>
      </c>
      <c r="B51" s="35" t="inlineStr">
        <is>
          <t>2026-10-03</t>
        </is>
      </c>
      <c r="C51" s="35" t="inlineStr">
        <is>
          <t>SEC</t>
        </is>
      </c>
      <c r="D51" s="35" t="inlineStr">
        <is>
          <t>SEC</t>
        </is>
      </c>
      <c r="E51" s="35" t="inlineStr">
        <is>
          <t>Florida</t>
        </is>
      </c>
      <c r="F51" s="35" t="inlineStr">
        <is>
          <t>Missouri</t>
        </is>
      </c>
      <c r="G51" s="35" t="n">
        <v>2.9</v>
      </c>
      <c r="H51" s="35" t="n">
        <v>5.5</v>
      </c>
      <c r="I51" s="40" t="n">
        <v>2.6</v>
      </c>
      <c r="J51" s="35" t="n">
        <v>0.8</v>
      </c>
      <c r="K51" s="35" t="n">
        <v>4.7</v>
      </c>
      <c r="L51" s="35" t="n">
        <v>51.1</v>
      </c>
      <c r="M51" s="35" t="n">
        <v>57.5</v>
      </c>
      <c r="N51" s="40" t="n">
        <v>-6.4</v>
      </c>
      <c r="O51" s="35" t="n"/>
      <c r="P51" s="35" t="n"/>
      <c r="Q51" s="35" t="n"/>
    </row>
    <row r="52">
      <c r="A52" s="35" t="n">
        <v>5</v>
      </c>
      <c r="B52" s="35" t="inlineStr">
        <is>
          <t>2026-10-03</t>
        </is>
      </c>
      <c r="C52" s="35" t="inlineStr">
        <is>
          <t>SEC</t>
        </is>
      </c>
      <c r="D52" s="35" t="inlineStr">
        <is>
          <t>SEC</t>
        </is>
      </c>
      <c r="E52" s="35" t="inlineStr">
        <is>
          <t>Kentucky</t>
        </is>
      </c>
      <c r="F52" s="35" t="inlineStr">
        <is>
          <t>South Carolina</t>
        </is>
      </c>
      <c r="G52" s="35" t="n">
        <v>-12.9</v>
      </c>
      <c r="H52" s="35" t="n">
        <v>-3</v>
      </c>
      <c r="I52" s="40" t="n">
        <v>9.9</v>
      </c>
      <c r="J52" s="35" t="n">
        <v>-4</v>
      </c>
      <c r="K52" s="35" t="n">
        <v>-5.3</v>
      </c>
      <c r="L52" s="35" t="n">
        <v>51.9</v>
      </c>
      <c r="M52" s="35" t="n">
        <v>54.2</v>
      </c>
      <c r="N52" s="40" t="n">
        <v>-2.4</v>
      </c>
      <c r="O52" s="35" t="n"/>
      <c r="P52" s="35" t="n"/>
      <c r="Q52" s="35" t="n"/>
    </row>
    <row r="53">
      <c r="A53" s="35" t="n">
        <v>5</v>
      </c>
      <c r="B53" s="35" t="inlineStr">
        <is>
          <t>2026-10-03</t>
        </is>
      </c>
      <c r="C53" s="35" t="inlineStr">
        <is>
          <t>SEC</t>
        </is>
      </c>
      <c r="D53" s="35" t="inlineStr">
        <is>
          <t>SEC</t>
        </is>
      </c>
      <c r="E53" s="35" t="inlineStr">
        <is>
          <t>Auburn</t>
        </is>
      </c>
      <c r="F53" s="35" t="inlineStr">
        <is>
          <t>Tennessee</t>
        </is>
      </c>
      <c r="G53" s="35" t="n">
        <v>-11.3</v>
      </c>
      <c r="H53" s="35" t="n">
        <v>-7</v>
      </c>
      <c r="I53" s="40" t="n">
        <v>4.3</v>
      </c>
      <c r="J53" s="35" t="n">
        <v>-14.1</v>
      </c>
      <c r="K53" s="35" t="n">
        <v>-11</v>
      </c>
      <c r="L53" s="35" t="n">
        <v>48</v>
      </c>
      <c r="M53" s="35" t="n">
        <v>53.8</v>
      </c>
      <c r="N53" s="40" t="n">
        <v>-5.7</v>
      </c>
      <c r="O53" s="35" t="n"/>
      <c r="P53" s="35" t="n"/>
      <c r="Q53" s="35" t="n"/>
    </row>
    <row r="54">
      <c r="A54" s="35" t="n">
        <v>5</v>
      </c>
      <c r="B54" s="35" t="inlineStr">
        <is>
          <t>2026-10-03</t>
        </is>
      </c>
      <c r="C54" s="35" t="inlineStr">
        <is>
          <t>SEC</t>
        </is>
      </c>
      <c r="D54" s="35" t="inlineStr">
        <is>
          <t>SEC</t>
        </is>
      </c>
      <c r="E54" s="35" t="inlineStr">
        <is>
          <t>Arkansas</t>
        </is>
      </c>
      <c r="F54" s="35" t="inlineStr">
        <is>
          <t>Texas A&amp;M</t>
        </is>
      </c>
      <c r="G54" s="35" t="n">
        <v>-17</v>
      </c>
      <c r="H54" s="35" t="n">
        <v>-14</v>
      </c>
      <c r="I54" s="40" t="n">
        <v>3</v>
      </c>
      <c r="J54" s="35" t="n">
        <v>-16.9</v>
      </c>
      <c r="K54" s="35" t="n">
        <v>-9.699999999999999</v>
      </c>
      <c r="L54" s="35" t="n">
        <v>49</v>
      </c>
      <c r="M54" s="35" t="n">
        <v>50.2</v>
      </c>
      <c r="N54" s="35" t="n">
        <v>-1.3</v>
      </c>
      <c r="O54" s="35" t="n"/>
      <c r="P54" s="35" t="n"/>
      <c r="Q54" s="35" t="n"/>
    </row>
    <row r="55">
      <c r="A55" s="35" t="n">
        <v>5</v>
      </c>
      <c r="B55" s="35" t="inlineStr">
        <is>
          <t>2026-10-03</t>
        </is>
      </c>
      <c r="C55" s="35" t="inlineStr">
        <is>
          <t>Sun Belt</t>
        </is>
      </c>
      <c r="D55" s="35" t="inlineStr">
        <is>
          <t>Sun Belt</t>
        </is>
      </c>
      <c r="E55" s="35" t="inlineStr">
        <is>
          <t>Georgia Southern</t>
        </is>
      </c>
      <c r="F55" s="35" t="inlineStr">
        <is>
          <t>Coastal Carolina</t>
        </is>
      </c>
      <c r="G55" s="35" t="n">
        <v>0.2</v>
      </c>
      <c r="H55" s="35" t="n">
        <v>1.5</v>
      </c>
      <c r="I55" s="35" t="n">
        <v>1.3</v>
      </c>
      <c r="J55" s="35" t="n">
        <v>0.3</v>
      </c>
      <c r="K55" s="35" t="n">
        <v>-3.7</v>
      </c>
      <c r="L55" s="35" t="n">
        <v>55.6</v>
      </c>
      <c r="M55" s="35" t="n">
        <v>53.8</v>
      </c>
      <c r="N55" s="35" t="n">
        <v>1.9</v>
      </c>
      <c r="O55" s="35" t="n"/>
      <c r="P55" s="35" t="n"/>
      <c r="Q55" s="35" t="n"/>
    </row>
    <row r="56">
      <c r="A56" s="35" t="n">
        <v>5</v>
      </c>
      <c r="B56" s="35" t="inlineStr">
        <is>
          <t>2026-10-03</t>
        </is>
      </c>
      <c r="C56" s="35" t="inlineStr">
        <is>
          <t>Sun Belt</t>
        </is>
      </c>
      <c r="D56" s="35" t="inlineStr">
        <is>
          <t>Sun Belt</t>
        </is>
      </c>
      <c r="E56" s="35" t="inlineStr">
        <is>
          <t>Old Dominion</t>
        </is>
      </c>
      <c r="F56" s="35" t="inlineStr">
        <is>
          <t>Georgia State</t>
        </is>
      </c>
      <c r="G56" s="35" t="n">
        <v>11.1</v>
      </c>
      <c r="H56" s="35" t="n">
        <v>-2.5</v>
      </c>
      <c r="I56" s="40" t="n">
        <v>-13.6</v>
      </c>
      <c r="J56" s="35" t="n">
        <v>-0.2</v>
      </c>
      <c r="K56" s="35" t="n">
        <v>-18.2</v>
      </c>
      <c r="L56" s="35" t="n">
        <v>48.5</v>
      </c>
      <c r="M56" s="35" t="n">
        <v>51.5</v>
      </c>
      <c r="N56" s="40" t="n">
        <v>-3</v>
      </c>
      <c r="O56" s="35" t="n"/>
      <c r="P56" s="35" t="n"/>
      <c r="Q56" s="35" t="n"/>
    </row>
    <row r="57">
      <c r="A57" s="35" t="n">
        <v>5</v>
      </c>
      <c r="B57" s="35" t="inlineStr">
        <is>
          <t>2026-10-03</t>
        </is>
      </c>
      <c r="C57" s="35" t="inlineStr">
        <is>
          <t>Sun Belt</t>
        </is>
      </c>
      <c r="D57" s="35" t="inlineStr">
        <is>
          <t>Sun Belt</t>
        </is>
      </c>
      <c r="E57" s="35" t="inlineStr">
        <is>
          <t>Marshall</t>
        </is>
      </c>
      <c r="F57" s="35" t="inlineStr">
        <is>
          <t>James Madison</t>
        </is>
      </c>
      <c r="G57" s="35" t="n">
        <v>-28.8</v>
      </c>
      <c r="H57" s="35" t="n">
        <v>-19.2</v>
      </c>
      <c r="I57" s="40" t="n">
        <v>9.6</v>
      </c>
      <c r="J57" s="35" t="n">
        <v>-12.4</v>
      </c>
      <c r="K57" s="35" t="n">
        <v>-26.5</v>
      </c>
      <c r="L57" s="35" t="n">
        <v>56.2</v>
      </c>
      <c r="M57" s="35" t="n">
        <v>56.2</v>
      </c>
      <c r="N57" s="35" t="n">
        <v>0</v>
      </c>
      <c r="O57" s="35" t="n"/>
      <c r="P57" s="35" t="n"/>
      <c r="Q57" s="35" t="n"/>
    </row>
    <row r="58">
      <c r="A58" s="35" t="n">
        <v>5</v>
      </c>
      <c r="B58" s="35" t="inlineStr">
        <is>
          <t>2026-10-03</t>
        </is>
      </c>
      <c r="C58" s="35" t="inlineStr">
        <is>
          <t>Sun Belt</t>
        </is>
      </c>
      <c r="D58" s="35" t="inlineStr">
        <is>
          <t>American Athletic</t>
        </is>
      </c>
      <c r="E58" s="35" t="inlineStr">
        <is>
          <t>Army</t>
        </is>
      </c>
      <c r="F58" s="35" t="inlineStr">
        <is>
          <t>Louisiana Tech</t>
        </is>
      </c>
      <c r="G58" s="35" t="n">
        <v>3.5</v>
      </c>
      <c r="H58" s="35" t="n">
        <v>1.5</v>
      </c>
      <c r="I58" s="40" t="n">
        <v>-2</v>
      </c>
      <c r="J58" s="35" t="n">
        <v>-8.1</v>
      </c>
      <c r="K58" s="35" t="n">
        <v>-1.8</v>
      </c>
      <c r="L58" s="35" t="n">
        <v>53.3</v>
      </c>
      <c r="M58" s="35" t="n">
        <v>47.5</v>
      </c>
      <c r="N58" s="40" t="n">
        <v>5.8</v>
      </c>
      <c r="O58" s="35" t="n"/>
      <c r="P58" s="35" t="n"/>
      <c r="Q58" s="35" t="n"/>
    </row>
    <row r="59">
      <c r="A59" s="35" t="n">
        <v>5</v>
      </c>
      <c r="B59" s="35" t="inlineStr">
        <is>
          <t>2026-10-03</t>
        </is>
      </c>
      <c r="C59" s="35" t="inlineStr">
        <is>
          <t>Sun Belt</t>
        </is>
      </c>
      <c r="D59" s="35" t="inlineStr">
        <is>
          <t>Sun Belt</t>
        </is>
      </c>
      <c r="E59" s="35" t="inlineStr">
        <is>
          <t>UL Monroe</t>
        </is>
      </c>
      <c r="F59" s="35" t="inlineStr">
        <is>
          <t>South Alabama</t>
        </is>
      </c>
      <c r="G59" s="35" t="n">
        <v>-15.6</v>
      </c>
      <c r="H59" s="35" t="n">
        <v>-14</v>
      </c>
      <c r="I59" s="35" t="n">
        <v>1.6</v>
      </c>
      <c r="J59" s="35" t="n">
        <v>-21</v>
      </c>
      <c r="K59" s="35" t="n">
        <v>-18</v>
      </c>
      <c r="L59" s="35" t="n">
        <v>56.6</v>
      </c>
      <c r="M59" s="35" t="n">
        <v>57.5</v>
      </c>
      <c r="N59" s="35" t="n">
        <v>-0.9</v>
      </c>
      <c r="O59" s="35" t="n"/>
      <c r="P59" s="35" t="n"/>
      <c r="Q59" s="35" t="n"/>
    </row>
    <row r="60">
      <c r="A60" s="35" t="n">
        <v>5</v>
      </c>
      <c r="B60" s="35" t="inlineStr">
        <is>
          <t>2026-10-04</t>
        </is>
      </c>
      <c r="C60" s="35" t="inlineStr">
        <is>
          <t>Sun Belt</t>
        </is>
      </c>
      <c r="D60" s="35" t="inlineStr">
        <is>
          <t>Sun Belt</t>
        </is>
      </c>
      <c r="E60" s="35" t="inlineStr">
        <is>
          <t>Arkansas State</t>
        </is>
      </c>
      <c r="F60" s="35" t="inlineStr">
        <is>
          <t>Louisiana</t>
        </is>
      </c>
      <c r="G60" s="35" t="n">
        <v>-4.3</v>
      </c>
      <c r="H60" s="35" t="n">
        <v>-6.5</v>
      </c>
      <c r="I60" s="40" t="n">
        <v>-2.2</v>
      </c>
      <c r="J60" s="35" t="n">
        <v>-7.4</v>
      </c>
      <c r="K60" s="35" t="n">
        <v>-10.4</v>
      </c>
      <c r="L60" s="35" t="n">
        <v>51.4</v>
      </c>
      <c r="M60" s="35" t="n">
        <v>47.8</v>
      </c>
      <c r="N60" s="40" t="n">
        <v>3.7</v>
      </c>
      <c r="O60" s="35" t="n"/>
      <c r="P60" s="35" t="n"/>
      <c r="Q60" s="35" t="n"/>
    </row>
  </sheetData>
  <autoFilter ref="A1:Q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topLeftCell="C14" workbookViewId="0">
      <selection activeCell="H6" sqref="H6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ACC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Miami</t>
        </is>
      </c>
      <c r="B3" s="35" t="n">
        <v>2</v>
      </c>
      <c r="C3" s="35" t="n">
        <v>0</v>
      </c>
      <c r="D3" s="35" t="n">
        <v>1</v>
      </c>
      <c r="E3" s="35" t="n">
        <v>4</v>
      </c>
      <c r="F3" s="35" t="n">
        <v>0</v>
      </c>
    </row>
    <row r="4">
      <c r="A4" s="35" t="inlineStr">
        <is>
          <t>Pittsburgh</t>
        </is>
      </c>
      <c r="B4" s="35" t="n">
        <v>2</v>
      </c>
      <c r="C4" s="35" t="n">
        <v>0</v>
      </c>
      <c r="D4" s="35" t="n">
        <v>1</v>
      </c>
      <c r="E4" s="35" t="n">
        <v>5</v>
      </c>
      <c r="F4" s="35" t="n">
        <v>0</v>
      </c>
    </row>
    <row r="5">
      <c r="A5" s="35" t="inlineStr">
        <is>
          <t>Clemson</t>
        </is>
      </c>
      <c r="B5" s="35" t="n">
        <v>2</v>
      </c>
      <c r="C5" s="35" t="n">
        <v>0</v>
      </c>
      <c r="D5" s="35" t="n">
        <v>1</v>
      </c>
      <c r="E5" s="35" t="n">
        <v>3</v>
      </c>
      <c r="F5" s="35" t="n">
        <v>1</v>
      </c>
    </row>
    <row r="6">
      <c r="A6" s="35" t="inlineStr">
        <is>
          <t>Duke</t>
        </is>
      </c>
      <c r="B6" s="35" t="n">
        <v>1</v>
      </c>
      <c r="C6" s="35" t="n">
        <v>0</v>
      </c>
      <c r="D6" s="35" t="n">
        <v>1</v>
      </c>
      <c r="E6" s="35" t="n">
        <v>4</v>
      </c>
      <c r="F6" s="35" t="n">
        <v>0</v>
      </c>
    </row>
    <row r="7">
      <c r="A7" s="35" t="inlineStr">
        <is>
          <t>Virginia</t>
        </is>
      </c>
      <c r="B7" s="35" t="n">
        <v>1</v>
      </c>
      <c r="C7" s="35" t="n">
        <v>0</v>
      </c>
      <c r="D7" s="35" t="n">
        <v>1</v>
      </c>
      <c r="E7" s="35" t="n">
        <v>3</v>
      </c>
      <c r="F7" s="35" t="n">
        <v>1</v>
      </c>
    </row>
    <row r="8">
      <c r="A8" s="35" t="inlineStr">
        <is>
          <t>SMU</t>
        </is>
      </c>
      <c r="B8" s="35" t="n">
        <v>2</v>
      </c>
      <c r="C8" s="35" t="n">
        <v>1</v>
      </c>
      <c r="D8" s="35" t="n">
        <v>0.667</v>
      </c>
      <c r="E8" s="35" t="n">
        <v>4</v>
      </c>
      <c r="F8" s="35" t="n">
        <v>1</v>
      </c>
    </row>
    <row r="9">
      <c r="A9" s="35" t="inlineStr">
        <is>
          <t>Wake Forest</t>
        </is>
      </c>
      <c r="B9" s="35" t="n">
        <v>2</v>
      </c>
      <c r="C9" s="35" t="n">
        <v>1</v>
      </c>
      <c r="D9" s="35" t="n">
        <v>0.667</v>
      </c>
      <c r="E9" s="35" t="n">
        <v>4</v>
      </c>
      <c r="F9" s="35" t="n">
        <v>1</v>
      </c>
    </row>
    <row r="10">
      <c r="A10" s="35" t="inlineStr">
        <is>
          <t>Virginia Tech</t>
        </is>
      </c>
      <c r="B10" s="35" t="n">
        <v>1</v>
      </c>
      <c r="C10" s="35" t="n">
        <v>1</v>
      </c>
      <c r="D10" s="35" t="n">
        <v>0.5</v>
      </c>
      <c r="E10" s="35" t="n">
        <v>4</v>
      </c>
      <c r="F10" s="35" t="n">
        <v>1</v>
      </c>
    </row>
    <row r="11">
      <c r="A11" s="35" t="inlineStr">
        <is>
          <t>California</t>
        </is>
      </c>
      <c r="B11" s="35" t="n">
        <v>1</v>
      </c>
      <c r="C11" s="35" t="n">
        <v>1</v>
      </c>
      <c r="D11" s="35" t="n">
        <v>0.5</v>
      </c>
      <c r="E11" s="35" t="n">
        <v>2</v>
      </c>
      <c r="F11" s="35" t="n">
        <v>2</v>
      </c>
    </row>
    <row r="12">
      <c r="A12" s="35" t="inlineStr">
        <is>
          <t>Louisville</t>
        </is>
      </c>
      <c r="B12" s="35" t="n">
        <v>1</v>
      </c>
      <c r="C12" s="35" t="n">
        <v>1</v>
      </c>
      <c r="D12" s="35" t="n">
        <v>0.5</v>
      </c>
      <c r="E12" s="35" t="n">
        <v>2</v>
      </c>
      <c r="F12" s="35" t="n">
        <v>2</v>
      </c>
    </row>
    <row r="13">
      <c r="A13" s="35" t="inlineStr">
        <is>
          <t>Stanford</t>
        </is>
      </c>
      <c r="B13" s="35" t="n">
        <v>1</v>
      </c>
      <c r="C13" s="35" t="n">
        <v>3</v>
      </c>
      <c r="D13" s="35" t="n">
        <v>0.25</v>
      </c>
      <c r="E13" s="35" t="n">
        <v>2</v>
      </c>
      <c r="F13" s="35" t="n">
        <v>3</v>
      </c>
    </row>
    <row r="14">
      <c r="A14" s="35" t="inlineStr">
        <is>
          <t>Florida State</t>
        </is>
      </c>
      <c r="B14" s="35" t="n">
        <v>0</v>
      </c>
      <c r="C14" s="35" t="n">
        <v>1</v>
      </c>
      <c r="D14" s="35" t="n">
        <v>0</v>
      </c>
      <c r="E14" s="35" t="n">
        <v>2</v>
      </c>
      <c r="F14" s="35" t="n">
        <v>2</v>
      </c>
    </row>
    <row r="15">
      <c r="A15" s="35" t="inlineStr">
        <is>
          <t>NC State</t>
        </is>
      </c>
      <c r="B15" s="35" t="n">
        <v>0</v>
      </c>
      <c r="C15" s="35" t="n">
        <v>1</v>
      </c>
      <c r="D15" s="35" t="n">
        <v>0</v>
      </c>
      <c r="E15" s="35" t="n">
        <v>2</v>
      </c>
      <c r="F15" s="35" t="n">
        <v>2</v>
      </c>
    </row>
    <row r="16">
      <c r="A16" s="35" t="inlineStr">
        <is>
          <t>North Carolina</t>
        </is>
      </c>
      <c r="B16" s="35" t="n">
        <v>0</v>
      </c>
      <c r="C16" s="35" t="n">
        <v>1</v>
      </c>
      <c r="D16" s="35" t="n">
        <v>0</v>
      </c>
      <c r="E16" s="35" t="n">
        <v>2</v>
      </c>
      <c r="F16" s="35" t="n">
        <v>2</v>
      </c>
    </row>
    <row r="17">
      <c r="A17" s="35" t="inlineStr">
        <is>
          <t>Syracuse</t>
        </is>
      </c>
      <c r="B17" s="35" t="n">
        <v>0</v>
      </c>
      <c r="C17" s="35" t="n">
        <v>2</v>
      </c>
      <c r="D17" s="35" t="n">
        <v>0</v>
      </c>
      <c r="E17" s="35" t="n">
        <v>2</v>
      </c>
      <c r="F17" s="35" t="n">
        <v>2</v>
      </c>
    </row>
    <row r="18">
      <c r="A18" s="35" t="inlineStr">
        <is>
          <t>Boston College</t>
        </is>
      </c>
      <c r="B18" s="35" t="n">
        <v>0</v>
      </c>
      <c r="C18" s="35" t="n">
        <v>2</v>
      </c>
      <c r="D18" s="35" t="n">
        <v>0</v>
      </c>
      <c r="E18" s="35" t="n">
        <v>2</v>
      </c>
      <c r="F18" s="35" t="n">
        <v>3</v>
      </c>
    </row>
    <row r="19">
      <c r="A19" s="35" t="inlineStr">
        <is>
          <t>Georgia Tech</t>
        </is>
      </c>
      <c r="B19" s="35" t="n">
        <v>0</v>
      </c>
      <c r="C19" s="35" t="n">
        <v>1</v>
      </c>
      <c r="D19" s="35" t="n">
        <v>0</v>
      </c>
      <c r="E19" s="35" t="n">
        <v>1</v>
      </c>
      <c r="F19" s="35" t="n">
        <v>3</v>
      </c>
    </row>
    <row r="21" ht="26.5" customHeight="1">
      <c r="A21" s="39" t="inlineStr">
        <is>
          <t>Week</t>
        </is>
      </c>
      <c r="B21" s="39" t="inlineStr">
        <is>
          <t>Date</t>
        </is>
      </c>
      <c r="C21" s="39" t="inlineStr">
        <is>
          <t>Home Conf</t>
        </is>
      </c>
      <c r="D21" s="39" t="inlineStr">
        <is>
          <t>Away Conf</t>
        </is>
      </c>
      <c r="E21" s="39" t="inlineStr">
        <is>
          <t>Away Team</t>
        </is>
      </c>
      <c r="F21" s="39" t="inlineStr">
        <is>
          <t>Home Team</t>
        </is>
      </c>
      <c r="G21" s="39" t="inlineStr">
        <is>
          <t>Model Line (Home)</t>
        </is>
      </c>
      <c r="H21" s="39" t="inlineStr">
        <is>
          <t>Market Line (Home)</t>
        </is>
      </c>
      <c r="I21" s="39" t="inlineStr">
        <is>
          <t>Spread Edge (pts)</t>
        </is>
      </c>
      <c r="J21" s="39" t="inlineStr">
        <is>
          <t>Ridge Line (Home)</t>
        </is>
      </c>
      <c r="K21" s="39" t="inlineStr">
        <is>
          <t>Massey Line (Home)</t>
        </is>
      </c>
      <c r="L21" s="39" t="inlineStr">
        <is>
          <t>Model Total</t>
        </is>
      </c>
      <c r="M21" s="39" t="inlineStr">
        <is>
          <t>Market Total</t>
        </is>
      </c>
      <c r="N21" s="39" t="inlineStr">
        <is>
          <t>Total Edge (pts)</t>
        </is>
      </c>
      <c r="O21" s="39" t="inlineStr">
        <is>
          <t>Away Pts</t>
        </is>
      </c>
      <c r="P21" s="39" t="inlineStr">
        <is>
          <t>Home Pts</t>
        </is>
      </c>
      <c r="Q21" s="39" t="inlineStr">
        <is>
          <t>Model Result</t>
        </is>
      </c>
    </row>
    <row r="22">
      <c r="A22" s="35" t="n">
        <v>5</v>
      </c>
      <c r="B22" s="35" t="inlineStr">
        <is>
          <t>2026-10-02</t>
        </is>
      </c>
      <c r="C22" s="35" t="inlineStr">
        <is>
          <t>ACC</t>
        </is>
      </c>
      <c r="D22" s="35" t="inlineStr">
        <is>
          <t>ACC</t>
        </is>
      </c>
      <c r="E22" s="35" t="inlineStr">
        <is>
          <t>Pittsburgh</t>
        </is>
      </c>
      <c r="F22" s="35" t="inlineStr">
        <is>
          <t>Virginia Tech</t>
        </is>
      </c>
      <c r="G22" s="35" t="n">
        <v>4.1</v>
      </c>
      <c r="H22" s="35" t="n">
        <v>-2.5</v>
      </c>
      <c r="I22" s="40" t="n">
        <v>-6.6</v>
      </c>
      <c r="J22" s="35" t="n">
        <v>-1.3</v>
      </c>
      <c r="K22" s="35" t="n">
        <v>1</v>
      </c>
      <c r="L22" s="35" t="n">
        <v>51.2</v>
      </c>
      <c r="M22" s="35" t="n">
        <v>54.5</v>
      </c>
      <c r="N22" s="40" t="n">
        <v>-3.3</v>
      </c>
      <c r="O22" s="35" t="n">
        <v>35</v>
      </c>
      <c r="P22" s="35" t="n">
        <v>33</v>
      </c>
      <c r="Q22" s="40" t="inlineStr">
        <is>
          <t>Win</t>
        </is>
      </c>
    </row>
    <row r="23">
      <c r="A23" s="35" t="n">
        <v>5</v>
      </c>
      <c r="B23" s="35" t="inlineStr">
        <is>
          <t>2026-10-03</t>
        </is>
      </c>
      <c r="C23" s="35" t="inlineStr">
        <is>
          <t>ACC</t>
        </is>
      </c>
      <c r="D23" s="35" t="inlineStr">
        <is>
          <t>ACC</t>
        </is>
      </c>
      <c r="E23" s="35" t="inlineStr">
        <is>
          <t>Miami</t>
        </is>
      </c>
      <c r="F23" s="35" t="inlineStr">
        <is>
          <t>Clemson</t>
        </is>
      </c>
      <c r="G23" s="35" t="n">
        <v>17.6</v>
      </c>
      <c r="H23" s="35" t="n">
        <v>16.5</v>
      </c>
      <c r="I23" s="35" t="n">
        <v>-1.1</v>
      </c>
      <c r="J23" s="35" t="n">
        <v>8.199999999999999</v>
      </c>
      <c r="K23" s="35" t="n">
        <v>17.3</v>
      </c>
      <c r="L23" s="35" t="n">
        <v>47.3</v>
      </c>
      <c r="M23" s="35" t="n">
        <v>47.5</v>
      </c>
      <c r="N23" s="35" t="n">
        <v>-0.2</v>
      </c>
      <c r="O23" s="35" t="n"/>
      <c r="P23" s="35" t="n"/>
      <c r="Q23" s="35" t="n"/>
    </row>
    <row r="24">
      <c r="A24" s="35" t="n">
        <v>5</v>
      </c>
      <c r="B24" s="35" t="inlineStr">
        <is>
          <t>2026-10-03</t>
        </is>
      </c>
      <c r="C24" s="35" t="inlineStr">
        <is>
          <t>ACC</t>
        </is>
      </c>
      <c r="D24" s="35" t="inlineStr">
        <is>
          <t>ACC</t>
        </is>
      </c>
      <c r="E24" s="35" t="inlineStr">
        <is>
          <t>Virginia</t>
        </is>
      </c>
      <c r="F24" s="35" t="inlineStr">
        <is>
          <t>Florida State</t>
        </is>
      </c>
      <c r="G24" s="35" t="n">
        <v>8.300000000000001</v>
      </c>
      <c r="H24" s="35" t="n">
        <v>2.5</v>
      </c>
      <c r="I24" s="40" t="n">
        <v>-5.8</v>
      </c>
      <c r="J24" s="35" t="n">
        <v>-0.7</v>
      </c>
      <c r="K24" s="35" t="n">
        <v>7.4</v>
      </c>
      <c r="L24" s="35" t="n">
        <v>51.6</v>
      </c>
      <c r="M24" s="35" t="n">
        <v>51.5</v>
      </c>
      <c r="N24" s="35" t="n">
        <v>0.1</v>
      </c>
      <c r="O24" s="35" t="n"/>
      <c r="P24" s="35" t="n"/>
      <c r="Q24" s="35" t="n"/>
    </row>
    <row r="25">
      <c r="A25" s="35" t="n">
        <v>5</v>
      </c>
      <c r="B25" s="35" t="inlineStr">
        <is>
          <t>2026-10-03</t>
        </is>
      </c>
      <c r="C25" s="35" t="inlineStr">
        <is>
          <t>ACC</t>
        </is>
      </c>
      <c r="D25" s="35" t="inlineStr">
        <is>
          <t>ACC</t>
        </is>
      </c>
      <c r="E25" s="35" t="inlineStr">
        <is>
          <t>Louisville</t>
        </is>
      </c>
      <c r="F25" s="35" t="inlineStr">
        <is>
          <t>NC State</t>
        </is>
      </c>
      <c r="G25" s="35" t="n">
        <v>2.5</v>
      </c>
      <c r="H25" s="35" t="n">
        <v>3.5</v>
      </c>
      <c r="I25" s="35" t="n">
        <v>1</v>
      </c>
      <c r="J25" s="35" t="n">
        <v>1.4</v>
      </c>
      <c r="K25" s="35" t="n">
        <v>-6.3</v>
      </c>
      <c r="L25" s="35" t="n">
        <v>57.3</v>
      </c>
      <c r="M25" s="35" t="n">
        <v>58.2</v>
      </c>
      <c r="N25" s="35" t="n">
        <v>-1</v>
      </c>
      <c r="O25" s="35" t="n"/>
      <c r="P25" s="35" t="n"/>
      <c r="Q25" s="35" t="n"/>
    </row>
    <row r="26">
      <c r="A26" s="35" t="n">
        <v>5</v>
      </c>
      <c r="B26" s="35" t="inlineStr">
        <is>
          <t>2026-10-03</t>
        </is>
      </c>
      <c r="C26" s="35" t="inlineStr">
        <is>
          <t>ACC</t>
        </is>
      </c>
      <c r="D26" s="35" t="inlineStr">
        <is>
          <t>FBS Independents</t>
        </is>
      </c>
      <c r="E26" s="35" t="inlineStr">
        <is>
          <t>Notre Dame</t>
        </is>
      </c>
      <c r="F26" s="35" t="inlineStr">
        <is>
          <t>North Carolina</t>
        </is>
      </c>
      <c r="G26" s="35" t="n">
        <v>19.5</v>
      </c>
      <c r="H26" s="35" t="n">
        <v>21.5</v>
      </c>
      <c r="I26" s="40" t="n">
        <v>2</v>
      </c>
      <c r="J26" s="35" t="n">
        <v>11.2</v>
      </c>
      <c r="K26" s="35" t="n">
        <v>12.6</v>
      </c>
      <c r="L26" s="35" t="n">
        <v>48.4</v>
      </c>
      <c r="M26" s="35" t="n">
        <v>46.5</v>
      </c>
      <c r="N26" s="35" t="n">
        <v>1.9</v>
      </c>
      <c r="O26" s="35" t="n">
        <v>37</v>
      </c>
      <c r="P26" s="35" t="n">
        <v>26</v>
      </c>
      <c r="Q26" s="40" t="inlineStr">
        <is>
          <t>Win</t>
        </is>
      </c>
    </row>
    <row r="27">
      <c r="A27" s="35" t="n">
        <v>5</v>
      </c>
      <c r="B27" s="35" t="inlineStr">
        <is>
          <t>2026-10-03</t>
        </is>
      </c>
      <c r="C27" s="35" t="inlineStr">
        <is>
          <t>ACC</t>
        </is>
      </c>
      <c r="D27" s="35" t="inlineStr">
        <is>
          <t>ACC</t>
        </is>
      </c>
      <c r="E27" s="35" t="inlineStr">
        <is>
          <t>Boston College</t>
        </is>
      </c>
      <c r="F27" s="35" t="inlineStr">
        <is>
          <t>SMU</t>
        </is>
      </c>
      <c r="G27" s="35" t="n">
        <v>-21.8</v>
      </c>
      <c r="H27" s="35" t="n">
        <v>-21.5</v>
      </c>
      <c r="I27" s="35" t="n">
        <v>0.3</v>
      </c>
      <c r="J27" s="35" t="n">
        <v>-19.4</v>
      </c>
      <c r="K27" s="35" t="n">
        <v>-12</v>
      </c>
      <c r="L27" s="35" t="n">
        <v>48.3</v>
      </c>
      <c r="M27" s="35" t="n">
        <v>55.5</v>
      </c>
      <c r="N27" s="40" t="n">
        <v>-7.2</v>
      </c>
      <c r="O27" s="35" t="n">
        <v>16</v>
      </c>
      <c r="P27" s="35" t="n">
        <v>25</v>
      </c>
      <c r="Q27" s="40" t="inlineStr">
        <is>
          <t>Win</t>
        </is>
      </c>
    </row>
    <row r="28">
      <c r="A28" s="35" t="n">
        <v>5</v>
      </c>
      <c r="B28" s="35" t="inlineStr">
        <is>
          <t>2026-10-03</t>
        </is>
      </c>
      <c r="C28" s="35" t="inlineStr">
        <is>
          <t>ACC</t>
        </is>
      </c>
      <c r="D28" s="35" t="inlineStr">
        <is>
          <t>ACC</t>
        </is>
      </c>
      <c r="E28" s="35" t="inlineStr">
        <is>
          <t>Stanford</t>
        </is>
      </c>
      <c r="F28" s="35" t="inlineStr">
        <is>
          <t>Wake Forest</t>
        </is>
      </c>
      <c r="G28" s="35" t="n">
        <v>-25.8</v>
      </c>
      <c r="H28" s="35" t="n">
        <v>-14</v>
      </c>
      <c r="I28" s="40" t="n">
        <v>11.8</v>
      </c>
      <c r="J28" s="35" t="n">
        <v>-7.7</v>
      </c>
      <c r="K28" s="35" t="n">
        <v>-15.2</v>
      </c>
      <c r="L28" s="35" t="n">
        <v>56.1</v>
      </c>
      <c r="M28" s="35" t="n">
        <v>53.5</v>
      </c>
      <c r="N28" s="40" t="n">
        <v>2.6</v>
      </c>
      <c r="O28" s="35" t="n">
        <v>3</v>
      </c>
      <c r="P28" s="35" t="n">
        <v>57</v>
      </c>
      <c r="Q28" s="40" t="inlineStr">
        <is>
          <t>Win</t>
        </is>
      </c>
    </row>
    <row r="29">
      <c r="A29" s="35" t="n">
        <v>5</v>
      </c>
      <c r="B29" s="35" t="inlineStr">
        <is>
          <t>2026-10-03</t>
        </is>
      </c>
      <c r="C29" s="35" t="inlineStr">
        <is>
          <t>FBS Independents</t>
        </is>
      </c>
      <c r="D29" s="35" t="inlineStr">
        <is>
          <t>ACC</t>
        </is>
      </c>
      <c r="E29" s="35" t="inlineStr">
        <is>
          <t>Syracuse</t>
        </is>
      </c>
      <c r="F29" s="35" t="inlineStr">
        <is>
          <t>UConn</t>
        </is>
      </c>
      <c r="G29" s="35" t="n">
        <v>-1.6</v>
      </c>
      <c r="H29" s="35" t="n">
        <v>7</v>
      </c>
      <c r="I29" s="40" t="n">
        <v>8.6</v>
      </c>
      <c r="J29" s="35" t="n">
        <v>-9.800000000000001</v>
      </c>
      <c r="K29" s="35" t="n">
        <v>-1.9</v>
      </c>
      <c r="L29" s="35" t="n">
        <v>48</v>
      </c>
      <c r="M29" s="35" t="n">
        <v>50.5</v>
      </c>
      <c r="N29" s="40" t="n">
        <v>-2.5</v>
      </c>
      <c r="O29" s="35" t="n">
        <v>42</v>
      </c>
      <c r="P29" s="35" t="n">
        <v>41</v>
      </c>
      <c r="Q29" s="41" t="inlineStr">
        <is>
          <t>Loss</t>
        </is>
      </c>
    </row>
    <row r="30">
      <c r="A30" s="35" t="n">
        <v>5</v>
      </c>
      <c r="B30" s="35" t="inlineStr">
        <is>
          <t>2026-10-03</t>
        </is>
      </c>
      <c r="C30" s="35" t="inlineStr">
        <is>
          <t>Mountain West</t>
        </is>
      </c>
      <c r="D30" s="35" t="inlineStr">
        <is>
          <t>ACC</t>
        </is>
      </c>
      <c r="E30" s="35" t="inlineStr">
        <is>
          <t>California</t>
        </is>
      </c>
      <c r="F30" s="35" t="inlineStr">
        <is>
          <t>UNLV</t>
        </is>
      </c>
      <c r="G30" s="35" t="n">
        <v>-5.3</v>
      </c>
      <c r="H30" s="35" t="n">
        <v>-2.8</v>
      </c>
      <c r="I30" s="40" t="n">
        <v>2.6</v>
      </c>
      <c r="J30" s="35" t="n">
        <v>-15.5</v>
      </c>
      <c r="K30" s="35" t="n">
        <v>-3.1</v>
      </c>
      <c r="L30" s="35" t="n">
        <v>45.5</v>
      </c>
      <c r="M30" s="35" t="n">
        <v>53.5</v>
      </c>
      <c r="N30" s="40" t="n">
        <v>-8</v>
      </c>
      <c r="O30" s="35" t="n"/>
      <c r="P30" s="35" t="n"/>
      <c r="Q30" s="35" t="n"/>
    </row>
  </sheetData>
  <autoFilter ref="A21:Q3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topLeftCell="F12" workbookViewId="0">
      <selection activeCell="A18" sqref="A18:XFD18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American Athletic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South Florida</t>
        </is>
      </c>
      <c r="B3" s="35" t="n">
        <v>1</v>
      </c>
      <c r="C3" s="35" t="n">
        <v>0</v>
      </c>
      <c r="D3" s="35" t="n">
        <v>1</v>
      </c>
      <c r="E3" s="35" t="n">
        <v>4</v>
      </c>
      <c r="F3" s="35" t="n">
        <v>0</v>
      </c>
    </row>
    <row r="4">
      <c r="A4" s="35" t="inlineStr">
        <is>
          <t>Memphis</t>
        </is>
      </c>
      <c r="B4" s="35" t="n">
        <v>1</v>
      </c>
      <c r="C4" s="35" t="n">
        <v>0</v>
      </c>
      <c r="D4" s="35" t="n">
        <v>1</v>
      </c>
      <c r="E4" s="35" t="n">
        <v>4</v>
      </c>
      <c r="F4" s="35" t="n">
        <v>1</v>
      </c>
    </row>
    <row r="5">
      <c r="A5" s="35" t="inlineStr">
        <is>
          <t>Florida Atlantic</t>
        </is>
      </c>
      <c r="B5" s="35" t="n">
        <v>1</v>
      </c>
      <c r="C5" s="35" t="n">
        <v>0</v>
      </c>
      <c r="D5" s="35" t="n">
        <v>1</v>
      </c>
      <c r="E5" s="35" t="n">
        <v>3</v>
      </c>
      <c r="F5" s="35" t="n">
        <v>1</v>
      </c>
    </row>
    <row r="6">
      <c r="A6" s="35" t="inlineStr">
        <is>
          <t>North Texas</t>
        </is>
      </c>
      <c r="B6" s="35" t="n">
        <v>1</v>
      </c>
      <c r="C6" s="35" t="n">
        <v>0</v>
      </c>
      <c r="D6" s="35" t="n">
        <v>1</v>
      </c>
      <c r="E6" s="35" t="n">
        <v>3</v>
      </c>
      <c r="F6" s="35" t="n">
        <v>2</v>
      </c>
    </row>
    <row r="7">
      <c r="A7" s="35" t="inlineStr">
        <is>
          <t>UAB</t>
        </is>
      </c>
      <c r="B7" s="35" t="n">
        <v>1</v>
      </c>
      <c r="C7" s="35" t="n">
        <v>0</v>
      </c>
      <c r="D7" s="35" t="n">
        <v>1</v>
      </c>
      <c r="E7" s="35" t="n">
        <v>2</v>
      </c>
      <c r="F7" s="35" t="n">
        <v>2</v>
      </c>
    </row>
    <row r="8">
      <c r="A8" s="35" t="inlineStr">
        <is>
          <t>Army</t>
        </is>
      </c>
      <c r="B8" s="35" t="n">
        <v>1</v>
      </c>
      <c r="C8" s="35" t="n">
        <v>1</v>
      </c>
      <c r="D8" s="35" t="n">
        <v>0.5</v>
      </c>
      <c r="E8" s="35" t="n">
        <v>2</v>
      </c>
      <c r="F8" s="35" t="n">
        <v>1</v>
      </c>
    </row>
    <row r="9">
      <c r="A9" s="35" t="inlineStr">
        <is>
          <t>UTSA</t>
        </is>
      </c>
      <c r="B9" s="35" t="n">
        <v>0</v>
      </c>
      <c r="C9" s="35" t="n">
        <v>0</v>
      </c>
      <c r="D9" s="35" t="n"/>
      <c r="E9" s="35" t="n">
        <v>3</v>
      </c>
      <c r="F9" s="35" t="n">
        <v>1</v>
      </c>
    </row>
    <row r="10">
      <c r="A10" s="35" t="inlineStr">
        <is>
          <t>Tulsa</t>
        </is>
      </c>
      <c r="B10" s="35" t="n">
        <v>0</v>
      </c>
      <c r="C10" s="35" t="n">
        <v>1</v>
      </c>
      <c r="D10" s="35" t="n">
        <v>0</v>
      </c>
      <c r="E10" s="35" t="n">
        <v>3</v>
      </c>
      <c r="F10" s="35" t="n">
        <v>2</v>
      </c>
    </row>
    <row r="11">
      <c r="A11" s="35" t="inlineStr">
        <is>
          <t>East Carolina</t>
        </is>
      </c>
      <c r="B11" s="35" t="n">
        <v>0</v>
      </c>
      <c r="C11" s="35" t="n">
        <v>0</v>
      </c>
      <c r="D11" s="35" t="n"/>
      <c r="E11" s="35" t="n">
        <v>2</v>
      </c>
      <c r="F11" s="35" t="n">
        <v>2</v>
      </c>
    </row>
    <row r="12">
      <c r="A12" s="35" t="inlineStr">
        <is>
          <t>Tulane</t>
        </is>
      </c>
      <c r="B12" s="35" t="n">
        <v>0</v>
      </c>
      <c r="C12" s="35" t="n">
        <v>0</v>
      </c>
      <c r="D12" s="35" t="n"/>
      <c r="E12" s="35" t="n">
        <v>2</v>
      </c>
      <c r="F12" s="35" t="n">
        <v>2</v>
      </c>
    </row>
    <row r="13">
      <c r="A13" s="35" t="inlineStr">
        <is>
          <t>Navy</t>
        </is>
      </c>
      <c r="B13" s="35" t="n">
        <v>0</v>
      </c>
      <c r="C13" s="35" t="n">
        <v>2</v>
      </c>
      <c r="D13" s="35" t="n">
        <v>0</v>
      </c>
      <c r="E13" s="35" t="n">
        <v>1</v>
      </c>
      <c r="F13" s="35" t="n">
        <v>3</v>
      </c>
    </row>
    <row r="14">
      <c r="A14" s="35" t="inlineStr">
        <is>
          <t>Rice</t>
        </is>
      </c>
      <c r="B14" s="35" t="n">
        <v>0</v>
      </c>
      <c r="C14" s="35" t="n">
        <v>0</v>
      </c>
      <c r="D14" s="35" t="n"/>
      <c r="E14" s="35" t="n">
        <v>1</v>
      </c>
      <c r="F14" s="35" t="n">
        <v>3</v>
      </c>
    </row>
    <row r="15">
      <c r="A15" s="35" t="inlineStr">
        <is>
          <t>Temple</t>
        </is>
      </c>
      <c r="B15" s="35" t="n">
        <v>0</v>
      </c>
      <c r="C15" s="35" t="n">
        <v>1</v>
      </c>
      <c r="D15" s="35" t="n">
        <v>0</v>
      </c>
      <c r="E15" s="35" t="n">
        <v>1</v>
      </c>
      <c r="F15" s="35" t="n">
        <v>3</v>
      </c>
    </row>
    <row r="16">
      <c r="A16" s="35" t="inlineStr">
        <is>
          <t>Charlotte</t>
        </is>
      </c>
      <c r="B16" s="35" t="n">
        <v>0</v>
      </c>
      <c r="C16" s="35" t="n">
        <v>1</v>
      </c>
      <c r="D16" s="35" t="n">
        <v>0</v>
      </c>
      <c r="E16" s="35" t="n">
        <v>0</v>
      </c>
      <c r="F16" s="35" t="n">
        <v>5</v>
      </c>
    </row>
    <row r="18" ht="26.5" customHeight="1">
      <c r="A18" s="39" t="inlineStr">
        <is>
          <t>Week</t>
        </is>
      </c>
      <c r="B18" s="39" t="inlineStr">
        <is>
          <t>Date</t>
        </is>
      </c>
      <c r="C18" s="39" t="inlineStr">
        <is>
          <t>Home Conf</t>
        </is>
      </c>
      <c r="D18" s="39" t="inlineStr">
        <is>
          <t>Away Conf</t>
        </is>
      </c>
      <c r="E18" s="39" t="inlineStr">
        <is>
          <t>Away Team</t>
        </is>
      </c>
      <c r="F18" s="39" t="inlineStr">
        <is>
          <t>Home Team</t>
        </is>
      </c>
      <c r="G18" s="39" t="inlineStr">
        <is>
          <t>Model Line (Home)</t>
        </is>
      </c>
      <c r="H18" s="39" t="inlineStr">
        <is>
          <t>Market Line (Home)</t>
        </is>
      </c>
      <c r="I18" s="39" t="inlineStr">
        <is>
          <t>Spread Edge (pts)</t>
        </is>
      </c>
      <c r="J18" s="39" t="inlineStr">
        <is>
          <t>Ridge Line (Home)</t>
        </is>
      </c>
      <c r="K18" s="39" t="inlineStr">
        <is>
          <t>Massey Line (Home)</t>
        </is>
      </c>
      <c r="L18" s="39" t="inlineStr">
        <is>
          <t>Model Total</t>
        </is>
      </c>
      <c r="M18" s="39" t="inlineStr">
        <is>
          <t>Market Total</t>
        </is>
      </c>
      <c r="N18" s="39" t="inlineStr">
        <is>
          <t>Total Edge (pts)</t>
        </is>
      </c>
      <c r="O18" s="39" t="inlineStr">
        <is>
          <t>Away Pts</t>
        </is>
      </c>
      <c r="P18" s="39" t="inlineStr">
        <is>
          <t>Home Pts</t>
        </is>
      </c>
      <c r="Q18" s="39" t="inlineStr">
        <is>
          <t>Model Result</t>
        </is>
      </c>
    </row>
    <row r="19">
      <c r="A19" s="35" t="n">
        <v>5</v>
      </c>
      <c r="B19" s="35" t="inlineStr">
        <is>
          <t>2026-10-02</t>
        </is>
      </c>
      <c r="C19" s="35" t="inlineStr">
        <is>
          <t>American Athletic</t>
        </is>
      </c>
      <c r="D19" s="35" t="inlineStr">
        <is>
          <t>American Athletic</t>
        </is>
      </c>
      <c r="E19" s="35" t="inlineStr">
        <is>
          <t>North Texas</t>
        </is>
      </c>
      <c r="F19" s="35" t="inlineStr">
        <is>
          <t>Tulsa</t>
        </is>
      </c>
      <c r="G19" s="35" t="n">
        <v>4.9</v>
      </c>
      <c r="H19" s="35" t="n">
        <v>2</v>
      </c>
      <c r="I19" s="40" t="n">
        <v>-2.9</v>
      </c>
      <c r="J19" s="35" t="n">
        <v>4.5</v>
      </c>
      <c r="K19" s="35" t="n">
        <v>-4.5</v>
      </c>
      <c r="L19" s="35" t="n">
        <v>56.4</v>
      </c>
      <c r="M19" s="35" t="n">
        <v>56.8</v>
      </c>
      <c r="N19" s="35" t="n">
        <v>-0.3</v>
      </c>
      <c r="O19" s="35" t="n">
        <v>45</v>
      </c>
      <c r="P19" s="35" t="n">
        <v>44</v>
      </c>
      <c r="Q19" s="40" t="inlineStr">
        <is>
          <t>Win</t>
        </is>
      </c>
    </row>
    <row r="20">
      <c r="A20" s="35" t="n">
        <v>5</v>
      </c>
      <c r="B20" s="35" t="inlineStr">
        <is>
          <t>2026-10-03</t>
        </is>
      </c>
      <c r="C20" s="35" t="inlineStr">
        <is>
          <t>American Athletic</t>
        </is>
      </c>
      <c r="D20" s="35" t="inlineStr">
        <is>
          <t>American Athletic</t>
        </is>
      </c>
      <c r="E20" s="35" t="inlineStr">
        <is>
          <t>Memphis</t>
        </is>
      </c>
      <c r="F20" s="35" t="inlineStr">
        <is>
          <t>Charlotte</t>
        </is>
      </c>
      <c r="G20" s="35" t="n">
        <v>23.9</v>
      </c>
      <c r="H20" s="35" t="n">
        <v>20.5</v>
      </c>
      <c r="I20" s="40" t="n">
        <v>-3.4</v>
      </c>
      <c r="J20" s="35" t="n">
        <v>17.5</v>
      </c>
      <c r="K20" s="35" t="n">
        <v>8.6</v>
      </c>
      <c r="L20" s="35" t="n">
        <v>54.4</v>
      </c>
      <c r="M20" s="35" t="n">
        <v>52.2</v>
      </c>
      <c r="N20" s="40" t="n">
        <v>2.2</v>
      </c>
      <c r="O20" s="35" t="n">
        <v>59</v>
      </c>
      <c r="P20" s="35" t="n">
        <v>8</v>
      </c>
      <c r="Q20" s="40" t="inlineStr">
        <is>
          <t>Win</t>
        </is>
      </c>
    </row>
    <row r="21">
      <c r="A21" s="35" t="n">
        <v>5</v>
      </c>
      <c r="B21" s="35" t="inlineStr">
        <is>
          <t>2026-10-03</t>
        </is>
      </c>
      <c r="C21" s="35" t="inlineStr">
        <is>
          <t>American Athletic</t>
        </is>
      </c>
      <c r="D21" s="35" t="inlineStr">
        <is>
          <t>SWAC</t>
        </is>
      </c>
      <c r="E21" s="35" t="inlineStr">
        <is>
          <t>Texas Southern</t>
        </is>
      </c>
      <c r="F21" s="35" t="inlineStr">
        <is>
          <t>Florida Atlantic</t>
        </is>
      </c>
      <c r="G21" s="35" t="n">
        <v>-31.2</v>
      </c>
      <c r="H21" s="35" t="n">
        <v>-44.2</v>
      </c>
      <c r="I21" s="40" t="n">
        <v>-13.1</v>
      </c>
      <c r="J21" s="35" t="n">
        <v>-18.2</v>
      </c>
      <c r="K21" s="35" t="n">
        <v>-21.1</v>
      </c>
      <c r="L21" s="35" t="n">
        <v>56.5</v>
      </c>
      <c r="M21" s="35" t="n">
        <v>61.2</v>
      </c>
      <c r="N21" s="40" t="n">
        <v>-4.8</v>
      </c>
      <c r="O21" s="35" t="n"/>
      <c r="P21" s="35" t="n"/>
      <c r="Q21" s="35" t="n"/>
    </row>
    <row r="22">
      <c r="A22" s="35" t="n">
        <v>5</v>
      </c>
      <c r="B22" s="35" t="inlineStr">
        <is>
          <t>2026-10-03</t>
        </is>
      </c>
      <c r="C22" s="35" t="inlineStr">
        <is>
          <t>American Athletic</t>
        </is>
      </c>
      <c r="D22" s="35" t="inlineStr">
        <is>
          <t>American Athletic</t>
        </is>
      </c>
      <c r="E22" s="35" t="inlineStr">
        <is>
          <t>UTSA</t>
        </is>
      </c>
      <c r="F22" s="35" t="inlineStr">
        <is>
          <t>Rice</t>
        </is>
      </c>
      <c r="G22" s="35" t="n">
        <v>13.4</v>
      </c>
      <c r="H22" s="35" t="n">
        <v>12.5</v>
      </c>
      <c r="I22" s="35" t="n">
        <v>-0.9</v>
      </c>
      <c r="J22" s="35" t="n">
        <v>10.3</v>
      </c>
      <c r="K22" s="35" t="n">
        <v>8.4</v>
      </c>
      <c r="L22" s="35" t="n">
        <v>55.1</v>
      </c>
      <c r="M22" s="35" t="n">
        <v>55.8</v>
      </c>
      <c r="N22" s="35" t="n">
        <v>-0.7</v>
      </c>
      <c r="O22" s="35" t="n"/>
      <c r="P22" s="35" t="n"/>
      <c r="Q22" s="35" t="n"/>
    </row>
    <row r="23">
      <c r="A23" s="35" t="n">
        <v>5</v>
      </c>
      <c r="B23" s="35" t="inlineStr">
        <is>
          <t>2026-10-03</t>
        </is>
      </c>
      <c r="C23" s="35" t="inlineStr">
        <is>
          <t>American Athletic</t>
        </is>
      </c>
      <c r="D23" s="35" t="inlineStr">
        <is>
          <t>American Athletic</t>
        </is>
      </c>
      <c r="E23" s="35" t="inlineStr">
        <is>
          <t>Temple</t>
        </is>
      </c>
      <c r="F23" s="35" t="inlineStr">
        <is>
          <t>South Florida</t>
        </is>
      </c>
      <c r="G23" s="35" t="n">
        <v>-13.2</v>
      </c>
      <c r="H23" s="35" t="n">
        <v>-6</v>
      </c>
      <c r="I23" s="40" t="n">
        <v>7.2</v>
      </c>
      <c r="J23" s="35" t="n">
        <v>-14.2</v>
      </c>
      <c r="K23" s="35" t="n">
        <v>-8.800000000000001</v>
      </c>
      <c r="L23" s="35" t="n">
        <v>58.3</v>
      </c>
      <c r="M23" s="35" t="n">
        <v>48.5</v>
      </c>
      <c r="N23" s="40" t="n">
        <v>9.800000000000001</v>
      </c>
      <c r="O23" s="35" t="n"/>
      <c r="P23" s="35" t="n"/>
      <c r="Q23" s="35" t="n"/>
    </row>
    <row r="24">
      <c r="A24" s="35" t="n">
        <v>5</v>
      </c>
      <c r="B24" s="35" t="inlineStr">
        <is>
          <t>2026-10-03</t>
        </is>
      </c>
      <c r="C24" s="35" t="inlineStr">
        <is>
          <t>American Athletic</t>
        </is>
      </c>
      <c r="D24" s="35" t="inlineStr">
        <is>
          <t>Southern</t>
        </is>
      </c>
      <c r="E24" s="35" t="inlineStr">
        <is>
          <t>Samford</t>
        </is>
      </c>
      <c r="F24" s="35" t="inlineStr">
        <is>
          <t>UAB</t>
        </is>
      </c>
      <c r="G24" s="35" t="n">
        <v>-32.3</v>
      </c>
      <c r="H24" s="35" t="n">
        <v>-30.5</v>
      </c>
      <c r="I24" s="35" t="n">
        <v>1.8</v>
      </c>
      <c r="J24" s="35" t="n">
        <v>-19.3</v>
      </c>
      <c r="K24" s="35" t="n">
        <v>-2</v>
      </c>
      <c r="L24" s="35" t="n">
        <v>57.5</v>
      </c>
      <c r="M24" s="35" t="n">
        <v>52.8</v>
      </c>
      <c r="N24" s="40" t="n">
        <v>4.7</v>
      </c>
      <c r="O24" s="35" t="n"/>
      <c r="P24" s="35" t="n"/>
      <c r="Q24" s="35" t="n"/>
    </row>
    <row r="25">
      <c r="A25" s="35" t="n">
        <v>5</v>
      </c>
      <c r="B25" s="35" t="inlineStr">
        <is>
          <t>2026-10-03</t>
        </is>
      </c>
      <c r="C25" s="35" t="inlineStr">
        <is>
          <t>Mountain West</t>
        </is>
      </c>
      <c r="D25" s="35" t="inlineStr">
        <is>
          <t>American Athletic</t>
        </is>
      </c>
      <c r="E25" s="35" t="inlineStr">
        <is>
          <t>Navy</t>
        </is>
      </c>
      <c r="F25" s="35" t="inlineStr">
        <is>
          <t>Air Force</t>
        </is>
      </c>
      <c r="G25" s="35" t="n">
        <v>3.2</v>
      </c>
      <c r="H25" s="35" t="n">
        <v>-3.2</v>
      </c>
      <c r="I25" s="40" t="n">
        <v>-6.4</v>
      </c>
      <c r="J25" s="35" t="n">
        <v>-8.6</v>
      </c>
      <c r="K25" s="35" t="n">
        <v>-7.7</v>
      </c>
      <c r="L25" s="35" t="n">
        <v>54.9</v>
      </c>
      <c r="M25" s="35" t="n">
        <v>45.5</v>
      </c>
      <c r="N25" s="40" t="n">
        <v>9.4</v>
      </c>
      <c r="O25" s="35" t="n">
        <v>9</v>
      </c>
      <c r="P25" s="35" t="n">
        <v>14</v>
      </c>
      <c r="Q25" s="41" t="inlineStr">
        <is>
          <t>Loss</t>
        </is>
      </c>
    </row>
    <row r="26">
      <c r="A26" s="35" t="n">
        <v>5</v>
      </c>
      <c r="B26" s="35" t="inlineStr">
        <is>
          <t>2026-10-03</t>
        </is>
      </c>
      <c r="C26" s="35" t="inlineStr">
        <is>
          <t>Sun Belt</t>
        </is>
      </c>
      <c r="D26" s="35" t="inlineStr">
        <is>
          <t>American Athletic</t>
        </is>
      </c>
      <c r="E26" s="35" t="inlineStr">
        <is>
          <t>Army</t>
        </is>
      </c>
      <c r="F26" s="35" t="inlineStr">
        <is>
          <t>Louisiana Tech</t>
        </is>
      </c>
      <c r="G26" s="35" t="n">
        <v>3.5</v>
      </c>
      <c r="H26" s="35" t="n">
        <v>1.5</v>
      </c>
      <c r="I26" s="40" t="n">
        <v>-2</v>
      </c>
      <c r="J26" s="35" t="n">
        <v>-8.1</v>
      </c>
      <c r="K26" s="35" t="n">
        <v>-1.8</v>
      </c>
      <c r="L26" s="35" t="n">
        <v>53.3</v>
      </c>
      <c r="M26" s="35" t="n">
        <v>47.5</v>
      </c>
      <c r="N26" s="40" t="n">
        <v>5.8</v>
      </c>
      <c r="O26" s="35" t="n"/>
      <c r="P26" s="35" t="n"/>
      <c r="Q26" s="35" t="n"/>
    </row>
  </sheetData>
  <autoFilter ref="A18:Q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tabSelected="1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Big 12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BYU</t>
        </is>
      </c>
      <c r="B3" s="35" t="n">
        <v>1</v>
      </c>
      <c r="C3" s="35" t="n">
        <v>0</v>
      </c>
      <c r="D3" s="35" t="n">
        <v>1</v>
      </c>
      <c r="E3" s="35" t="n">
        <v>3</v>
      </c>
      <c r="F3" s="35" t="n">
        <v>0</v>
      </c>
    </row>
    <row r="4">
      <c r="A4" s="35" t="inlineStr">
        <is>
          <t>Cincinnati</t>
        </is>
      </c>
      <c r="B4" s="35" t="n">
        <v>1</v>
      </c>
      <c r="C4" s="35" t="n">
        <v>0</v>
      </c>
      <c r="D4" s="35" t="n">
        <v>1</v>
      </c>
      <c r="E4" s="35" t="n">
        <v>4</v>
      </c>
      <c r="F4" s="35" t="n">
        <v>0</v>
      </c>
    </row>
    <row r="5">
      <c r="A5" s="35" t="inlineStr">
        <is>
          <t>Texas Tech</t>
        </is>
      </c>
      <c r="B5" s="35" t="n">
        <v>1</v>
      </c>
      <c r="C5" s="35" t="n">
        <v>0</v>
      </c>
      <c r="D5" s="35" t="n">
        <v>1</v>
      </c>
      <c r="E5" s="35" t="n">
        <v>4</v>
      </c>
      <c r="F5" s="35" t="n">
        <v>0</v>
      </c>
    </row>
    <row r="6">
      <c r="A6" s="35" t="inlineStr">
        <is>
          <t>Utah</t>
        </is>
      </c>
      <c r="B6" s="35" t="n">
        <v>1</v>
      </c>
      <c r="C6" s="35" t="n">
        <v>0</v>
      </c>
      <c r="D6" s="35" t="n">
        <v>1</v>
      </c>
      <c r="E6" s="35" t="n">
        <v>4</v>
      </c>
      <c r="F6" s="35" t="n">
        <v>0</v>
      </c>
    </row>
    <row r="7">
      <c r="A7" s="35" t="inlineStr">
        <is>
          <t>Baylor</t>
        </is>
      </c>
      <c r="B7" s="35" t="n">
        <v>1</v>
      </c>
      <c r="C7" s="35" t="n">
        <v>0</v>
      </c>
      <c r="D7" s="35" t="n">
        <v>1</v>
      </c>
      <c r="E7" s="35" t="n">
        <v>3</v>
      </c>
      <c r="F7" s="35" t="n">
        <v>1</v>
      </c>
    </row>
    <row r="8">
      <c r="A8" s="35" t="inlineStr">
        <is>
          <t>Oklahoma State</t>
        </is>
      </c>
      <c r="B8" s="35" t="n">
        <v>1</v>
      </c>
      <c r="C8" s="35" t="n">
        <v>0</v>
      </c>
      <c r="D8" s="35" t="n">
        <v>1</v>
      </c>
      <c r="E8" s="35" t="n">
        <v>3</v>
      </c>
      <c r="F8" s="35" t="n">
        <v>1</v>
      </c>
    </row>
    <row r="9">
      <c r="A9" s="35" t="inlineStr">
        <is>
          <t>Arizona State</t>
        </is>
      </c>
      <c r="B9" s="35" t="n">
        <v>1</v>
      </c>
      <c r="C9" s="35" t="n">
        <v>0</v>
      </c>
      <c r="D9" s="35" t="n">
        <v>1</v>
      </c>
      <c r="E9" s="35" t="n">
        <v>2</v>
      </c>
      <c r="F9" s="35" t="n">
        <v>1</v>
      </c>
    </row>
    <row r="10">
      <c r="A10" s="35" t="inlineStr">
        <is>
          <t>Houston</t>
        </is>
      </c>
      <c r="B10" s="35" t="n">
        <v>1</v>
      </c>
      <c r="C10" s="35" t="n">
        <v>1</v>
      </c>
      <c r="D10" s="35" t="n">
        <v>0.5</v>
      </c>
      <c r="E10" s="35" t="n">
        <v>4</v>
      </c>
      <c r="F10" s="35" t="n">
        <v>1</v>
      </c>
    </row>
    <row r="11">
      <c r="A11" s="35" t="inlineStr">
        <is>
          <t>Iowa State</t>
        </is>
      </c>
      <c r="B11" s="35" t="n">
        <v>1</v>
      </c>
      <c r="C11" s="35" t="n">
        <v>1</v>
      </c>
      <c r="D11" s="35" t="n">
        <v>0.5</v>
      </c>
      <c r="E11" s="35" t="n">
        <v>3</v>
      </c>
      <c r="F11" s="35" t="n">
        <v>2</v>
      </c>
    </row>
    <row r="12">
      <c r="A12" s="35" t="inlineStr">
        <is>
          <t>UCF</t>
        </is>
      </c>
      <c r="B12" s="35" t="n">
        <v>1</v>
      </c>
      <c r="C12" s="35" t="n">
        <v>1</v>
      </c>
      <c r="D12" s="35" t="n">
        <v>0.5</v>
      </c>
      <c r="E12" s="35" t="n">
        <v>3</v>
      </c>
      <c r="F12" s="35" t="n">
        <v>2</v>
      </c>
    </row>
    <row r="13">
      <c r="A13" s="35" t="inlineStr">
        <is>
          <t>Arizona</t>
        </is>
      </c>
      <c r="B13" s="35" t="n">
        <v>0</v>
      </c>
      <c r="C13" s="35" t="n">
        <v>1</v>
      </c>
      <c r="D13" s="35" t="n">
        <v>0</v>
      </c>
      <c r="E13" s="35" t="n">
        <v>3</v>
      </c>
      <c r="F13" s="35" t="n">
        <v>1</v>
      </c>
    </row>
    <row r="14">
      <c r="A14" s="35" t="inlineStr">
        <is>
          <t>Kansas State</t>
        </is>
      </c>
      <c r="B14" s="35" t="n">
        <v>0</v>
      </c>
      <c r="C14" s="35" t="n">
        <v>1</v>
      </c>
      <c r="D14" s="35" t="n">
        <v>0</v>
      </c>
      <c r="E14" s="35" t="n">
        <v>3</v>
      </c>
      <c r="F14" s="35" t="n">
        <v>1</v>
      </c>
    </row>
    <row r="15">
      <c r="A15" s="35" t="inlineStr">
        <is>
          <t>West Virginia</t>
        </is>
      </c>
      <c r="B15" s="35" t="n">
        <v>0</v>
      </c>
      <c r="C15" s="35" t="n">
        <v>2</v>
      </c>
      <c r="D15" s="35" t="n">
        <v>0</v>
      </c>
      <c r="E15" s="35" t="n">
        <v>3</v>
      </c>
      <c r="F15" s="35" t="n">
        <v>2</v>
      </c>
    </row>
    <row r="16">
      <c r="A16" s="35" t="inlineStr">
        <is>
          <t>Colorado</t>
        </is>
      </c>
      <c r="B16" s="35" t="n">
        <v>0</v>
      </c>
      <c r="C16" s="35" t="n">
        <v>1</v>
      </c>
      <c r="D16" s="35" t="n">
        <v>0</v>
      </c>
      <c r="E16" s="35" t="n">
        <v>2</v>
      </c>
      <c r="F16" s="35" t="n">
        <v>2</v>
      </c>
    </row>
    <row r="17">
      <c r="A17" s="35" t="inlineStr">
        <is>
          <t>Kansas</t>
        </is>
      </c>
      <c r="B17" s="35" t="n">
        <v>0</v>
      </c>
      <c r="C17" s="35" t="n">
        <v>1</v>
      </c>
      <c r="D17" s="35" t="n">
        <v>0</v>
      </c>
      <c r="E17" s="35" t="n">
        <v>2</v>
      </c>
      <c r="F17" s="35" t="n">
        <v>2</v>
      </c>
    </row>
    <row r="18">
      <c r="A18" s="35" t="inlineStr">
        <is>
          <t>TCU</t>
        </is>
      </c>
      <c r="B18" s="35" t="n">
        <v>0</v>
      </c>
      <c r="C18" s="35" t="n">
        <v>1</v>
      </c>
      <c r="D18" s="35" t="n">
        <v>0</v>
      </c>
      <c r="E18" s="35" t="n">
        <v>2</v>
      </c>
      <c r="F18" s="35" t="n">
        <v>2</v>
      </c>
    </row>
    <row r="20" ht="26.5" customHeight="1">
      <c r="A20" s="39" t="inlineStr">
        <is>
          <t>Week</t>
        </is>
      </c>
      <c r="B20" s="39" t="inlineStr">
        <is>
          <t>Date</t>
        </is>
      </c>
      <c r="C20" s="39" t="inlineStr">
        <is>
          <t>Home Conf</t>
        </is>
      </c>
      <c r="D20" s="39" t="inlineStr">
        <is>
          <t>Away Conf</t>
        </is>
      </c>
      <c r="E20" s="39" t="inlineStr">
        <is>
          <t>Away Team</t>
        </is>
      </c>
      <c r="F20" s="39" t="inlineStr">
        <is>
          <t>Home Team</t>
        </is>
      </c>
      <c r="G20" s="39" t="inlineStr">
        <is>
          <t>Model Line (Home)</t>
        </is>
      </c>
      <c r="H20" s="39" t="inlineStr">
        <is>
          <t>Market Line (Home)</t>
        </is>
      </c>
      <c r="I20" s="39" t="inlineStr">
        <is>
          <t>Spread Edge (pts)</t>
        </is>
      </c>
      <c r="J20" s="39" t="inlineStr">
        <is>
          <t>Ridge Line (Home)</t>
        </is>
      </c>
      <c r="K20" s="39" t="inlineStr">
        <is>
          <t>Massey Line (Home)</t>
        </is>
      </c>
      <c r="L20" s="39" t="inlineStr">
        <is>
          <t>Model Total</t>
        </is>
      </c>
      <c r="M20" s="39" t="inlineStr">
        <is>
          <t>Market Total</t>
        </is>
      </c>
      <c r="N20" s="39" t="inlineStr">
        <is>
          <t>Total Edge (pts)</t>
        </is>
      </c>
      <c r="O20" s="39" t="inlineStr">
        <is>
          <t>Away Pts</t>
        </is>
      </c>
      <c r="P20" s="39" t="inlineStr">
        <is>
          <t>Home Pts</t>
        </is>
      </c>
      <c r="Q20" s="39" t="inlineStr">
        <is>
          <t>Model Result</t>
        </is>
      </c>
    </row>
    <row r="21">
      <c r="A21" s="35" t="n">
        <v>5</v>
      </c>
      <c r="B21" s="35" t="inlineStr">
        <is>
          <t>2026-10-03</t>
        </is>
      </c>
      <c r="C21" s="35" t="inlineStr">
        <is>
          <t>Big 12</t>
        </is>
      </c>
      <c r="D21" s="35" t="inlineStr">
        <is>
          <t>Big 12</t>
        </is>
      </c>
      <c r="E21" s="35" t="inlineStr">
        <is>
          <t>Texas Tech</t>
        </is>
      </c>
      <c r="F21" s="35" t="inlineStr">
        <is>
          <t>Colorado</t>
        </is>
      </c>
      <c r="G21" s="35" t="n">
        <v>18.1</v>
      </c>
      <c r="H21" s="35" t="n">
        <v>13.5</v>
      </c>
      <c r="I21" s="40" t="n">
        <v>-4.6</v>
      </c>
      <c r="J21" s="35" t="n">
        <v>18.9</v>
      </c>
      <c r="K21" s="35" t="n">
        <v>9.199999999999999</v>
      </c>
      <c r="L21" s="35" t="n">
        <v>49</v>
      </c>
      <c r="M21" s="35" t="n">
        <v>50.5</v>
      </c>
      <c r="N21" s="35" t="n">
        <v>-1.5</v>
      </c>
      <c r="O21" s="35" t="n"/>
      <c r="P21" s="35" t="n"/>
      <c r="Q21" s="35" t="n"/>
    </row>
    <row r="22">
      <c r="A22" s="35" t="n">
        <v>5</v>
      </c>
      <c r="B22" s="35" t="inlineStr">
        <is>
          <t>2026-10-03</t>
        </is>
      </c>
      <c r="C22" s="35" t="inlineStr">
        <is>
          <t>Big 12</t>
        </is>
      </c>
      <c r="D22" s="35" t="inlineStr">
        <is>
          <t>Big 12</t>
        </is>
      </c>
      <c r="E22" s="35" t="inlineStr">
        <is>
          <t>UCF</t>
        </is>
      </c>
      <c r="F22" s="35" t="inlineStr">
        <is>
          <t>Houston</t>
        </is>
      </c>
      <c r="G22" s="35" t="n">
        <v>-12.8</v>
      </c>
      <c r="H22" s="35" t="n">
        <v>-11.2</v>
      </c>
      <c r="I22" s="35" t="n">
        <v>1.5</v>
      </c>
      <c r="J22" s="35" t="n">
        <v>-12</v>
      </c>
      <c r="K22" s="35" t="n">
        <v>-4</v>
      </c>
      <c r="L22" s="35" t="n">
        <v>53.9</v>
      </c>
      <c r="M22" s="35" t="n">
        <v>50.8</v>
      </c>
      <c r="N22" s="40" t="n">
        <v>3.1</v>
      </c>
      <c r="O22" s="35" t="n">
        <v>17</v>
      </c>
      <c r="P22" s="35" t="n">
        <v>27</v>
      </c>
      <c r="Q22" s="40" t="inlineStr">
        <is>
          <t>Win</t>
        </is>
      </c>
    </row>
    <row r="23">
      <c r="A23" s="35" t="n">
        <v>5</v>
      </c>
      <c r="B23" s="35" t="inlineStr">
        <is>
          <t>2026-10-03</t>
        </is>
      </c>
      <c r="C23" s="35" t="inlineStr">
        <is>
          <t>Big 12</t>
        </is>
      </c>
      <c r="D23" s="35" t="inlineStr">
        <is>
          <t>Big 12</t>
        </is>
      </c>
      <c r="E23" s="35" t="inlineStr">
        <is>
          <t>West Virginia</t>
        </is>
      </c>
      <c r="F23" s="35" t="inlineStr">
        <is>
          <t>Iowa State</t>
        </is>
      </c>
      <c r="G23" s="35" t="n">
        <v>-13.4</v>
      </c>
      <c r="H23" s="35" t="n">
        <v>-3</v>
      </c>
      <c r="I23" s="40" t="n">
        <v>10.4</v>
      </c>
      <c r="J23" s="35" t="n">
        <v>-5.6</v>
      </c>
      <c r="K23" s="35" t="n">
        <v>-6.3</v>
      </c>
      <c r="L23" s="35" t="n">
        <v>49</v>
      </c>
      <c r="M23" s="35" t="n">
        <v>53.2</v>
      </c>
      <c r="N23" s="40" t="n">
        <v>-4.2</v>
      </c>
      <c r="O23" s="35" t="n">
        <v>42</v>
      </c>
      <c r="P23" s="35" t="n">
        <v>45</v>
      </c>
      <c r="Q23" s="40" t="inlineStr">
        <is>
          <t>Win</t>
        </is>
      </c>
    </row>
    <row r="24">
      <c r="A24" s="35" t="n">
        <v>5</v>
      </c>
      <c r="B24" s="35" t="inlineStr">
        <is>
          <t>2026-10-03</t>
        </is>
      </c>
      <c r="C24" s="35" t="inlineStr">
        <is>
          <t>Big 12</t>
        </is>
      </c>
      <c r="D24" s="35" t="inlineStr">
        <is>
          <t>Conference USA</t>
        </is>
      </c>
      <c r="E24" s="35" t="inlineStr">
        <is>
          <t>Middle Tennessee</t>
        </is>
      </c>
      <c r="F24" s="35" t="inlineStr">
        <is>
          <t>Kansas</t>
        </is>
      </c>
      <c r="G24" s="35" t="n">
        <v>-29.9</v>
      </c>
      <c r="H24" s="35" t="n">
        <v>-19.8</v>
      </c>
      <c r="I24" s="40" t="n">
        <v>10.2</v>
      </c>
      <c r="J24" s="35" t="n">
        <v>-19.6</v>
      </c>
      <c r="K24" s="35" t="n">
        <v>-7.1</v>
      </c>
      <c r="L24" s="35" t="n">
        <v>54.2</v>
      </c>
      <c r="M24" s="35" t="n">
        <v>50.5</v>
      </c>
      <c r="N24" s="40" t="n">
        <v>3.7</v>
      </c>
      <c r="O24" s="35" t="n">
        <v>0</v>
      </c>
      <c r="P24" s="35" t="n">
        <v>55</v>
      </c>
      <c r="Q24" s="40" t="inlineStr">
        <is>
          <t>Win</t>
        </is>
      </c>
    </row>
    <row r="25">
      <c r="A25" s="35" t="n">
        <v>5</v>
      </c>
      <c r="B25" s="35" t="inlineStr">
        <is>
          <t>2026-10-03</t>
        </is>
      </c>
      <c r="C25" s="35" t="inlineStr">
        <is>
          <t>Big 12</t>
        </is>
      </c>
      <c r="D25" s="35" t="inlineStr">
        <is>
          <t>Big 12</t>
        </is>
      </c>
      <c r="E25" s="35" t="inlineStr">
        <is>
          <t>BYU</t>
        </is>
      </c>
      <c r="F25" s="35" t="inlineStr">
        <is>
          <t>TCU</t>
        </is>
      </c>
      <c r="G25" s="35" t="n">
        <v>2.4</v>
      </c>
      <c r="H25" s="35" t="n">
        <v>6.2</v>
      </c>
      <c r="I25" s="40" t="n">
        <v>3.9</v>
      </c>
      <c r="J25" s="35" t="n">
        <v>8.800000000000001</v>
      </c>
      <c r="K25" s="35" t="n">
        <v>0</v>
      </c>
      <c r="L25" s="35" t="n">
        <v>52.4</v>
      </c>
      <c r="M25" s="35" t="n">
        <v>47.8</v>
      </c>
      <c r="N25" s="40" t="n">
        <v>4.6</v>
      </c>
      <c r="O25" s="35" t="n"/>
      <c r="P25" s="35" t="n"/>
      <c r="Q25" s="35" t="n"/>
    </row>
    <row r="26">
      <c r="A26" s="35" t="n">
        <v>5</v>
      </c>
      <c r="B26" s="35" t="inlineStr">
        <is>
          <t>2026-10-04</t>
        </is>
      </c>
      <c r="C26" s="35" t="inlineStr">
        <is>
          <t>Big 12</t>
        </is>
      </c>
      <c r="D26" s="35" t="inlineStr">
        <is>
          <t>Big 12</t>
        </is>
      </c>
      <c r="E26" s="35" t="inlineStr">
        <is>
          <t>Cincinnati</t>
        </is>
      </c>
      <c r="F26" s="35" t="inlineStr">
        <is>
          <t>Arizona</t>
        </is>
      </c>
      <c r="G26" s="35" t="n">
        <v>-5.9</v>
      </c>
      <c r="H26" s="35" t="n">
        <v>-6.5</v>
      </c>
      <c r="I26" s="35" t="n">
        <v>-0.6</v>
      </c>
      <c r="J26" s="35" t="n">
        <v>-11</v>
      </c>
      <c r="K26" s="35" t="n">
        <v>-2</v>
      </c>
      <c r="L26" s="35" t="n">
        <v>55.7</v>
      </c>
      <c r="M26" s="35" t="n">
        <v>55.5</v>
      </c>
      <c r="N26" s="35" t="n">
        <v>0.2</v>
      </c>
      <c r="O26" s="35" t="n"/>
      <c r="P26" s="35" t="n"/>
      <c r="Q26" s="35" t="n"/>
    </row>
    <row r="27">
      <c r="A27" s="35" t="n">
        <v>5</v>
      </c>
      <c r="B27" s="35" t="inlineStr">
        <is>
          <t>2026-10-04</t>
        </is>
      </c>
      <c r="C27" s="35" t="inlineStr">
        <is>
          <t>Big 12</t>
        </is>
      </c>
      <c r="D27" s="35" t="inlineStr">
        <is>
          <t>Big 12</t>
        </is>
      </c>
      <c r="E27" s="35" t="inlineStr">
        <is>
          <t>Baylor</t>
        </is>
      </c>
      <c r="F27" s="35" t="inlineStr">
        <is>
          <t>Arizona State</t>
        </is>
      </c>
      <c r="G27" s="35" t="n">
        <v>-2.3</v>
      </c>
      <c r="H27" s="35" t="n">
        <v>-3.8</v>
      </c>
      <c r="I27" s="35" t="n">
        <v>-1.5</v>
      </c>
      <c r="J27" s="35" t="n">
        <v>-4</v>
      </c>
      <c r="K27" s="35" t="n">
        <v>-0.9</v>
      </c>
      <c r="L27" s="35" t="n">
        <v>46.8</v>
      </c>
      <c r="M27" s="35" t="n">
        <v>49.2</v>
      </c>
      <c r="N27" s="40" t="n">
        <v>-2.5</v>
      </c>
      <c r="O27" s="35" t="n"/>
      <c r="P27" s="35" t="n"/>
      <c r="Q27" s="35" t="n"/>
    </row>
  </sheetData>
  <autoFilter ref="A20:Q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Big Ten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UCLA</t>
        </is>
      </c>
      <c r="B3" s="35" t="n">
        <v>2</v>
      </c>
      <c r="C3" s="35" t="n">
        <v>0</v>
      </c>
      <c r="D3" s="35" t="n">
        <v>1</v>
      </c>
      <c r="E3" s="35" t="n">
        <v>4</v>
      </c>
      <c r="F3" s="35" t="n">
        <v>0</v>
      </c>
    </row>
    <row r="4">
      <c r="A4" s="35" t="inlineStr">
        <is>
          <t>Minnesota</t>
        </is>
      </c>
      <c r="B4" s="35" t="n">
        <v>2</v>
      </c>
      <c r="C4" s="35" t="n">
        <v>0</v>
      </c>
      <c r="D4" s="35" t="n">
        <v>1</v>
      </c>
      <c r="E4" s="35" t="n">
        <v>4</v>
      </c>
      <c r="F4" s="35" t="n">
        <v>1</v>
      </c>
    </row>
    <row r="5">
      <c r="A5" s="35" t="inlineStr">
        <is>
          <t>Wisconsin</t>
        </is>
      </c>
      <c r="B5" s="35" t="n">
        <v>2</v>
      </c>
      <c r="C5" s="35" t="n">
        <v>0</v>
      </c>
      <c r="D5" s="35" t="n">
        <v>1</v>
      </c>
      <c r="E5" s="35" t="n">
        <v>4</v>
      </c>
      <c r="F5" s="35" t="n">
        <v>1</v>
      </c>
    </row>
    <row r="6">
      <c r="A6" s="35" t="inlineStr">
        <is>
          <t>Indiana</t>
        </is>
      </c>
      <c r="B6" s="35" t="n">
        <v>1</v>
      </c>
      <c r="C6" s="35" t="n">
        <v>0</v>
      </c>
      <c r="D6" s="35" t="n">
        <v>1</v>
      </c>
      <c r="E6" s="35" t="n">
        <v>4</v>
      </c>
      <c r="F6" s="35" t="n">
        <v>0</v>
      </c>
    </row>
    <row r="7">
      <c r="A7" s="35" t="inlineStr">
        <is>
          <t>Iowa</t>
        </is>
      </c>
      <c r="B7" s="35" t="n">
        <v>1</v>
      </c>
      <c r="C7" s="35" t="n">
        <v>0</v>
      </c>
      <c r="D7" s="35" t="n">
        <v>1</v>
      </c>
      <c r="E7" s="35" t="n">
        <v>4</v>
      </c>
      <c r="F7" s="35" t="n">
        <v>0</v>
      </c>
    </row>
    <row r="8">
      <c r="A8" s="35" t="inlineStr">
        <is>
          <t>Nebraska</t>
        </is>
      </c>
      <c r="B8" s="35" t="n">
        <v>1</v>
      </c>
      <c r="C8" s="35" t="n">
        <v>0</v>
      </c>
      <c r="D8" s="35" t="n">
        <v>1</v>
      </c>
      <c r="E8" s="35" t="n">
        <v>4</v>
      </c>
      <c r="F8" s="35" t="n">
        <v>0</v>
      </c>
    </row>
    <row r="9">
      <c r="A9" s="35" t="inlineStr">
        <is>
          <t>Ohio State</t>
        </is>
      </c>
      <c r="B9" s="35" t="n">
        <v>1</v>
      </c>
      <c r="C9" s="35" t="n">
        <v>0</v>
      </c>
      <c r="D9" s="35" t="n">
        <v>1</v>
      </c>
      <c r="E9" s="35" t="n">
        <v>3</v>
      </c>
      <c r="F9" s="35" t="n">
        <v>1</v>
      </c>
    </row>
    <row r="10">
      <c r="A10" s="35" t="inlineStr">
        <is>
          <t>Oregon</t>
        </is>
      </c>
      <c r="B10" s="35" t="n">
        <v>1</v>
      </c>
      <c r="C10" s="35" t="n">
        <v>0</v>
      </c>
      <c r="D10" s="35" t="n">
        <v>1</v>
      </c>
      <c r="E10" s="35" t="n">
        <v>3</v>
      </c>
      <c r="F10" s="35" t="n">
        <v>1</v>
      </c>
    </row>
    <row r="11">
      <c r="A11" s="35" t="inlineStr">
        <is>
          <t>USC</t>
        </is>
      </c>
      <c r="B11" s="35" t="n">
        <v>1</v>
      </c>
      <c r="C11" s="35" t="n">
        <v>1</v>
      </c>
      <c r="D11" s="35" t="n">
        <v>0.5</v>
      </c>
      <c r="E11" s="35" t="n">
        <v>4</v>
      </c>
      <c r="F11" s="35" t="n">
        <v>1</v>
      </c>
    </row>
    <row r="12">
      <c r="A12" s="35" t="inlineStr">
        <is>
          <t>Northwestern</t>
        </is>
      </c>
      <c r="B12" s="35" t="n">
        <v>1</v>
      </c>
      <c r="C12" s="35" t="n">
        <v>1</v>
      </c>
      <c r="D12" s="35" t="n">
        <v>0.5</v>
      </c>
      <c r="E12" s="35" t="n">
        <v>3</v>
      </c>
      <c r="F12" s="35" t="n">
        <v>1</v>
      </c>
    </row>
    <row r="13">
      <c r="A13" s="35" t="inlineStr">
        <is>
          <t>Washington</t>
        </is>
      </c>
      <c r="B13" s="35" t="n">
        <v>0</v>
      </c>
      <c r="C13" s="35" t="n">
        <v>1</v>
      </c>
      <c r="D13" s="35" t="n">
        <v>0</v>
      </c>
      <c r="E13" s="35" t="n">
        <v>3</v>
      </c>
      <c r="F13" s="35" t="n">
        <v>1</v>
      </c>
    </row>
    <row r="14">
      <c r="A14" s="35" t="inlineStr">
        <is>
          <t>Michigan</t>
        </is>
      </c>
      <c r="B14" s="35" t="n">
        <v>0</v>
      </c>
      <c r="C14" s="35" t="n">
        <v>2</v>
      </c>
      <c r="D14" s="35" t="n">
        <v>0</v>
      </c>
      <c r="E14" s="35" t="n">
        <v>3</v>
      </c>
      <c r="F14" s="35" t="n">
        <v>2</v>
      </c>
    </row>
    <row r="15">
      <c r="A15" s="35" t="inlineStr">
        <is>
          <t>Penn State</t>
        </is>
      </c>
      <c r="B15" s="35" t="n">
        <v>0</v>
      </c>
      <c r="C15" s="35" t="n">
        <v>2</v>
      </c>
      <c r="D15" s="35" t="n">
        <v>0</v>
      </c>
      <c r="E15" s="35" t="n">
        <v>3</v>
      </c>
      <c r="F15" s="35" t="n">
        <v>2</v>
      </c>
    </row>
    <row r="16">
      <c r="A16" s="35" t="inlineStr">
        <is>
          <t>Illinois</t>
        </is>
      </c>
      <c r="B16" s="35" t="n">
        <v>0</v>
      </c>
      <c r="C16" s="35" t="n">
        <v>1</v>
      </c>
      <c r="D16" s="35" t="n">
        <v>0</v>
      </c>
      <c r="E16" s="35" t="n">
        <v>2</v>
      </c>
      <c r="F16" s="35" t="n">
        <v>2</v>
      </c>
    </row>
    <row r="17">
      <c r="A17" s="35" t="inlineStr">
        <is>
          <t>Maryland</t>
        </is>
      </c>
      <c r="B17" s="35" t="n">
        <v>0</v>
      </c>
      <c r="C17" s="35" t="n">
        <v>1</v>
      </c>
      <c r="D17" s="35" t="n">
        <v>0</v>
      </c>
      <c r="E17" s="35" t="n">
        <v>2</v>
      </c>
      <c r="F17" s="35" t="n">
        <v>2</v>
      </c>
    </row>
    <row r="18">
      <c r="A18" s="35" t="inlineStr">
        <is>
          <t>Michigan State</t>
        </is>
      </c>
      <c r="B18" s="35" t="n">
        <v>0</v>
      </c>
      <c r="C18" s="35" t="n">
        <v>2</v>
      </c>
      <c r="D18" s="35" t="n">
        <v>0</v>
      </c>
      <c r="E18" s="35" t="n">
        <v>2</v>
      </c>
      <c r="F18" s="35" t="n">
        <v>3</v>
      </c>
    </row>
    <row r="19">
      <c r="A19" s="35" t="inlineStr">
        <is>
          <t>Purdue</t>
        </is>
      </c>
      <c r="B19" s="35" t="n">
        <v>0</v>
      </c>
      <c r="C19" s="35" t="n">
        <v>1</v>
      </c>
      <c r="D19" s="35" t="n">
        <v>0</v>
      </c>
      <c r="E19" s="35" t="n">
        <v>1</v>
      </c>
      <c r="F19" s="35" t="n">
        <v>3</v>
      </c>
    </row>
    <row r="20">
      <c r="A20" s="35" t="inlineStr">
        <is>
          <t>Rutgers</t>
        </is>
      </c>
      <c r="B20" s="35" t="n">
        <v>0</v>
      </c>
      <c r="C20" s="35" t="n">
        <v>1</v>
      </c>
      <c r="D20" s="35" t="n">
        <v>0</v>
      </c>
      <c r="E20" s="35" t="n">
        <v>1</v>
      </c>
      <c r="F20" s="35" t="n">
        <v>3</v>
      </c>
    </row>
    <row r="22" ht="26.5" customHeight="1">
      <c r="A22" s="39" t="inlineStr">
        <is>
          <t>Week</t>
        </is>
      </c>
      <c r="B22" s="39" t="inlineStr">
        <is>
          <t>Date</t>
        </is>
      </c>
      <c r="C22" s="39" t="inlineStr">
        <is>
          <t>Home Conf</t>
        </is>
      </c>
      <c r="D22" s="39" t="inlineStr">
        <is>
          <t>Away Conf</t>
        </is>
      </c>
      <c r="E22" s="39" t="inlineStr">
        <is>
          <t>Away Team</t>
        </is>
      </c>
      <c r="F22" s="39" t="inlineStr">
        <is>
          <t>Home Team</t>
        </is>
      </c>
      <c r="G22" s="39" t="inlineStr">
        <is>
          <t>Model Line (Home)</t>
        </is>
      </c>
      <c r="H22" s="39" t="inlineStr">
        <is>
          <t>Market Line (Home)</t>
        </is>
      </c>
      <c r="I22" s="39" t="inlineStr">
        <is>
          <t>Spread Edge (pts)</t>
        </is>
      </c>
      <c r="J22" s="39" t="inlineStr">
        <is>
          <t>Ridge Line (Home)</t>
        </is>
      </c>
      <c r="K22" s="39" t="inlineStr">
        <is>
          <t>Massey Line (Home)</t>
        </is>
      </c>
      <c r="L22" s="39" t="inlineStr">
        <is>
          <t>Model Total</t>
        </is>
      </c>
      <c r="M22" s="39" t="inlineStr">
        <is>
          <t>Market Total</t>
        </is>
      </c>
      <c r="N22" s="39" t="inlineStr">
        <is>
          <t>Total Edge (pts)</t>
        </is>
      </c>
      <c r="O22" s="39" t="inlineStr">
        <is>
          <t>Away Pts</t>
        </is>
      </c>
      <c r="P22" s="39" t="inlineStr">
        <is>
          <t>Home Pts</t>
        </is>
      </c>
      <c r="Q22" s="39" t="inlineStr">
        <is>
          <t>Model Result</t>
        </is>
      </c>
    </row>
    <row r="23">
      <c r="A23" s="35" t="n">
        <v>5</v>
      </c>
      <c r="B23" s="35" t="inlineStr">
        <is>
          <t>2026-10-03</t>
        </is>
      </c>
      <c r="C23" s="35" t="inlineStr">
        <is>
          <t>Big Ten</t>
        </is>
      </c>
      <c r="D23" s="35" t="inlineStr">
        <is>
          <t>Big Ten</t>
        </is>
      </c>
      <c r="E23" s="35" t="inlineStr">
        <is>
          <t>Purdue</t>
        </is>
      </c>
      <c r="F23" s="35" t="inlineStr">
        <is>
          <t>Illinois</t>
        </is>
      </c>
      <c r="G23" s="35" t="n">
        <v>-19.2</v>
      </c>
      <c r="H23" s="35" t="n">
        <v>-10</v>
      </c>
      <c r="I23" s="40" t="n">
        <v>9.199999999999999</v>
      </c>
      <c r="J23" s="35" t="n">
        <v>-16.6</v>
      </c>
      <c r="K23" s="35" t="n">
        <v>-10.9</v>
      </c>
      <c r="L23" s="35" t="n">
        <v>60.4</v>
      </c>
      <c r="M23" s="35" t="n">
        <v>62.5</v>
      </c>
      <c r="N23" s="40" t="n">
        <v>-2.1</v>
      </c>
      <c r="O23" s="35" t="n"/>
      <c r="P23" s="35" t="n"/>
      <c r="Q23" s="35" t="n"/>
    </row>
    <row r="24">
      <c r="A24" s="35" t="n">
        <v>5</v>
      </c>
      <c r="B24" s="35" t="inlineStr">
        <is>
          <t>2026-10-03</t>
        </is>
      </c>
      <c r="C24" s="35" t="inlineStr">
        <is>
          <t>Big Ten</t>
        </is>
      </c>
      <c r="D24" s="35" t="inlineStr">
        <is>
          <t>Big Ten</t>
        </is>
      </c>
      <c r="E24" s="35" t="inlineStr">
        <is>
          <t>Ohio State</t>
        </is>
      </c>
      <c r="F24" s="35" t="inlineStr">
        <is>
          <t>Iowa</t>
        </is>
      </c>
      <c r="G24" s="35" t="n">
        <v>8.6</v>
      </c>
      <c r="H24" s="35" t="n">
        <v>14.2</v>
      </c>
      <c r="I24" s="40" t="n">
        <v>5.6</v>
      </c>
      <c r="J24" s="35" t="n">
        <v>7.1</v>
      </c>
      <c r="K24" s="35" t="n">
        <v>2.6</v>
      </c>
      <c r="L24" s="35" t="n">
        <v>45.9</v>
      </c>
      <c r="M24" s="35" t="n">
        <v>45.5</v>
      </c>
      <c r="N24" s="35" t="n">
        <v>0.4</v>
      </c>
      <c r="O24" s="35" t="n"/>
      <c r="P24" s="35" t="n"/>
      <c r="Q24" s="35" t="n"/>
    </row>
    <row r="25">
      <c r="A25" s="35" t="n">
        <v>5</v>
      </c>
      <c r="B25" s="35" t="inlineStr">
        <is>
          <t>2026-10-03</t>
        </is>
      </c>
      <c r="C25" s="35" t="inlineStr">
        <is>
          <t>Big Ten</t>
        </is>
      </c>
      <c r="D25" s="35" t="inlineStr">
        <is>
          <t>Big Ten</t>
        </is>
      </c>
      <c r="E25" s="35" t="inlineStr">
        <is>
          <t>Michigan</t>
        </is>
      </c>
      <c r="F25" s="35" t="inlineStr">
        <is>
          <t>Minnesota</t>
        </is>
      </c>
      <c r="G25" s="35" t="n">
        <v>-1.8</v>
      </c>
      <c r="H25" s="35" t="n">
        <v>5.8</v>
      </c>
      <c r="I25" s="40" t="n">
        <v>7.5</v>
      </c>
      <c r="J25" s="35" t="n">
        <v>5</v>
      </c>
      <c r="K25" s="35" t="n">
        <v>-6.4</v>
      </c>
      <c r="L25" s="35" t="n">
        <v>43.9</v>
      </c>
      <c r="M25" s="35" t="n">
        <v>43.5</v>
      </c>
      <c r="N25" s="35" t="n">
        <v>0.4</v>
      </c>
      <c r="O25" s="35" t="n">
        <v>14</v>
      </c>
      <c r="P25" s="35" t="n">
        <v>20</v>
      </c>
      <c r="Q25" s="40" t="inlineStr">
        <is>
          <t>Win</t>
        </is>
      </c>
    </row>
    <row r="26">
      <c r="A26" s="35" t="n">
        <v>5</v>
      </c>
      <c r="B26" s="35" t="inlineStr">
        <is>
          <t>2026-10-03</t>
        </is>
      </c>
      <c r="C26" s="35" t="inlineStr">
        <is>
          <t>Big Ten</t>
        </is>
      </c>
      <c r="D26" s="35" t="inlineStr">
        <is>
          <t>Big Ten</t>
        </is>
      </c>
      <c r="E26" s="35" t="inlineStr">
        <is>
          <t>Maryland</t>
        </is>
      </c>
      <c r="F26" s="35" t="inlineStr">
        <is>
          <t>Nebraska</t>
        </is>
      </c>
      <c r="G26" s="35" t="n">
        <v>-19.1</v>
      </c>
      <c r="H26" s="35" t="n">
        <v>-14.5</v>
      </c>
      <c r="I26" s="40" t="n">
        <v>4.6</v>
      </c>
      <c r="J26" s="35" t="n">
        <v>-13</v>
      </c>
      <c r="K26" s="35" t="n">
        <v>-14.9</v>
      </c>
      <c r="L26" s="35" t="n">
        <v>52.2</v>
      </c>
      <c r="M26" s="35" t="n">
        <v>52.5</v>
      </c>
      <c r="N26" s="35" t="n">
        <v>-0.3</v>
      </c>
      <c r="O26" s="35" t="n"/>
      <c r="P26" s="35" t="n"/>
      <c r="Q26" s="35" t="n"/>
    </row>
    <row r="27">
      <c r="A27" s="35" t="n">
        <v>5</v>
      </c>
      <c r="B27" s="35" t="inlineStr">
        <is>
          <t>2026-10-03</t>
        </is>
      </c>
      <c r="C27" s="35" t="inlineStr">
        <is>
          <t>Big Ten</t>
        </is>
      </c>
      <c r="D27" s="35" t="inlineStr">
        <is>
          <t>Big Ten</t>
        </is>
      </c>
      <c r="E27" s="35" t="inlineStr">
        <is>
          <t>Penn State</t>
        </is>
      </c>
      <c r="F27" s="35" t="inlineStr">
        <is>
          <t>Northwestern</t>
        </is>
      </c>
      <c r="G27" s="35" t="n">
        <v>-1.4</v>
      </c>
      <c r="H27" s="35" t="n">
        <v>2.5</v>
      </c>
      <c r="I27" s="40" t="n">
        <v>3.9</v>
      </c>
      <c r="J27" s="35" t="n">
        <v>0.7</v>
      </c>
      <c r="K27" s="35" t="n">
        <v>0.3</v>
      </c>
      <c r="L27" s="35" t="n">
        <v>49.9</v>
      </c>
      <c r="M27" s="35" t="n">
        <v>45.8</v>
      </c>
      <c r="N27" s="40" t="n">
        <v>4.2</v>
      </c>
      <c r="O27" s="35" t="n">
        <v>13</v>
      </c>
      <c r="P27" s="35" t="n">
        <v>34</v>
      </c>
      <c r="Q27" s="40" t="inlineStr">
        <is>
          <t>Win</t>
        </is>
      </c>
    </row>
    <row r="28">
      <c r="A28" s="35" t="n">
        <v>5</v>
      </c>
      <c r="B28" s="35" t="inlineStr">
        <is>
          <t>2026-10-03</t>
        </is>
      </c>
      <c r="C28" s="35" t="inlineStr">
        <is>
          <t>Big Ten</t>
        </is>
      </c>
      <c r="D28" s="35" t="inlineStr">
        <is>
          <t>Big Ten</t>
        </is>
      </c>
      <c r="E28" s="35" t="inlineStr">
        <is>
          <t>Washington</t>
        </is>
      </c>
      <c r="F28" s="35" t="inlineStr">
        <is>
          <t>USC</t>
        </is>
      </c>
      <c r="G28" s="35" t="n">
        <v>-4.6</v>
      </c>
      <c r="H28" s="35" t="n">
        <v>-8.800000000000001</v>
      </c>
      <c r="I28" s="40" t="n">
        <v>-4.1</v>
      </c>
      <c r="J28" s="35" t="n">
        <v>-5.4</v>
      </c>
      <c r="K28" s="35" t="n">
        <v>-11.6</v>
      </c>
      <c r="L28" s="35" t="n">
        <v>51.5</v>
      </c>
      <c r="M28" s="35" t="n">
        <v>58.2</v>
      </c>
      <c r="N28" s="40" t="n">
        <v>-6.8</v>
      </c>
      <c r="O28" s="35" t="n"/>
      <c r="P28" s="35" t="n"/>
      <c r="Q28" s="35" t="n"/>
    </row>
    <row r="29">
      <c r="A29" s="35" t="n">
        <v>5</v>
      </c>
      <c r="B29" s="35" t="inlineStr">
        <is>
          <t>2026-10-03</t>
        </is>
      </c>
      <c r="C29" s="35" t="inlineStr">
        <is>
          <t>Big Ten</t>
        </is>
      </c>
      <c r="D29" s="35" t="inlineStr">
        <is>
          <t>Big Ten</t>
        </is>
      </c>
      <c r="E29" s="35" t="inlineStr">
        <is>
          <t>Michigan State</t>
        </is>
      </c>
      <c r="F29" s="35" t="inlineStr">
        <is>
          <t>Wisconsin</t>
        </is>
      </c>
      <c r="G29" s="35" t="n">
        <v>-10.2</v>
      </c>
      <c r="H29" s="35" t="n">
        <v>-9.5</v>
      </c>
      <c r="I29" s="35" t="n">
        <v>0.7</v>
      </c>
      <c r="J29" s="35" t="n">
        <v>-9.5</v>
      </c>
      <c r="K29" s="35" t="n">
        <v>-9.4</v>
      </c>
      <c r="L29" s="35" t="n">
        <v>44.8</v>
      </c>
      <c r="M29" s="35" t="n">
        <v>43.2</v>
      </c>
      <c r="N29" s="35" t="n">
        <v>1.6</v>
      </c>
      <c r="O29" s="35" t="n">
        <v>3</v>
      </c>
      <c r="P29" s="35" t="n">
        <v>31</v>
      </c>
      <c r="Q29" s="40" t="inlineStr">
        <is>
          <t>Win</t>
        </is>
      </c>
    </row>
    <row r="30">
      <c r="A30" s="35" t="n">
        <v>5</v>
      </c>
      <c r="B30" s="35" t="inlineStr">
        <is>
          <t>2026-10-04</t>
        </is>
      </c>
      <c r="C30" s="35" t="inlineStr">
        <is>
          <t>Big Ten</t>
        </is>
      </c>
      <c r="D30" s="35" t="inlineStr">
        <is>
          <t>Big Ten</t>
        </is>
      </c>
      <c r="E30" s="35" t="inlineStr">
        <is>
          <t>Indiana</t>
        </is>
      </c>
      <c r="F30" s="35" t="inlineStr">
        <is>
          <t>Rutgers</t>
        </is>
      </c>
      <c r="G30" s="35" t="n">
        <v>26.2</v>
      </c>
      <c r="H30" s="35" t="n">
        <v>24.5</v>
      </c>
      <c r="I30" s="35" t="n">
        <v>-1.7</v>
      </c>
      <c r="J30" s="35" t="n">
        <v>18.8</v>
      </c>
      <c r="K30" s="35" t="n">
        <v>11.1</v>
      </c>
      <c r="L30" s="35" t="n">
        <v>53.8</v>
      </c>
      <c r="M30" s="35" t="n">
        <v>56.8</v>
      </c>
      <c r="N30" s="40" t="n">
        <v>-2.9</v>
      </c>
      <c r="O30" s="35" t="n"/>
      <c r="P30" s="35" t="n"/>
      <c r="Q30" s="35" t="n"/>
    </row>
  </sheetData>
  <autoFilter ref="A22:Q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Conference USA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Liberty</t>
        </is>
      </c>
      <c r="B3" s="35" t="n">
        <v>1</v>
      </c>
      <c r="C3" s="35" t="n">
        <v>0</v>
      </c>
      <c r="D3" s="35" t="n">
        <v>1</v>
      </c>
      <c r="E3" s="35" t="n">
        <v>4</v>
      </c>
      <c r="F3" s="35" t="n">
        <v>1</v>
      </c>
    </row>
    <row r="4">
      <c r="A4" s="35" t="inlineStr">
        <is>
          <t>Jacksonville State</t>
        </is>
      </c>
      <c r="B4" s="35" t="n">
        <v>1</v>
      </c>
      <c r="C4" s="35" t="n">
        <v>0</v>
      </c>
      <c r="D4" s="35" t="n">
        <v>1</v>
      </c>
      <c r="E4" s="35" t="n">
        <v>3</v>
      </c>
      <c r="F4" s="35" t="n">
        <v>2</v>
      </c>
    </row>
    <row r="5">
      <c r="A5" s="35" t="inlineStr">
        <is>
          <t>New Mexico State</t>
        </is>
      </c>
      <c r="B5" s="35" t="n">
        <v>1</v>
      </c>
      <c r="C5" s="35" t="n">
        <v>0</v>
      </c>
      <c r="D5" s="35" t="n">
        <v>1</v>
      </c>
      <c r="E5" s="35" t="n">
        <v>2</v>
      </c>
      <c r="F5" s="35" t="n">
        <v>3</v>
      </c>
    </row>
    <row r="6">
      <c r="A6" s="35" t="inlineStr">
        <is>
          <t>Florida International</t>
        </is>
      </c>
      <c r="B6" s="35" t="n">
        <v>0</v>
      </c>
      <c r="C6" s="35" t="n">
        <v>0</v>
      </c>
      <c r="D6" s="35" t="n"/>
      <c r="E6" s="35" t="n">
        <v>2</v>
      </c>
      <c r="F6" s="35" t="n">
        <v>2</v>
      </c>
    </row>
    <row r="7">
      <c r="A7" s="35" t="inlineStr">
        <is>
          <t>Delaware</t>
        </is>
      </c>
      <c r="B7" s="35" t="n">
        <v>0</v>
      </c>
      <c r="C7" s="35" t="n">
        <v>1</v>
      </c>
      <c r="D7" s="35" t="n">
        <v>0</v>
      </c>
      <c r="E7" s="35" t="n">
        <v>2</v>
      </c>
      <c r="F7" s="35" t="n">
        <v>3</v>
      </c>
    </row>
    <row r="8">
      <c r="A8" s="35" t="inlineStr">
        <is>
          <t>Middle Tennessee</t>
        </is>
      </c>
      <c r="B8" s="35" t="n">
        <v>0</v>
      </c>
      <c r="C8" s="35" t="n">
        <v>1</v>
      </c>
      <c r="D8" s="35" t="n">
        <v>0</v>
      </c>
      <c r="E8" s="35" t="n">
        <v>2</v>
      </c>
      <c r="F8" s="35" t="n">
        <v>3</v>
      </c>
    </row>
    <row r="9">
      <c r="A9" s="35" t="inlineStr">
        <is>
          <t>Kennesaw State</t>
        </is>
      </c>
      <c r="B9" s="35" t="n">
        <v>0</v>
      </c>
      <c r="C9" s="35" t="n">
        <v>0</v>
      </c>
      <c r="D9" s="35" t="n"/>
      <c r="E9" s="35" t="n">
        <v>1</v>
      </c>
      <c r="F9" s="35" t="n">
        <v>3</v>
      </c>
    </row>
    <row r="10">
      <c r="A10" s="35" t="inlineStr">
        <is>
          <t>Missouri State</t>
        </is>
      </c>
      <c r="B10" s="35" t="n">
        <v>0</v>
      </c>
      <c r="C10" s="35" t="n">
        <v>0</v>
      </c>
      <c r="D10" s="35" t="n"/>
      <c r="E10" s="35" t="n">
        <v>1</v>
      </c>
      <c r="F10" s="35" t="n">
        <v>3</v>
      </c>
    </row>
    <row r="11">
      <c r="A11" s="35" t="inlineStr">
        <is>
          <t>Sam Houston</t>
        </is>
      </c>
      <c r="B11" s="35" t="n">
        <v>0</v>
      </c>
      <c r="C11" s="35" t="n">
        <v>0</v>
      </c>
      <c r="D11" s="35" t="n"/>
      <c r="E11" s="35" t="n">
        <v>1</v>
      </c>
      <c r="F11" s="35" t="n">
        <v>3</v>
      </c>
    </row>
    <row r="12">
      <c r="A12" s="35" t="inlineStr">
        <is>
          <t>Western Kentucky</t>
        </is>
      </c>
      <c r="B12" s="35" t="n">
        <v>0</v>
      </c>
      <c r="C12" s="35" t="n">
        <v>1</v>
      </c>
      <c r="D12" s="35" t="n">
        <v>0</v>
      </c>
      <c r="E12" s="35" t="n">
        <v>1</v>
      </c>
      <c r="F12" s="35" t="n">
        <v>4</v>
      </c>
    </row>
    <row r="14" ht="26.5" customHeight="1">
      <c r="A14" s="39" t="inlineStr">
        <is>
          <t>Week</t>
        </is>
      </c>
      <c r="B14" s="39" t="inlineStr">
        <is>
          <t>Date</t>
        </is>
      </c>
      <c r="C14" s="39" t="inlineStr">
        <is>
          <t>Home Conf</t>
        </is>
      </c>
      <c r="D14" s="39" t="inlineStr">
        <is>
          <t>Away Conf</t>
        </is>
      </c>
      <c r="E14" s="39" t="inlineStr">
        <is>
          <t>Away Team</t>
        </is>
      </c>
      <c r="F14" s="39" t="inlineStr">
        <is>
          <t>Home Team</t>
        </is>
      </c>
      <c r="G14" s="39" t="inlineStr">
        <is>
          <t>Model Line (Home)</t>
        </is>
      </c>
      <c r="H14" s="39" t="inlineStr">
        <is>
          <t>Market Line (Home)</t>
        </is>
      </c>
      <c r="I14" s="39" t="inlineStr">
        <is>
          <t>Spread Edge (pts)</t>
        </is>
      </c>
      <c r="J14" s="39" t="inlineStr">
        <is>
          <t>Ridge Line (Home)</t>
        </is>
      </c>
      <c r="K14" s="39" t="inlineStr">
        <is>
          <t>Massey Line (Home)</t>
        </is>
      </c>
      <c r="L14" s="39" t="inlineStr">
        <is>
          <t>Model Total</t>
        </is>
      </c>
      <c r="M14" s="39" t="inlineStr">
        <is>
          <t>Market Total</t>
        </is>
      </c>
      <c r="N14" s="39" t="inlineStr">
        <is>
          <t>Total Edge (pts)</t>
        </is>
      </c>
      <c r="O14" s="39" t="inlineStr">
        <is>
          <t>Away Pts</t>
        </is>
      </c>
      <c r="P14" s="39" t="inlineStr">
        <is>
          <t>Home Pts</t>
        </is>
      </c>
      <c r="Q14" s="39" t="inlineStr">
        <is>
          <t>Model Result</t>
        </is>
      </c>
    </row>
    <row r="15">
      <c r="A15" s="35" t="n">
        <v>5</v>
      </c>
      <c r="B15" s="35" t="inlineStr">
        <is>
          <t>2026-10-03</t>
        </is>
      </c>
      <c r="C15" s="35" t="inlineStr">
        <is>
          <t>Big 12</t>
        </is>
      </c>
      <c r="D15" s="35" t="inlineStr">
        <is>
          <t>Conference USA</t>
        </is>
      </c>
      <c r="E15" s="35" t="inlineStr">
        <is>
          <t>Middle Tennessee</t>
        </is>
      </c>
      <c r="F15" s="35" t="inlineStr">
        <is>
          <t>Kansas</t>
        </is>
      </c>
      <c r="G15" s="35" t="n">
        <v>-29.9</v>
      </c>
      <c r="H15" s="35" t="n">
        <v>-19.8</v>
      </c>
      <c r="I15" s="40" t="n">
        <v>10.2</v>
      </c>
      <c r="J15" s="35" t="n">
        <v>-19.6</v>
      </c>
      <c r="K15" s="35" t="n">
        <v>-7.1</v>
      </c>
      <c r="L15" s="35" t="n">
        <v>54.2</v>
      </c>
      <c r="M15" s="35" t="n">
        <v>50.5</v>
      </c>
      <c r="N15" s="40" t="n">
        <v>3.7</v>
      </c>
      <c r="O15" s="35" t="n">
        <v>0</v>
      </c>
      <c r="P15" s="35" t="n">
        <v>55</v>
      </c>
      <c r="Q15" s="40" t="inlineStr">
        <is>
          <t>Win</t>
        </is>
      </c>
    </row>
    <row r="16">
      <c r="A16" s="35" t="n">
        <v>5</v>
      </c>
      <c r="B16" s="35" t="inlineStr">
        <is>
          <t>2026-10-02</t>
        </is>
      </c>
      <c r="C16" s="35" t="inlineStr">
        <is>
          <t>Conference USA</t>
        </is>
      </c>
      <c r="D16" s="35" t="inlineStr">
        <is>
          <t>Conference USA</t>
        </is>
      </c>
      <c r="E16" s="35" t="inlineStr">
        <is>
          <t>Liberty</t>
        </is>
      </c>
      <c r="F16" s="35" t="inlineStr">
        <is>
          <t>Delaware</t>
        </is>
      </c>
      <c r="G16" s="35" t="n">
        <v>1.8</v>
      </c>
      <c r="H16" s="35" t="n">
        <v>6.8</v>
      </c>
      <c r="I16" s="40" t="n">
        <v>5</v>
      </c>
      <c r="J16" s="35" t="n">
        <v>-0.4</v>
      </c>
      <c r="K16" s="35" t="n">
        <v>4.3</v>
      </c>
      <c r="L16" s="35" t="n">
        <v>51</v>
      </c>
      <c r="M16" s="35" t="n">
        <v>49.8</v>
      </c>
      <c r="N16" s="35" t="n">
        <v>1.2</v>
      </c>
      <c r="O16" s="35" t="n">
        <v>30</v>
      </c>
      <c r="P16" s="35" t="n">
        <v>14</v>
      </c>
      <c r="Q16" s="40" t="inlineStr">
        <is>
          <t>Win</t>
        </is>
      </c>
    </row>
    <row r="17">
      <c r="A17" s="35" t="n">
        <v>5</v>
      </c>
      <c r="B17" s="35" t="inlineStr">
        <is>
          <t>2026-10-02</t>
        </is>
      </c>
      <c r="C17" s="35" t="inlineStr">
        <is>
          <t>Conference USA</t>
        </is>
      </c>
      <c r="D17" s="35" t="inlineStr">
        <is>
          <t>Conference USA</t>
        </is>
      </c>
      <c r="E17" s="35" t="inlineStr">
        <is>
          <t>Western Kentucky</t>
        </is>
      </c>
      <c r="F17" s="35" t="inlineStr">
        <is>
          <t>New Mexico State</t>
        </is>
      </c>
      <c r="G17" s="35" t="n">
        <v>-2</v>
      </c>
      <c r="H17" s="35" t="n">
        <v>-1.5</v>
      </c>
      <c r="I17" s="35" t="n">
        <v>0.5</v>
      </c>
      <c r="J17" s="35" t="n">
        <v>9.699999999999999</v>
      </c>
      <c r="K17" s="35" t="n">
        <v>-8</v>
      </c>
      <c r="L17" s="35" t="n">
        <v>55.5</v>
      </c>
      <c r="M17" s="35" t="n">
        <v>55.8</v>
      </c>
      <c r="N17" s="35" t="n">
        <v>-0.2</v>
      </c>
      <c r="O17" s="35" t="n">
        <v>13</v>
      </c>
      <c r="P17" s="35" t="n">
        <v>34</v>
      </c>
      <c r="Q17" s="40" t="inlineStr">
        <is>
          <t>Win</t>
        </is>
      </c>
    </row>
  </sheetData>
  <autoFilter ref="A14:Q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FBS Independents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Notre Dame</t>
        </is>
      </c>
      <c r="B3" s="35" t="n">
        <v>0</v>
      </c>
      <c r="C3" s="35" t="n">
        <v>0</v>
      </c>
      <c r="D3" s="35" t="n"/>
      <c r="E3" s="35" t="n">
        <v>5</v>
      </c>
      <c r="F3" s="35" t="n">
        <v>0</v>
      </c>
    </row>
    <row r="4">
      <c r="A4" s="35" t="inlineStr">
        <is>
          <t>UConn</t>
        </is>
      </c>
      <c r="B4" s="35" t="n">
        <v>0</v>
      </c>
      <c r="C4" s="35" t="n">
        <v>0</v>
      </c>
      <c r="D4" s="35" t="n"/>
      <c r="E4" s="35" t="n">
        <v>2</v>
      </c>
      <c r="F4" s="35" t="n">
        <v>3</v>
      </c>
    </row>
    <row r="6" ht="26.5" customHeight="1">
      <c r="A6" s="39" t="inlineStr">
        <is>
          <t>Week</t>
        </is>
      </c>
      <c r="B6" s="39" t="inlineStr">
        <is>
          <t>Date</t>
        </is>
      </c>
      <c r="C6" s="39" t="inlineStr">
        <is>
          <t>Home Conf</t>
        </is>
      </c>
      <c r="D6" s="39" t="inlineStr">
        <is>
          <t>Away Conf</t>
        </is>
      </c>
      <c r="E6" s="39" t="inlineStr">
        <is>
          <t>Away Team</t>
        </is>
      </c>
      <c r="F6" s="39" t="inlineStr">
        <is>
          <t>Home Team</t>
        </is>
      </c>
      <c r="G6" s="39" t="inlineStr">
        <is>
          <t>Model Line (Home)</t>
        </is>
      </c>
      <c r="H6" s="39" t="inlineStr">
        <is>
          <t>Market Line (Home)</t>
        </is>
      </c>
      <c r="I6" s="39" t="inlineStr">
        <is>
          <t>Spread Edge (pts)</t>
        </is>
      </c>
      <c r="J6" s="39" t="inlineStr">
        <is>
          <t>Ridge Line (Home)</t>
        </is>
      </c>
      <c r="K6" s="39" t="inlineStr">
        <is>
          <t>Massey Line (Home)</t>
        </is>
      </c>
      <c r="L6" s="39" t="inlineStr">
        <is>
          <t>Model Total</t>
        </is>
      </c>
      <c r="M6" s="39" t="inlineStr">
        <is>
          <t>Market Total</t>
        </is>
      </c>
      <c r="N6" s="39" t="inlineStr">
        <is>
          <t>Total Edge (pts)</t>
        </is>
      </c>
      <c r="O6" s="39" t="inlineStr">
        <is>
          <t>Away Pts</t>
        </is>
      </c>
      <c r="P6" s="39" t="inlineStr">
        <is>
          <t>Home Pts</t>
        </is>
      </c>
      <c r="Q6" s="39" t="inlineStr">
        <is>
          <t>Model Result</t>
        </is>
      </c>
    </row>
    <row r="7">
      <c r="A7" s="35" t="n">
        <v>5</v>
      </c>
      <c r="B7" s="35" t="inlineStr">
        <is>
          <t>2026-10-03</t>
        </is>
      </c>
      <c r="C7" s="35" t="inlineStr">
        <is>
          <t>ACC</t>
        </is>
      </c>
      <c r="D7" s="35" t="inlineStr">
        <is>
          <t>FBS Independents</t>
        </is>
      </c>
      <c r="E7" s="35" t="inlineStr">
        <is>
          <t>Notre Dame</t>
        </is>
      </c>
      <c r="F7" s="35" t="inlineStr">
        <is>
          <t>North Carolina</t>
        </is>
      </c>
      <c r="G7" s="35" t="n">
        <v>19.5</v>
      </c>
      <c r="H7" s="35" t="n">
        <v>21.5</v>
      </c>
      <c r="I7" s="40" t="n">
        <v>2</v>
      </c>
      <c r="J7" s="35" t="n">
        <v>11.2</v>
      </c>
      <c r="K7" s="35" t="n">
        <v>12.6</v>
      </c>
      <c r="L7" s="35" t="n">
        <v>48.4</v>
      </c>
      <c r="M7" s="35" t="n">
        <v>46.5</v>
      </c>
      <c r="N7" s="35" t="n">
        <v>1.9</v>
      </c>
      <c r="O7" s="35" t="n">
        <v>37</v>
      </c>
      <c r="P7" s="35" t="n">
        <v>26</v>
      </c>
      <c r="Q7" s="40" t="inlineStr">
        <is>
          <t>Win</t>
        </is>
      </c>
    </row>
    <row r="8">
      <c r="A8" s="35" t="n">
        <v>5</v>
      </c>
      <c r="B8" s="35" t="inlineStr">
        <is>
          <t>2026-10-03</t>
        </is>
      </c>
      <c r="C8" s="35" t="inlineStr">
        <is>
          <t>FBS Independents</t>
        </is>
      </c>
      <c r="D8" s="35" t="inlineStr">
        <is>
          <t>ACC</t>
        </is>
      </c>
      <c r="E8" s="35" t="inlineStr">
        <is>
          <t>Syracuse</t>
        </is>
      </c>
      <c r="F8" s="35" t="inlineStr">
        <is>
          <t>UConn</t>
        </is>
      </c>
      <c r="G8" s="35" t="n">
        <v>-1.6</v>
      </c>
      <c r="H8" s="35" t="n">
        <v>7</v>
      </c>
      <c r="I8" s="40" t="n">
        <v>8.6</v>
      </c>
      <c r="J8" s="35" t="n">
        <v>-9.800000000000001</v>
      </c>
      <c r="K8" s="35" t="n">
        <v>-1.9</v>
      </c>
      <c r="L8" s="35" t="n">
        <v>48</v>
      </c>
      <c r="M8" s="35" t="n">
        <v>50.5</v>
      </c>
      <c r="N8" s="40" t="n">
        <v>-2.5</v>
      </c>
      <c r="O8" s="35" t="n">
        <v>42</v>
      </c>
      <c r="P8" s="35" t="n">
        <v>41</v>
      </c>
      <c r="Q8" s="41" t="inlineStr">
        <is>
          <t>Loss</t>
        </is>
      </c>
    </row>
  </sheetData>
  <autoFilter ref="A6:Q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Mid-American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Massachusetts</t>
        </is>
      </c>
      <c r="B3" s="35" t="n">
        <v>1</v>
      </c>
      <c r="C3" s="35" t="n">
        <v>0</v>
      </c>
      <c r="D3" s="35" t="n">
        <v>1</v>
      </c>
      <c r="E3" s="35" t="n">
        <v>4</v>
      </c>
      <c r="F3" s="35" t="n">
        <v>0</v>
      </c>
    </row>
    <row r="4">
      <c r="A4" s="35" t="inlineStr">
        <is>
          <t>Western Michigan</t>
        </is>
      </c>
      <c r="B4" s="35" t="n">
        <v>1</v>
      </c>
      <c r="C4" s="35" t="n">
        <v>0</v>
      </c>
      <c r="D4" s="35" t="n">
        <v>1</v>
      </c>
      <c r="E4" s="35" t="n">
        <v>3</v>
      </c>
      <c r="F4" s="35" t="n">
        <v>2</v>
      </c>
    </row>
    <row r="5">
      <c r="A5" s="35" t="inlineStr">
        <is>
          <t>Kent State</t>
        </is>
      </c>
      <c r="B5" s="35" t="n">
        <v>1</v>
      </c>
      <c r="C5" s="35" t="n">
        <v>0</v>
      </c>
      <c r="D5" s="35" t="n">
        <v>1</v>
      </c>
      <c r="E5" s="35" t="n">
        <v>2</v>
      </c>
      <c r="F5" s="35" t="n">
        <v>2</v>
      </c>
    </row>
    <row r="6">
      <c r="A6" s="35" t="inlineStr">
        <is>
          <t>Eastern Michigan</t>
        </is>
      </c>
      <c r="B6" s="35" t="n">
        <v>1</v>
      </c>
      <c r="C6" s="35" t="n">
        <v>0</v>
      </c>
      <c r="D6" s="35" t="n">
        <v>1</v>
      </c>
      <c r="E6" s="35" t="n">
        <v>2</v>
      </c>
      <c r="F6" s="35" t="n">
        <v>3</v>
      </c>
    </row>
    <row r="7">
      <c r="A7" s="35" t="inlineStr">
        <is>
          <t>Toledo</t>
        </is>
      </c>
      <c r="B7" s="35" t="n">
        <v>0</v>
      </c>
      <c r="C7" s="35" t="n">
        <v>0</v>
      </c>
      <c r="D7" s="35" t="n"/>
      <c r="E7" s="35" t="n">
        <v>3</v>
      </c>
      <c r="F7" s="35" t="n">
        <v>1</v>
      </c>
    </row>
    <row r="8">
      <c r="A8" s="35" t="inlineStr">
        <is>
          <t>Central Michigan</t>
        </is>
      </c>
      <c r="B8" s="35" t="n">
        <v>0</v>
      </c>
      <c r="C8" s="35" t="n">
        <v>0</v>
      </c>
      <c r="D8" s="35" t="n"/>
      <c r="E8" s="35" t="n">
        <v>2</v>
      </c>
      <c r="F8" s="35" t="n">
        <v>2</v>
      </c>
    </row>
    <row r="9">
      <c r="A9" s="35" t="inlineStr">
        <is>
          <t>Miami (OH)</t>
        </is>
      </c>
      <c r="B9" s="35" t="n">
        <v>0</v>
      </c>
      <c r="C9" s="35" t="n">
        <v>0</v>
      </c>
      <c r="D9" s="35" t="n"/>
      <c r="E9" s="35" t="n">
        <v>2</v>
      </c>
      <c r="F9" s="35" t="n">
        <v>2</v>
      </c>
    </row>
    <row r="10">
      <c r="A10" s="35" t="inlineStr">
        <is>
          <t>Ohio</t>
        </is>
      </c>
      <c r="B10" s="35" t="n">
        <v>0</v>
      </c>
      <c r="C10" s="35" t="n">
        <v>0</v>
      </c>
      <c r="D10" s="35" t="n"/>
      <c r="E10" s="35" t="n">
        <v>2</v>
      </c>
      <c r="F10" s="35" t="n">
        <v>2</v>
      </c>
    </row>
    <row r="11">
      <c r="A11" s="35" t="inlineStr">
        <is>
          <t>Buffalo</t>
        </is>
      </c>
      <c r="B11" s="35" t="n">
        <v>0</v>
      </c>
      <c r="C11" s="35" t="n">
        <v>1</v>
      </c>
      <c r="D11" s="35" t="n">
        <v>0</v>
      </c>
      <c r="E11" s="35" t="n">
        <v>2</v>
      </c>
      <c r="F11" s="35" t="n">
        <v>3</v>
      </c>
    </row>
    <row r="12">
      <c r="A12" s="35" t="inlineStr">
        <is>
          <t>Akron</t>
        </is>
      </c>
      <c r="B12" s="35" t="n">
        <v>0</v>
      </c>
      <c r="C12" s="35" t="n">
        <v>0</v>
      </c>
      <c r="D12" s="35" t="n"/>
      <c r="E12" s="35" t="n">
        <v>1</v>
      </c>
      <c r="F12" s="35" t="n">
        <v>3</v>
      </c>
    </row>
    <row r="13">
      <c r="A13" s="35" t="inlineStr">
        <is>
          <t>Ball State</t>
        </is>
      </c>
      <c r="B13" s="35" t="n">
        <v>0</v>
      </c>
      <c r="C13" s="35" t="n">
        <v>1</v>
      </c>
      <c r="D13" s="35" t="n">
        <v>0</v>
      </c>
      <c r="E13" s="35" t="n">
        <v>1</v>
      </c>
      <c r="F13" s="35" t="n">
        <v>3</v>
      </c>
    </row>
    <row r="14">
      <c r="A14" s="35" t="inlineStr">
        <is>
          <t>Sacramento State</t>
        </is>
      </c>
      <c r="B14" s="35" t="n">
        <v>0</v>
      </c>
      <c r="C14" s="35" t="n">
        <v>2</v>
      </c>
      <c r="D14" s="35" t="n">
        <v>0</v>
      </c>
      <c r="E14" s="35" t="n">
        <v>1</v>
      </c>
      <c r="F14" s="35" t="n">
        <v>4</v>
      </c>
    </row>
    <row r="15">
      <c r="A15" s="35" t="inlineStr">
        <is>
          <t>Bowling Green</t>
        </is>
      </c>
      <c r="B15" s="35" t="n">
        <v>0</v>
      </c>
      <c r="C15" s="35" t="n">
        <v>0</v>
      </c>
      <c r="D15" s="35" t="n"/>
      <c r="E15" s="35" t="n">
        <v>0</v>
      </c>
      <c r="F15" s="35" t="n">
        <v>4</v>
      </c>
    </row>
    <row r="17" ht="26.5" customHeight="1">
      <c r="A17" s="39" t="inlineStr">
        <is>
          <t>Week</t>
        </is>
      </c>
      <c r="B17" s="39" t="inlineStr">
        <is>
          <t>Date</t>
        </is>
      </c>
      <c r="C17" s="39" t="inlineStr">
        <is>
          <t>Home Conf</t>
        </is>
      </c>
      <c r="D17" s="39" t="inlineStr">
        <is>
          <t>Away Conf</t>
        </is>
      </c>
      <c r="E17" s="39" t="inlineStr">
        <is>
          <t>Away Team</t>
        </is>
      </c>
      <c r="F17" s="39" t="inlineStr">
        <is>
          <t>Home Team</t>
        </is>
      </c>
      <c r="G17" s="39" t="inlineStr">
        <is>
          <t>Model Line (Home)</t>
        </is>
      </c>
      <c r="H17" s="39" t="inlineStr">
        <is>
          <t>Market Line (Home)</t>
        </is>
      </c>
      <c r="I17" s="39" t="inlineStr">
        <is>
          <t>Spread Edge (pts)</t>
        </is>
      </c>
      <c r="J17" s="39" t="inlineStr">
        <is>
          <t>Ridge Line (Home)</t>
        </is>
      </c>
      <c r="K17" s="39" t="inlineStr">
        <is>
          <t>Massey Line (Home)</t>
        </is>
      </c>
      <c r="L17" s="39" t="inlineStr">
        <is>
          <t>Model Total</t>
        </is>
      </c>
      <c r="M17" s="39" t="inlineStr">
        <is>
          <t>Market Total</t>
        </is>
      </c>
      <c r="N17" s="39" t="inlineStr">
        <is>
          <t>Total Edge (pts)</t>
        </is>
      </c>
      <c r="O17" s="39" t="inlineStr">
        <is>
          <t>Away Pts</t>
        </is>
      </c>
      <c r="P17" s="39" t="inlineStr">
        <is>
          <t>Home Pts</t>
        </is>
      </c>
      <c r="Q17" s="39" t="inlineStr">
        <is>
          <t>Model Result</t>
        </is>
      </c>
    </row>
    <row r="18">
      <c r="A18" s="35" t="n">
        <v>5</v>
      </c>
      <c r="B18" s="35" t="inlineStr">
        <is>
          <t>2026-10-03</t>
        </is>
      </c>
      <c r="C18" s="35" t="inlineStr">
        <is>
          <t>Mid-American</t>
        </is>
      </c>
      <c r="D18" s="35" t="inlineStr">
        <is>
          <t>Mid-American</t>
        </is>
      </c>
      <c r="E18" s="35" t="inlineStr">
        <is>
          <t>Toledo</t>
        </is>
      </c>
      <c r="F18" s="35" t="inlineStr">
        <is>
          <t>Ball State</t>
        </is>
      </c>
      <c r="G18" s="35" t="n">
        <v>21.2</v>
      </c>
      <c r="H18" s="35" t="n">
        <v>20.5</v>
      </c>
      <c r="I18" s="35" t="n">
        <v>-0.7</v>
      </c>
      <c r="J18" s="35" t="n">
        <v>12</v>
      </c>
      <c r="K18" s="35" t="n">
        <v>15.6</v>
      </c>
      <c r="L18" s="35" t="n">
        <v>52.4</v>
      </c>
      <c r="M18" s="35" t="n">
        <v>52.5</v>
      </c>
      <c r="N18" s="35" t="n">
        <v>-0.1</v>
      </c>
      <c r="O18" s="35" t="n"/>
      <c r="P18" s="35" t="n"/>
      <c r="Q18" s="35" t="n"/>
    </row>
    <row r="19">
      <c r="A19" s="35" t="n">
        <v>5</v>
      </c>
      <c r="B19" s="35" t="inlineStr">
        <is>
          <t>2026-10-03</t>
        </is>
      </c>
      <c r="C19" s="35" t="inlineStr">
        <is>
          <t>Mid-American</t>
        </is>
      </c>
      <c r="D19" s="35" t="inlineStr">
        <is>
          <t>Mid-American</t>
        </is>
      </c>
      <c r="E19" s="35" t="inlineStr">
        <is>
          <t>Western Michigan</t>
        </is>
      </c>
      <c r="F19" s="35" t="inlineStr">
        <is>
          <t>Buffalo</t>
        </is>
      </c>
      <c r="G19" s="35" t="n">
        <v>9.9</v>
      </c>
      <c r="H19" s="35" t="n">
        <v>13.8</v>
      </c>
      <c r="I19" s="40" t="n">
        <v>3.9</v>
      </c>
      <c r="J19" s="35" t="n">
        <v>10.2</v>
      </c>
      <c r="K19" s="35" t="n">
        <v>7.3</v>
      </c>
      <c r="L19" s="35" t="n">
        <v>45.4</v>
      </c>
      <c r="M19" s="35" t="n">
        <v>46.2</v>
      </c>
      <c r="N19" s="35" t="n">
        <v>-0.9</v>
      </c>
      <c r="O19" s="35" t="n">
        <v>20</v>
      </c>
      <c r="P19" s="35" t="n">
        <v>17</v>
      </c>
      <c r="Q19" s="40" t="inlineStr">
        <is>
          <t>Win</t>
        </is>
      </c>
    </row>
    <row r="20">
      <c r="A20" s="35" t="n">
        <v>5</v>
      </c>
      <c r="B20" s="35" t="inlineStr">
        <is>
          <t>2026-10-03</t>
        </is>
      </c>
      <c r="C20" s="35" t="inlineStr">
        <is>
          <t>Mid-American</t>
        </is>
      </c>
      <c r="D20" s="35" t="inlineStr">
        <is>
          <t>Mid-American</t>
        </is>
      </c>
      <c r="E20" s="35" t="inlineStr">
        <is>
          <t>Akron</t>
        </is>
      </c>
      <c r="F20" s="35" t="inlineStr">
        <is>
          <t>Central Michigan</t>
        </is>
      </c>
      <c r="G20" s="35" t="n">
        <v>-9.800000000000001</v>
      </c>
      <c r="H20" s="35" t="n">
        <v>-6.5</v>
      </c>
      <c r="I20" s="40" t="n">
        <v>3.3</v>
      </c>
      <c r="J20" s="35" t="n">
        <v>-6.3</v>
      </c>
      <c r="K20" s="35" t="n">
        <v>-6.4</v>
      </c>
      <c r="L20" s="35" t="n">
        <v>47</v>
      </c>
      <c r="M20" s="35" t="n">
        <v>47.2</v>
      </c>
      <c r="N20" s="35" t="n">
        <v>-0.2</v>
      </c>
      <c r="O20" s="35" t="n"/>
      <c r="P20" s="35" t="n"/>
      <c r="Q20" s="35" t="n"/>
    </row>
    <row r="21">
      <c r="A21" s="35" t="n">
        <v>5</v>
      </c>
      <c r="B21" s="35" t="inlineStr">
        <is>
          <t>2026-10-03</t>
        </is>
      </c>
      <c r="C21" s="35" t="inlineStr">
        <is>
          <t>Mid-American</t>
        </is>
      </c>
      <c r="D21" s="35" t="inlineStr">
        <is>
          <t>Mid-American</t>
        </is>
      </c>
      <c r="E21" s="35" t="inlineStr">
        <is>
          <t>Ohio</t>
        </is>
      </c>
      <c r="F21" s="35" t="inlineStr">
        <is>
          <t>Kent State</t>
        </is>
      </c>
      <c r="G21" s="35" t="n">
        <v>9.1</v>
      </c>
      <c r="H21" s="35" t="n">
        <v>3.5</v>
      </c>
      <c r="I21" s="40" t="n">
        <v>-5.6</v>
      </c>
      <c r="J21" s="35" t="n">
        <v>11</v>
      </c>
      <c r="K21" s="35" t="n">
        <v>9.4</v>
      </c>
      <c r="L21" s="35" t="n">
        <v>53.3</v>
      </c>
      <c r="M21" s="35" t="n">
        <v>50.8</v>
      </c>
      <c r="N21" s="40" t="n">
        <v>2.6</v>
      </c>
      <c r="O21" s="35" t="n"/>
      <c r="P21" s="35" t="n"/>
      <c r="Q21" s="35" t="n"/>
    </row>
    <row r="22">
      <c r="A22" s="35" t="n">
        <v>5</v>
      </c>
      <c r="B22" s="35" t="inlineStr">
        <is>
          <t>2026-10-03</t>
        </is>
      </c>
      <c r="C22" s="35" t="inlineStr">
        <is>
          <t>Mid-American</t>
        </is>
      </c>
      <c r="D22" s="35" t="inlineStr">
        <is>
          <t>Mid-American</t>
        </is>
      </c>
      <c r="E22" s="35" t="inlineStr">
        <is>
          <t>Eastern Michigan</t>
        </is>
      </c>
      <c r="F22" s="35" t="inlineStr">
        <is>
          <t>Massachusetts</t>
        </is>
      </c>
      <c r="G22" s="35" t="n">
        <v>-2.9</v>
      </c>
      <c r="H22" s="35" t="n">
        <v>-5.8</v>
      </c>
      <c r="I22" s="40" t="n">
        <v>-2.8</v>
      </c>
      <c r="J22" s="35" t="n">
        <v>1.3</v>
      </c>
      <c r="K22" s="35" t="n">
        <v>-24.6</v>
      </c>
      <c r="L22" s="35" t="n">
        <v>48.4</v>
      </c>
      <c r="M22" s="35" t="n">
        <v>48.8</v>
      </c>
      <c r="N22" s="35" t="n">
        <v>-0.4</v>
      </c>
      <c r="O22" s="35" t="n"/>
      <c r="P22" s="35" t="n"/>
      <c r="Q22" s="35" t="n"/>
    </row>
    <row r="23">
      <c r="A23" s="35" t="n">
        <v>5</v>
      </c>
      <c r="B23" s="35" t="inlineStr">
        <is>
          <t>2026-10-03</t>
        </is>
      </c>
      <c r="C23" s="35" t="inlineStr">
        <is>
          <t>Mid-American</t>
        </is>
      </c>
      <c r="D23" s="35" t="inlineStr">
        <is>
          <t>Mid-American</t>
        </is>
      </c>
      <c r="E23" s="35" t="inlineStr">
        <is>
          <t>Bowling Green</t>
        </is>
      </c>
      <c r="F23" s="35" t="inlineStr">
        <is>
          <t>Miami (OH)</t>
        </is>
      </c>
      <c r="G23" s="35" t="n">
        <v>-20.1</v>
      </c>
      <c r="H23" s="35" t="n">
        <v>-13.5</v>
      </c>
      <c r="I23" s="40" t="n">
        <v>6.6</v>
      </c>
      <c r="J23" s="35" t="n">
        <v>-13.7</v>
      </c>
      <c r="K23" s="35" t="n">
        <v>-19.9</v>
      </c>
      <c r="L23" s="35" t="n">
        <v>48.6</v>
      </c>
      <c r="M23" s="35" t="n">
        <v>43.5</v>
      </c>
      <c r="N23" s="40" t="n">
        <v>5.1</v>
      </c>
      <c r="O23" s="35" t="n"/>
      <c r="P23" s="35" t="n"/>
      <c r="Q23" s="35" t="n"/>
    </row>
  </sheetData>
  <autoFilter ref="A17:Q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Mountain West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North Dakota State</t>
        </is>
      </c>
      <c r="B3" s="35" t="n">
        <v>1</v>
      </c>
      <c r="C3" s="35" t="n">
        <v>0</v>
      </c>
      <c r="D3" s="35" t="n">
        <v>1</v>
      </c>
      <c r="E3" s="35" t="n">
        <v>4</v>
      </c>
      <c r="F3" s="35" t="n">
        <v>0</v>
      </c>
    </row>
    <row r="4">
      <c r="A4" s="35" t="inlineStr">
        <is>
          <t>UNLV</t>
        </is>
      </c>
      <c r="B4" s="35" t="n">
        <v>1</v>
      </c>
      <c r="C4" s="35" t="n">
        <v>0</v>
      </c>
      <c r="D4" s="35" t="n">
        <v>1</v>
      </c>
      <c r="E4" s="35" t="n">
        <v>2</v>
      </c>
      <c r="F4" s="35" t="n">
        <v>2</v>
      </c>
    </row>
    <row r="5">
      <c r="A5" s="35" t="inlineStr">
        <is>
          <t>Wyoming</t>
        </is>
      </c>
      <c r="B5" s="35" t="n">
        <v>1</v>
      </c>
      <c r="C5" s="35" t="n">
        <v>0</v>
      </c>
      <c r="D5" s="35" t="n">
        <v>1</v>
      </c>
      <c r="E5" s="35" t="n">
        <v>2</v>
      </c>
      <c r="F5" s="35" t="n">
        <v>2</v>
      </c>
    </row>
    <row r="6">
      <c r="A6" s="35" t="inlineStr">
        <is>
          <t>Air Force</t>
        </is>
      </c>
      <c r="B6" s="35" t="n">
        <v>1</v>
      </c>
      <c r="C6" s="35" t="n">
        <v>1</v>
      </c>
      <c r="D6" s="35" t="n">
        <v>0.5</v>
      </c>
      <c r="E6" s="35" t="n">
        <v>3</v>
      </c>
      <c r="F6" s="35" t="n">
        <v>1</v>
      </c>
    </row>
    <row r="7">
      <c r="A7" s="35" t="inlineStr">
        <is>
          <t>New Mexico</t>
        </is>
      </c>
      <c r="B7" s="35" t="n">
        <v>0</v>
      </c>
      <c r="C7" s="35" t="n">
        <v>0</v>
      </c>
      <c r="D7" s="35" t="n"/>
      <c r="E7" s="35" t="n">
        <v>3</v>
      </c>
      <c r="F7" s="35" t="n">
        <v>1</v>
      </c>
    </row>
    <row r="8">
      <c r="A8" s="35" t="inlineStr">
        <is>
          <t>San José State</t>
        </is>
      </c>
      <c r="B8" s="35" t="n">
        <v>0</v>
      </c>
      <c r="C8" s="35" t="n">
        <v>0</v>
      </c>
      <c r="D8" s="35" t="n"/>
      <c r="E8" s="35" t="n">
        <v>2</v>
      </c>
      <c r="F8" s="35" t="n">
        <v>2</v>
      </c>
    </row>
    <row r="9">
      <c r="A9" s="35" t="inlineStr">
        <is>
          <t>Hawai'i</t>
        </is>
      </c>
      <c r="B9" s="35" t="n">
        <v>0</v>
      </c>
      <c r="C9" s="35" t="n">
        <v>2</v>
      </c>
      <c r="D9" s="35" t="n">
        <v>0</v>
      </c>
      <c r="E9" s="35" t="n">
        <v>1</v>
      </c>
      <c r="F9" s="35" t="n">
        <v>3</v>
      </c>
    </row>
    <row r="10">
      <c r="A10" s="35" t="inlineStr">
        <is>
          <t>Nevada</t>
        </is>
      </c>
      <c r="B10" s="35" t="n">
        <v>0</v>
      </c>
      <c r="C10" s="35" t="n">
        <v>1</v>
      </c>
      <c r="D10" s="35" t="n">
        <v>0</v>
      </c>
      <c r="E10" s="35" t="n">
        <v>1</v>
      </c>
      <c r="F10" s="35" t="n">
        <v>3</v>
      </c>
    </row>
    <row r="11">
      <c r="A11" s="35" t="inlineStr">
        <is>
          <t>UTEP</t>
        </is>
      </c>
      <c r="B11" s="35" t="n">
        <v>0</v>
      </c>
      <c r="C11" s="35" t="n">
        <v>0</v>
      </c>
      <c r="D11" s="35" t="n"/>
      <c r="E11" s="35" t="n">
        <v>1</v>
      </c>
      <c r="F11" s="35" t="n">
        <v>3</v>
      </c>
    </row>
    <row r="12">
      <c r="A12" s="35" t="inlineStr">
        <is>
          <t>Northern Illinois</t>
        </is>
      </c>
      <c r="B12" s="35" t="n">
        <v>0</v>
      </c>
      <c r="C12" s="35" t="n">
        <v>0</v>
      </c>
      <c r="D12" s="35" t="n"/>
      <c r="E12" s="35" t="n">
        <v>0</v>
      </c>
      <c r="F12" s="35" t="n">
        <v>4</v>
      </c>
    </row>
    <row r="14" ht="26.5" customHeight="1">
      <c r="A14" s="39" t="inlineStr">
        <is>
          <t>Week</t>
        </is>
      </c>
      <c r="B14" s="39" t="inlineStr">
        <is>
          <t>Date</t>
        </is>
      </c>
      <c r="C14" s="39" t="inlineStr">
        <is>
          <t>Home Conf</t>
        </is>
      </c>
      <c r="D14" s="39" t="inlineStr">
        <is>
          <t>Away Conf</t>
        </is>
      </c>
      <c r="E14" s="39" t="inlineStr">
        <is>
          <t>Away Team</t>
        </is>
      </c>
      <c r="F14" s="39" t="inlineStr">
        <is>
          <t>Home Team</t>
        </is>
      </c>
      <c r="G14" s="39" t="inlineStr">
        <is>
          <t>Model Line (Home)</t>
        </is>
      </c>
      <c r="H14" s="39" t="inlineStr">
        <is>
          <t>Market Line (Home)</t>
        </is>
      </c>
      <c r="I14" s="39" t="inlineStr">
        <is>
          <t>Spread Edge (pts)</t>
        </is>
      </c>
      <c r="J14" s="39" t="inlineStr">
        <is>
          <t>Ridge Line (Home)</t>
        </is>
      </c>
      <c r="K14" s="39" t="inlineStr">
        <is>
          <t>Massey Line (Home)</t>
        </is>
      </c>
      <c r="L14" s="39" t="inlineStr">
        <is>
          <t>Model Total</t>
        </is>
      </c>
      <c r="M14" s="39" t="inlineStr">
        <is>
          <t>Market Total</t>
        </is>
      </c>
      <c r="N14" s="39" t="inlineStr">
        <is>
          <t>Total Edge (pts)</t>
        </is>
      </c>
      <c r="O14" s="39" t="inlineStr">
        <is>
          <t>Away Pts</t>
        </is>
      </c>
      <c r="P14" s="39" t="inlineStr">
        <is>
          <t>Home Pts</t>
        </is>
      </c>
      <c r="Q14" s="39" t="inlineStr">
        <is>
          <t>Model Result</t>
        </is>
      </c>
    </row>
    <row r="15">
      <c r="A15" s="35" t="n">
        <v>5</v>
      </c>
      <c r="B15" s="35" t="inlineStr">
        <is>
          <t>2026-10-03</t>
        </is>
      </c>
      <c r="C15" s="35" t="inlineStr">
        <is>
          <t>Mountain West</t>
        </is>
      </c>
      <c r="D15" s="35" t="inlineStr">
        <is>
          <t>American Athletic</t>
        </is>
      </c>
      <c r="E15" s="35" t="inlineStr">
        <is>
          <t>Navy</t>
        </is>
      </c>
      <c r="F15" s="35" t="inlineStr">
        <is>
          <t>Air Force</t>
        </is>
      </c>
      <c r="G15" s="35" t="n">
        <v>3.2</v>
      </c>
      <c r="H15" s="35" t="n">
        <v>-3.2</v>
      </c>
      <c r="I15" s="40" t="n">
        <v>-6.4</v>
      </c>
      <c r="J15" s="35" t="n">
        <v>-8.6</v>
      </c>
      <c r="K15" s="35" t="n">
        <v>-7.7</v>
      </c>
      <c r="L15" s="35" t="n">
        <v>54.9</v>
      </c>
      <c r="M15" s="35" t="n">
        <v>45.5</v>
      </c>
      <c r="N15" s="40" t="n">
        <v>9.4</v>
      </c>
      <c r="O15" s="35" t="n">
        <v>9</v>
      </c>
      <c r="P15" s="35" t="n">
        <v>14</v>
      </c>
      <c r="Q15" s="41" t="inlineStr">
        <is>
          <t>Loss</t>
        </is>
      </c>
    </row>
    <row r="16">
      <c r="A16" s="35" t="n">
        <v>5</v>
      </c>
      <c r="B16" s="35" t="inlineStr">
        <is>
          <t>2026-10-03</t>
        </is>
      </c>
      <c r="C16" s="35" t="inlineStr">
        <is>
          <t>Mountain West</t>
        </is>
      </c>
      <c r="D16" s="35" t="inlineStr">
        <is>
          <t>Mountain West</t>
        </is>
      </c>
      <c r="E16" s="35" t="inlineStr">
        <is>
          <t>UTEP</t>
        </is>
      </c>
      <c r="F16" s="35" t="inlineStr">
        <is>
          <t>New Mexico</t>
        </is>
      </c>
      <c r="G16" s="35" t="n">
        <v>-31.8</v>
      </c>
      <c r="H16" s="35" t="n">
        <v>-22.5</v>
      </c>
      <c r="I16" s="40" t="n">
        <v>9.300000000000001</v>
      </c>
      <c r="J16" s="35" t="n">
        <v>-22.1</v>
      </c>
      <c r="K16" s="35" t="n">
        <v>-28.2</v>
      </c>
      <c r="L16" s="35" t="n">
        <v>43.7</v>
      </c>
      <c r="M16" s="35" t="n">
        <v>47.8</v>
      </c>
      <c r="N16" s="40" t="n">
        <v>-4.1</v>
      </c>
      <c r="O16" s="35" t="n"/>
      <c r="P16" s="35" t="n"/>
      <c r="Q16" s="35" t="n"/>
    </row>
    <row r="17">
      <c r="A17" s="35" t="n">
        <v>5</v>
      </c>
      <c r="B17" s="35" t="inlineStr">
        <is>
          <t>2026-10-03</t>
        </is>
      </c>
      <c r="C17" s="35" t="inlineStr">
        <is>
          <t>Mountain West</t>
        </is>
      </c>
      <c r="D17" s="35" t="inlineStr">
        <is>
          <t>Mountain West</t>
        </is>
      </c>
      <c r="E17" s="35" t="inlineStr">
        <is>
          <t>Wyoming</t>
        </is>
      </c>
      <c r="F17" s="35" t="inlineStr">
        <is>
          <t>North Dakota State</t>
        </is>
      </c>
      <c r="G17" s="35" t="n">
        <v>-30.3</v>
      </c>
      <c r="H17" s="35" t="n">
        <v>-17.2</v>
      </c>
      <c r="I17" s="40" t="n">
        <v>13.1</v>
      </c>
      <c r="J17" s="35" t="n">
        <v>-22</v>
      </c>
      <c r="K17" s="35" t="n">
        <v>-20.8</v>
      </c>
      <c r="L17" s="35" t="n">
        <v>46.8</v>
      </c>
      <c r="M17" s="35" t="n">
        <v>44.5</v>
      </c>
      <c r="N17" s="40" t="n">
        <v>2.3</v>
      </c>
      <c r="O17" s="35" t="n"/>
      <c r="P17" s="35" t="n"/>
      <c r="Q17" s="35" t="n"/>
    </row>
    <row r="18">
      <c r="A18" s="35" t="n">
        <v>5</v>
      </c>
      <c r="B18" s="35" t="inlineStr">
        <is>
          <t>2026-10-03</t>
        </is>
      </c>
      <c r="C18" s="35" t="inlineStr">
        <is>
          <t>Mountain West</t>
        </is>
      </c>
      <c r="D18" s="35" t="inlineStr">
        <is>
          <t>ACC</t>
        </is>
      </c>
      <c r="E18" s="35" t="inlineStr">
        <is>
          <t>California</t>
        </is>
      </c>
      <c r="F18" s="35" t="inlineStr">
        <is>
          <t>UNLV</t>
        </is>
      </c>
      <c r="G18" s="35" t="n">
        <v>-5.3</v>
      </c>
      <c r="H18" s="35" t="n">
        <v>-2.8</v>
      </c>
      <c r="I18" s="40" t="n">
        <v>2.6</v>
      </c>
      <c r="J18" s="35" t="n">
        <v>-15.5</v>
      </c>
      <c r="K18" s="35" t="n">
        <v>-3.1</v>
      </c>
      <c r="L18" s="35" t="n">
        <v>45.5</v>
      </c>
      <c r="M18" s="35" t="n">
        <v>53.5</v>
      </c>
      <c r="N18" s="40" t="n">
        <v>-8</v>
      </c>
      <c r="O18" s="35" t="n"/>
      <c r="P18" s="35" t="n"/>
      <c r="Q18" s="35" t="n"/>
    </row>
    <row r="19">
      <c r="A19" s="35" t="n">
        <v>5</v>
      </c>
      <c r="B19" s="35" t="inlineStr">
        <is>
          <t>2026-10-04</t>
        </is>
      </c>
      <c r="C19" s="35" t="inlineStr">
        <is>
          <t>Mountain West</t>
        </is>
      </c>
      <c r="D19" s="35" t="inlineStr">
        <is>
          <t>Mountain West</t>
        </is>
      </c>
      <c r="E19" s="35" t="inlineStr">
        <is>
          <t>San José State</t>
        </is>
      </c>
      <c r="F19" s="35" t="inlineStr">
        <is>
          <t>Hawai'i</t>
        </is>
      </c>
      <c r="G19" s="35" t="n">
        <v>-6.8</v>
      </c>
      <c r="H19" s="35" t="n">
        <v>-3</v>
      </c>
      <c r="I19" s="40" t="n">
        <v>3.8</v>
      </c>
      <c r="J19" s="35" t="n">
        <v>-6.7</v>
      </c>
      <c r="K19" s="35" t="n">
        <v>2.1</v>
      </c>
      <c r="L19" s="35" t="n">
        <v>48.5</v>
      </c>
      <c r="M19" s="35" t="n">
        <v>50.5</v>
      </c>
      <c r="N19" s="40" t="n">
        <v>-2</v>
      </c>
      <c r="O19" s="35" t="n"/>
      <c r="P19" s="35" t="n"/>
      <c r="Q19" s="35" t="n"/>
    </row>
  </sheetData>
  <autoFilter ref="A14:Q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Pac-12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Boise State</t>
        </is>
      </c>
      <c r="B3" s="35" t="n">
        <v>0</v>
      </c>
      <c r="C3" s="35" t="n">
        <v>0</v>
      </c>
      <c r="D3" s="35" t="n"/>
      <c r="E3" s="35" t="n">
        <v>3</v>
      </c>
      <c r="F3" s="35" t="n">
        <v>1</v>
      </c>
    </row>
    <row r="4">
      <c r="A4" s="35" t="inlineStr">
        <is>
          <t>Fresno State</t>
        </is>
      </c>
      <c r="B4" s="35" t="n">
        <v>0</v>
      </c>
      <c r="C4" s="35" t="n">
        <v>0</v>
      </c>
      <c r="D4" s="35" t="n"/>
      <c r="E4" s="35" t="n">
        <v>3</v>
      </c>
      <c r="F4" s="35" t="n">
        <v>1</v>
      </c>
    </row>
    <row r="5">
      <c r="A5" s="35" t="inlineStr">
        <is>
          <t>Colorado State</t>
        </is>
      </c>
      <c r="B5" s="35" t="n">
        <v>0</v>
      </c>
      <c r="C5" s="35" t="n">
        <v>0</v>
      </c>
      <c r="D5" s="35" t="n"/>
      <c r="E5" s="35" t="n">
        <v>2</v>
      </c>
      <c r="F5" s="35" t="n">
        <v>2</v>
      </c>
    </row>
    <row r="6">
      <c r="A6" s="35" t="inlineStr">
        <is>
          <t>Oregon State</t>
        </is>
      </c>
      <c r="B6" s="35" t="n">
        <v>0</v>
      </c>
      <c r="C6" s="35" t="n">
        <v>0</v>
      </c>
      <c r="D6" s="35" t="n"/>
      <c r="E6" s="35" t="n">
        <v>2</v>
      </c>
      <c r="F6" s="35" t="n">
        <v>2</v>
      </c>
    </row>
    <row r="7">
      <c r="A7" s="35" t="inlineStr">
        <is>
          <t>Texas State</t>
        </is>
      </c>
      <c r="B7" s="35" t="n">
        <v>0</v>
      </c>
      <c r="C7" s="35" t="n">
        <v>0</v>
      </c>
      <c r="D7" s="35" t="n"/>
      <c r="E7" s="35" t="n">
        <v>2</v>
      </c>
      <c r="F7" s="35" t="n">
        <v>2</v>
      </c>
    </row>
    <row r="8">
      <c r="A8" s="35" t="inlineStr">
        <is>
          <t>San Diego State</t>
        </is>
      </c>
      <c r="B8" s="35" t="n">
        <v>0</v>
      </c>
      <c r="C8" s="35" t="n">
        <v>0</v>
      </c>
      <c r="D8" s="35" t="n"/>
      <c r="E8" s="35" t="n">
        <v>1</v>
      </c>
      <c r="F8" s="35" t="n">
        <v>3</v>
      </c>
    </row>
    <row r="9">
      <c r="A9" s="35" t="inlineStr">
        <is>
          <t>Utah State</t>
        </is>
      </c>
      <c r="B9" s="35" t="n">
        <v>0</v>
      </c>
      <c r="C9" s="35" t="n">
        <v>0</v>
      </c>
      <c r="D9" s="35" t="n"/>
      <c r="E9" s="35" t="n">
        <v>1</v>
      </c>
      <c r="F9" s="35" t="n">
        <v>3</v>
      </c>
    </row>
    <row r="10">
      <c r="A10" s="35" t="inlineStr">
        <is>
          <t>Washington State</t>
        </is>
      </c>
      <c r="B10" s="35" t="n">
        <v>0</v>
      </c>
      <c r="C10" s="35" t="n">
        <v>0</v>
      </c>
      <c r="D10" s="35" t="n"/>
      <c r="E10" s="35" t="n">
        <v>1</v>
      </c>
      <c r="F10" s="35" t="n">
        <v>3</v>
      </c>
    </row>
    <row r="12" ht="26.5" customHeight="1">
      <c r="A12" s="39" t="inlineStr">
        <is>
          <t>Week</t>
        </is>
      </c>
      <c r="B12" s="39" t="inlineStr">
        <is>
          <t>Date</t>
        </is>
      </c>
      <c r="C12" s="39" t="inlineStr">
        <is>
          <t>Home Conf</t>
        </is>
      </c>
      <c r="D12" s="39" t="inlineStr">
        <is>
          <t>Away Conf</t>
        </is>
      </c>
      <c r="E12" s="39" t="inlineStr">
        <is>
          <t>Away Team</t>
        </is>
      </c>
      <c r="F12" s="39" t="inlineStr">
        <is>
          <t>Home Team</t>
        </is>
      </c>
      <c r="G12" s="39" t="inlineStr">
        <is>
          <t>Model Line (Home)</t>
        </is>
      </c>
      <c r="H12" s="39" t="inlineStr">
        <is>
          <t>Market Line (Home)</t>
        </is>
      </c>
      <c r="I12" s="39" t="inlineStr">
        <is>
          <t>Spread Edge (pts)</t>
        </is>
      </c>
      <c r="J12" s="39" t="inlineStr">
        <is>
          <t>Ridge Line (Home)</t>
        </is>
      </c>
      <c r="K12" s="39" t="inlineStr">
        <is>
          <t>Massey Line (Home)</t>
        </is>
      </c>
      <c r="L12" s="39" t="inlineStr">
        <is>
          <t>Model Total</t>
        </is>
      </c>
      <c r="M12" s="39" t="inlineStr">
        <is>
          <t>Market Total</t>
        </is>
      </c>
      <c r="N12" s="39" t="inlineStr">
        <is>
          <t>Total Edge (pts)</t>
        </is>
      </c>
      <c r="O12" s="39" t="inlineStr">
        <is>
          <t>Away Pts</t>
        </is>
      </c>
      <c r="P12" s="39" t="inlineStr">
        <is>
          <t>Home Pts</t>
        </is>
      </c>
      <c r="Q12" s="39" t="inlineStr">
        <is>
          <t>Model Result</t>
        </is>
      </c>
    </row>
    <row r="13">
      <c r="A13" s="35" t="n">
        <v>5</v>
      </c>
      <c r="B13" s="35" t="inlineStr">
        <is>
          <t>2026-10-03</t>
        </is>
      </c>
      <c r="C13" s="35" t="inlineStr">
        <is>
          <t>Pac-12</t>
        </is>
      </c>
      <c r="D13" s="35" t="inlineStr">
        <is>
          <t>Pac-12</t>
        </is>
      </c>
      <c r="E13" s="35" t="inlineStr">
        <is>
          <t>Utah State</t>
        </is>
      </c>
      <c r="F13" s="35" t="inlineStr">
        <is>
          <t>Boise State</t>
        </is>
      </c>
      <c r="G13" s="35" t="n">
        <v>-14.8</v>
      </c>
      <c r="H13" s="35" t="n">
        <v>-18.5</v>
      </c>
      <c r="I13" s="40" t="n">
        <v>-3.7</v>
      </c>
      <c r="J13" s="35" t="n">
        <v>-18.4</v>
      </c>
      <c r="K13" s="35" t="n">
        <v>-17.6</v>
      </c>
      <c r="L13" s="35" t="n">
        <v>49.6</v>
      </c>
      <c r="M13" s="35" t="n">
        <v>51.5</v>
      </c>
      <c r="N13" s="35" t="n">
        <v>-1.9</v>
      </c>
      <c r="O13" s="35" t="n"/>
      <c r="P13" s="35" t="n"/>
      <c r="Q13" s="35" t="n"/>
    </row>
    <row r="14">
      <c r="A14" s="35" t="n">
        <v>5</v>
      </c>
      <c r="B14" s="35" t="inlineStr">
        <is>
          <t>2026-10-03</t>
        </is>
      </c>
      <c r="C14" s="35" t="inlineStr">
        <is>
          <t>Pac-12</t>
        </is>
      </c>
      <c r="D14" s="35" t="inlineStr">
        <is>
          <t>Pac-12</t>
        </is>
      </c>
      <c r="E14" s="35" t="inlineStr">
        <is>
          <t>Oregon State</t>
        </is>
      </c>
      <c r="F14" s="35" t="inlineStr">
        <is>
          <t>Colorado State</t>
        </is>
      </c>
      <c r="G14" s="35" t="n">
        <v>1.6</v>
      </c>
      <c r="H14" s="35" t="n">
        <v>6.5</v>
      </c>
      <c r="I14" s="40" t="n">
        <v>4.9</v>
      </c>
      <c r="J14" s="35" t="n">
        <v>-1.3</v>
      </c>
      <c r="K14" s="35" t="n">
        <v>-0.1</v>
      </c>
      <c r="L14" s="35" t="n">
        <v>56.2</v>
      </c>
      <c r="M14" s="35" t="n">
        <v>62.2</v>
      </c>
      <c r="N14" s="40" t="n">
        <v>-6</v>
      </c>
      <c r="O14" s="35" t="n"/>
      <c r="P14" s="35" t="n"/>
      <c r="Q14" s="35" t="n"/>
    </row>
    <row r="15">
      <c r="A15" s="35" t="n">
        <v>5</v>
      </c>
      <c r="B15" s="35" t="inlineStr">
        <is>
          <t>2026-10-04</t>
        </is>
      </c>
      <c r="C15" s="35" t="inlineStr">
        <is>
          <t>Pac-12</t>
        </is>
      </c>
      <c r="D15" s="35" t="inlineStr">
        <is>
          <t>Pac-12</t>
        </is>
      </c>
      <c r="E15" s="35" t="inlineStr">
        <is>
          <t>Texas State</t>
        </is>
      </c>
      <c r="F15" s="35" t="inlineStr">
        <is>
          <t>San Diego State</t>
        </is>
      </c>
      <c r="G15" s="35" t="n">
        <v>3.8</v>
      </c>
      <c r="H15" s="35" t="n">
        <v>8.5</v>
      </c>
      <c r="I15" s="40" t="n">
        <v>4.7</v>
      </c>
      <c r="J15" s="35" t="n">
        <v>2.7</v>
      </c>
      <c r="K15" s="35" t="n">
        <v>-0.7</v>
      </c>
      <c r="L15" s="35" t="n">
        <v>53.6</v>
      </c>
      <c r="M15" s="35" t="n">
        <v>57.5</v>
      </c>
      <c r="N15" s="40" t="n">
        <v>-3.9</v>
      </c>
      <c r="O15" s="35" t="n"/>
      <c r="P15" s="35" t="n"/>
      <c r="Q15" s="35" t="n"/>
    </row>
    <row r="16">
      <c r="A16" s="35" t="n">
        <v>5</v>
      </c>
      <c r="B16" s="35" t="inlineStr">
        <is>
          <t>2026-10-04</t>
        </is>
      </c>
      <c r="C16" s="35" t="inlineStr">
        <is>
          <t>Pac-12</t>
        </is>
      </c>
      <c r="D16" s="35" t="inlineStr">
        <is>
          <t>Pac-12</t>
        </is>
      </c>
      <c r="E16" s="35" t="inlineStr">
        <is>
          <t>Fresno State</t>
        </is>
      </c>
      <c r="F16" s="35" t="inlineStr">
        <is>
          <t>Washington State</t>
        </is>
      </c>
      <c r="G16" s="35" t="n">
        <v>-7.8</v>
      </c>
      <c r="H16" s="35" t="n">
        <v>-1.8</v>
      </c>
      <c r="I16" s="40" t="n">
        <v>6.1</v>
      </c>
      <c r="J16" s="35" t="n">
        <v>2.5</v>
      </c>
      <c r="K16" s="35" t="n">
        <v>1.7</v>
      </c>
      <c r="L16" s="35" t="n">
        <v>41.4</v>
      </c>
      <c r="M16" s="35" t="n">
        <v>45.5</v>
      </c>
      <c r="N16" s="40" t="n">
        <v>-4.1</v>
      </c>
      <c r="O16" s="35" t="n"/>
      <c r="P16" s="35" t="n"/>
      <c r="Q16" s="35" t="n"/>
    </row>
  </sheetData>
  <autoFilter ref="A12:Q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SEC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Alabama</t>
        </is>
      </c>
      <c r="B3" s="35" t="n">
        <v>3</v>
      </c>
      <c r="C3" s="35" t="n">
        <v>0</v>
      </c>
      <c r="D3" s="35" t="n">
        <v>1</v>
      </c>
      <c r="E3" s="35" t="n">
        <v>5</v>
      </c>
      <c r="F3" s="35" t="n">
        <v>0</v>
      </c>
    </row>
    <row r="4">
      <c r="A4" s="35" t="inlineStr">
        <is>
          <t>Georgia</t>
        </is>
      </c>
      <c r="B4" s="35" t="n">
        <v>3</v>
      </c>
      <c r="C4" s="35" t="n">
        <v>0</v>
      </c>
      <c r="D4" s="35" t="n">
        <v>1</v>
      </c>
      <c r="E4" s="35" t="n">
        <v>5</v>
      </c>
      <c r="F4" s="35" t="n">
        <v>0</v>
      </c>
    </row>
    <row r="5">
      <c r="A5" s="35" t="inlineStr">
        <is>
          <t>Florida</t>
        </is>
      </c>
      <c r="B5" s="35" t="n">
        <v>2</v>
      </c>
      <c r="C5" s="35" t="n">
        <v>0</v>
      </c>
      <c r="D5" s="35" t="n">
        <v>1</v>
      </c>
      <c r="E5" s="35" t="n">
        <v>4</v>
      </c>
      <c r="F5" s="35" t="n">
        <v>0</v>
      </c>
    </row>
    <row r="6">
      <c r="A6" s="35" t="inlineStr">
        <is>
          <t>Texas</t>
        </is>
      </c>
      <c r="B6" s="35" t="n">
        <v>1</v>
      </c>
      <c r="C6" s="35" t="n">
        <v>0</v>
      </c>
      <c r="D6" s="35" t="n">
        <v>1</v>
      </c>
      <c r="E6" s="35" t="n">
        <v>4</v>
      </c>
      <c r="F6" s="35" t="n">
        <v>0</v>
      </c>
    </row>
    <row r="7">
      <c r="A7" s="35" t="inlineStr">
        <is>
          <t>Mississippi State</t>
        </is>
      </c>
      <c r="B7" s="35" t="n">
        <v>2</v>
      </c>
      <c r="C7" s="35" t="n">
        <v>1</v>
      </c>
      <c r="D7" s="35" t="n">
        <v>0.667</v>
      </c>
      <c r="E7" s="35" t="n">
        <v>4</v>
      </c>
      <c r="F7" s="35" t="n">
        <v>1</v>
      </c>
    </row>
    <row r="8">
      <c r="A8" s="35" t="inlineStr">
        <is>
          <t>Auburn</t>
        </is>
      </c>
      <c r="B8" s="35" t="n">
        <v>1</v>
      </c>
      <c r="C8" s="35" t="n">
        <v>1</v>
      </c>
      <c r="D8" s="35" t="n">
        <v>0.5</v>
      </c>
      <c r="E8" s="35" t="n">
        <v>3</v>
      </c>
      <c r="F8" s="35" t="n">
        <v>1</v>
      </c>
    </row>
    <row r="9">
      <c r="A9" s="35" t="inlineStr">
        <is>
          <t>Kentucky</t>
        </is>
      </c>
      <c r="B9" s="35" t="n">
        <v>1</v>
      </c>
      <c r="C9" s="35" t="n">
        <v>1</v>
      </c>
      <c r="D9" s="35" t="n">
        <v>0.5</v>
      </c>
      <c r="E9" s="35" t="n">
        <v>3</v>
      </c>
      <c r="F9" s="35" t="n">
        <v>1</v>
      </c>
    </row>
    <row r="10">
      <c r="A10" s="35" t="inlineStr">
        <is>
          <t>LSU</t>
        </is>
      </c>
      <c r="B10" s="35" t="n">
        <v>1</v>
      </c>
      <c r="C10" s="35" t="n">
        <v>1</v>
      </c>
      <c r="D10" s="35" t="n">
        <v>0.5</v>
      </c>
      <c r="E10" s="35" t="n">
        <v>3</v>
      </c>
      <c r="F10" s="35" t="n">
        <v>1</v>
      </c>
    </row>
    <row r="11">
      <c r="A11" s="35" t="inlineStr">
        <is>
          <t>Ole Miss</t>
        </is>
      </c>
      <c r="B11" s="35" t="n">
        <v>1</v>
      </c>
      <c r="C11" s="35" t="n">
        <v>1</v>
      </c>
      <c r="D11" s="35" t="n">
        <v>0.5</v>
      </c>
      <c r="E11" s="35" t="n">
        <v>3</v>
      </c>
      <c r="F11" s="35" t="n">
        <v>1</v>
      </c>
    </row>
    <row r="12">
      <c r="A12" s="35" t="inlineStr">
        <is>
          <t>Missouri</t>
        </is>
      </c>
      <c r="B12" s="35" t="n">
        <v>0</v>
      </c>
      <c r="C12" s="35" t="n">
        <v>1</v>
      </c>
      <c r="D12" s="35" t="n">
        <v>0</v>
      </c>
      <c r="E12" s="35" t="n">
        <v>3</v>
      </c>
      <c r="F12" s="35" t="n">
        <v>1</v>
      </c>
    </row>
    <row r="13">
      <c r="A13" s="35" t="inlineStr">
        <is>
          <t>Tennessee</t>
        </is>
      </c>
      <c r="B13" s="35" t="n">
        <v>0</v>
      </c>
      <c r="C13" s="35" t="n">
        <v>1</v>
      </c>
      <c r="D13" s="35" t="n">
        <v>0</v>
      </c>
      <c r="E13" s="35" t="n">
        <v>3</v>
      </c>
      <c r="F13" s="35" t="n">
        <v>1</v>
      </c>
    </row>
    <row r="14">
      <c r="A14" s="35" t="inlineStr">
        <is>
          <t>Vanderbilt</t>
        </is>
      </c>
      <c r="B14" s="35" t="n">
        <v>0</v>
      </c>
      <c r="C14" s="35" t="n">
        <v>2</v>
      </c>
      <c r="D14" s="35" t="n">
        <v>0</v>
      </c>
      <c r="E14" s="35" t="n">
        <v>3</v>
      </c>
      <c r="F14" s="35" t="n">
        <v>2</v>
      </c>
    </row>
    <row r="15">
      <c r="A15" s="35" t="inlineStr">
        <is>
          <t>Arkansas</t>
        </is>
      </c>
      <c r="B15" s="35" t="n">
        <v>0</v>
      </c>
      <c r="C15" s="35" t="n">
        <v>1</v>
      </c>
      <c r="D15" s="35" t="n">
        <v>0</v>
      </c>
      <c r="E15" s="35" t="n">
        <v>2</v>
      </c>
      <c r="F15" s="35" t="n">
        <v>2</v>
      </c>
    </row>
    <row r="16">
      <c r="A16" s="35" t="inlineStr">
        <is>
          <t>Oklahoma</t>
        </is>
      </c>
      <c r="B16" s="35" t="n">
        <v>0</v>
      </c>
      <c r="C16" s="35" t="n">
        <v>1</v>
      </c>
      <c r="D16" s="35" t="n">
        <v>0</v>
      </c>
      <c r="E16" s="35" t="n">
        <v>2</v>
      </c>
      <c r="F16" s="35" t="n">
        <v>2</v>
      </c>
    </row>
    <row r="17">
      <c r="A17" s="35" t="inlineStr">
        <is>
          <t>South Carolina</t>
        </is>
      </c>
      <c r="B17" s="35" t="n">
        <v>0</v>
      </c>
      <c r="C17" s="35" t="n">
        <v>2</v>
      </c>
      <c r="D17" s="35" t="n">
        <v>0</v>
      </c>
      <c r="E17" s="35" t="n">
        <v>2</v>
      </c>
      <c r="F17" s="35" t="n">
        <v>2</v>
      </c>
    </row>
    <row r="18">
      <c r="A18" s="35" t="inlineStr">
        <is>
          <t>Texas A&amp;M</t>
        </is>
      </c>
      <c r="B18" s="35" t="n">
        <v>0</v>
      </c>
      <c r="C18" s="35" t="n">
        <v>2</v>
      </c>
      <c r="D18" s="35" t="n">
        <v>0</v>
      </c>
      <c r="E18" s="35" t="n">
        <v>2</v>
      </c>
      <c r="F18" s="35" t="n">
        <v>2</v>
      </c>
    </row>
    <row r="20" ht="26.5" customHeight="1">
      <c r="A20" s="39" t="inlineStr">
        <is>
          <t>Week</t>
        </is>
      </c>
      <c r="B20" s="39" t="inlineStr">
        <is>
          <t>Date</t>
        </is>
      </c>
      <c r="C20" s="39" t="inlineStr">
        <is>
          <t>Home Conf</t>
        </is>
      </c>
      <c r="D20" s="39" t="inlineStr">
        <is>
          <t>Away Conf</t>
        </is>
      </c>
      <c r="E20" s="39" t="inlineStr">
        <is>
          <t>Away Team</t>
        </is>
      </c>
      <c r="F20" s="39" t="inlineStr">
        <is>
          <t>Home Team</t>
        </is>
      </c>
      <c r="G20" s="39" t="inlineStr">
        <is>
          <t>Model Line (Home)</t>
        </is>
      </c>
      <c r="H20" s="39" t="inlineStr">
        <is>
          <t>Market Line (Home)</t>
        </is>
      </c>
      <c r="I20" s="39" t="inlineStr">
        <is>
          <t>Spread Edge (pts)</t>
        </is>
      </c>
      <c r="J20" s="39" t="inlineStr">
        <is>
          <t>Ridge Line (Home)</t>
        </is>
      </c>
      <c r="K20" s="39" t="inlineStr">
        <is>
          <t>Massey Line (Home)</t>
        </is>
      </c>
      <c r="L20" s="39" t="inlineStr">
        <is>
          <t>Model Total</t>
        </is>
      </c>
      <c r="M20" s="39" t="inlineStr">
        <is>
          <t>Market Total</t>
        </is>
      </c>
      <c r="N20" s="39" t="inlineStr">
        <is>
          <t>Total Edge (pts)</t>
        </is>
      </c>
      <c r="O20" s="39" t="inlineStr">
        <is>
          <t>Away Pts</t>
        </is>
      </c>
      <c r="P20" s="39" t="inlineStr">
        <is>
          <t>Home Pts</t>
        </is>
      </c>
      <c r="Q20" s="39" t="inlineStr">
        <is>
          <t>Model Result</t>
        </is>
      </c>
    </row>
    <row r="21">
      <c r="A21" s="35" t="n">
        <v>5</v>
      </c>
      <c r="B21" s="35" t="inlineStr">
        <is>
          <t>2026-10-03</t>
        </is>
      </c>
      <c r="C21" s="35" t="inlineStr">
        <is>
          <t>SEC</t>
        </is>
      </c>
      <c r="D21" s="35" t="inlineStr">
        <is>
          <t>SEC</t>
        </is>
      </c>
      <c r="E21" s="35" t="inlineStr">
        <is>
          <t>Vanderbilt</t>
        </is>
      </c>
      <c r="F21" s="35" t="inlineStr">
        <is>
          <t>Georgia</t>
        </is>
      </c>
      <c r="G21" s="35" t="n">
        <v>-17.2</v>
      </c>
      <c r="H21" s="35" t="n">
        <v>-25.2</v>
      </c>
      <c r="I21" s="40" t="n">
        <v>-8</v>
      </c>
      <c r="J21" s="35" t="n">
        <v>-20.6</v>
      </c>
      <c r="K21" s="35" t="n">
        <v>-23.4</v>
      </c>
      <c r="L21" s="35" t="n">
        <v>49</v>
      </c>
      <c r="M21" s="35" t="n">
        <v>50.8</v>
      </c>
      <c r="N21" s="35" t="n">
        <v>-1.8</v>
      </c>
      <c r="O21" s="35" t="n">
        <v>14</v>
      </c>
      <c r="P21" s="35" t="n">
        <v>38</v>
      </c>
      <c r="Q21" s="40" t="inlineStr">
        <is>
          <t>Win</t>
        </is>
      </c>
    </row>
    <row r="22">
      <c r="A22" s="35" t="n">
        <v>5</v>
      </c>
      <c r="B22" s="35" t="inlineStr">
        <is>
          <t>2026-10-03</t>
        </is>
      </c>
      <c r="C22" s="35" t="inlineStr">
        <is>
          <t>SEC</t>
        </is>
      </c>
      <c r="D22" s="35" t="inlineStr">
        <is>
          <t>Southland</t>
        </is>
      </c>
      <c r="E22" s="35" t="inlineStr">
        <is>
          <t>McNeese</t>
        </is>
      </c>
      <c r="F22" s="35" t="inlineStr">
        <is>
          <t>LSU</t>
        </is>
      </c>
      <c r="G22" s="35" t="n">
        <v>-61.5</v>
      </c>
      <c r="H22" s="35" t="n">
        <v>-52.8</v>
      </c>
      <c r="I22" s="40" t="n">
        <v>8.699999999999999</v>
      </c>
      <c r="J22" s="35" t="n">
        <v>-40.8</v>
      </c>
      <c r="K22" s="35" t="n">
        <v>-23.6</v>
      </c>
      <c r="L22" s="35" t="n">
        <v>57.7</v>
      </c>
      <c r="M22" s="35" t="n">
        <v>61.5</v>
      </c>
      <c r="N22" s="40" t="n">
        <v>-3.8</v>
      </c>
      <c r="O22" s="35" t="n"/>
      <c r="P22" s="35" t="n"/>
      <c r="Q22" s="35" t="n"/>
    </row>
    <row r="23">
      <c r="A23" s="35" t="n">
        <v>5</v>
      </c>
      <c r="B23" s="35" t="inlineStr">
        <is>
          <t>2026-10-03</t>
        </is>
      </c>
      <c r="C23" s="35" t="inlineStr">
        <is>
          <t>SEC</t>
        </is>
      </c>
      <c r="D23" s="35" t="inlineStr">
        <is>
          <t>SEC</t>
        </is>
      </c>
      <c r="E23" s="35" t="inlineStr">
        <is>
          <t>Alabama</t>
        </is>
      </c>
      <c r="F23" s="35" t="inlineStr">
        <is>
          <t>Mississippi State</t>
        </is>
      </c>
      <c r="G23" s="35" t="n">
        <v>11.7</v>
      </c>
      <c r="H23" s="35" t="n">
        <v>5.8</v>
      </c>
      <c r="I23" s="40" t="n">
        <v>-6</v>
      </c>
      <c r="J23" s="35" t="n">
        <v>12.2</v>
      </c>
      <c r="K23" s="35" t="n">
        <v>-0.2</v>
      </c>
      <c r="L23" s="35" t="n">
        <v>55.4</v>
      </c>
      <c r="M23" s="35" t="n">
        <v>60.2</v>
      </c>
      <c r="N23" s="40" t="n">
        <v>-4.9</v>
      </c>
      <c r="O23" s="35" t="n">
        <v>56</v>
      </c>
      <c r="P23" s="35" t="n">
        <v>23</v>
      </c>
      <c r="Q23" s="40" t="inlineStr">
        <is>
          <t>Win</t>
        </is>
      </c>
    </row>
    <row r="24">
      <c r="A24" s="35" t="n">
        <v>5</v>
      </c>
      <c r="B24" s="35" t="inlineStr">
        <is>
          <t>2026-10-03</t>
        </is>
      </c>
      <c r="C24" s="35" t="inlineStr">
        <is>
          <t>SEC</t>
        </is>
      </c>
      <c r="D24" s="35" t="inlineStr">
        <is>
          <t>SEC</t>
        </is>
      </c>
      <c r="E24" s="35" t="inlineStr">
        <is>
          <t>Florida</t>
        </is>
      </c>
      <c r="F24" s="35" t="inlineStr">
        <is>
          <t>Missouri</t>
        </is>
      </c>
      <c r="G24" s="35" t="n">
        <v>2.9</v>
      </c>
      <c r="H24" s="35" t="n">
        <v>5.5</v>
      </c>
      <c r="I24" s="40" t="n">
        <v>2.6</v>
      </c>
      <c r="J24" s="35" t="n">
        <v>0.8</v>
      </c>
      <c r="K24" s="35" t="n">
        <v>4.7</v>
      </c>
      <c r="L24" s="35" t="n">
        <v>51.1</v>
      </c>
      <c r="M24" s="35" t="n">
        <v>57.5</v>
      </c>
      <c r="N24" s="40" t="n">
        <v>-6.4</v>
      </c>
      <c r="O24" s="35" t="n"/>
      <c r="P24" s="35" t="n"/>
      <c r="Q24" s="35" t="n"/>
    </row>
    <row r="25">
      <c r="A25" s="35" t="n">
        <v>5</v>
      </c>
      <c r="B25" s="35" t="inlineStr">
        <is>
          <t>2026-10-03</t>
        </is>
      </c>
      <c r="C25" s="35" t="inlineStr">
        <is>
          <t>SEC</t>
        </is>
      </c>
      <c r="D25" s="35" t="inlineStr">
        <is>
          <t>SEC</t>
        </is>
      </c>
      <c r="E25" s="35" t="inlineStr">
        <is>
          <t>Kentucky</t>
        </is>
      </c>
      <c r="F25" s="35" t="inlineStr">
        <is>
          <t>South Carolina</t>
        </is>
      </c>
      <c r="G25" s="35" t="n">
        <v>-12.9</v>
      </c>
      <c r="H25" s="35" t="n">
        <v>-3</v>
      </c>
      <c r="I25" s="40" t="n">
        <v>9.9</v>
      </c>
      <c r="J25" s="35" t="n">
        <v>-4</v>
      </c>
      <c r="K25" s="35" t="n">
        <v>-5.3</v>
      </c>
      <c r="L25" s="35" t="n">
        <v>51.9</v>
      </c>
      <c r="M25" s="35" t="n">
        <v>54.2</v>
      </c>
      <c r="N25" s="40" t="n">
        <v>-2.4</v>
      </c>
      <c r="O25" s="35" t="n"/>
      <c r="P25" s="35" t="n"/>
      <c r="Q25" s="35" t="n"/>
    </row>
    <row r="26">
      <c r="A26" s="35" t="n">
        <v>5</v>
      </c>
      <c r="B26" s="35" t="inlineStr">
        <is>
          <t>2026-10-03</t>
        </is>
      </c>
      <c r="C26" s="35" t="inlineStr">
        <is>
          <t>SEC</t>
        </is>
      </c>
      <c r="D26" s="35" t="inlineStr">
        <is>
          <t>SEC</t>
        </is>
      </c>
      <c r="E26" s="35" t="inlineStr">
        <is>
          <t>Auburn</t>
        </is>
      </c>
      <c r="F26" s="35" t="inlineStr">
        <is>
          <t>Tennessee</t>
        </is>
      </c>
      <c r="G26" s="35" t="n">
        <v>-11.3</v>
      </c>
      <c r="H26" s="35" t="n">
        <v>-7</v>
      </c>
      <c r="I26" s="40" t="n">
        <v>4.3</v>
      </c>
      <c r="J26" s="35" t="n">
        <v>-14.1</v>
      </c>
      <c r="K26" s="35" t="n">
        <v>-11</v>
      </c>
      <c r="L26" s="35" t="n">
        <v>48</v>
      </c>
      <c r="M26" s="35" t="n">
        <v>53.8</v>
      </c>
      <c r="N26" s="40" t="n">
        <v>-5.7</v>
      </c>
      <c r="O26" s="35" t="n"/>
      <c r="P26" s="35" t="n"/>
      <c r="Q26" s="35" t="n"/>
    </row>
    <row r="27">
      <c r="A27" s="35" t="n">
        <v>5</v>
      </c>
      <c r="B27" s="35" t="inlineStr">
        <is>
          <t>2026-10-03</t>
        </is>
      </c>
      <c r="C27" s="35" t="inlineStr">
        <is>
          <t>SEC</t>
        </is>
      </c>
      <c r="D27" s="35" t="inlineStr">
        <is>
          <t>SEC</t>
        </is>
      </c>
      <c r="E27" s="35" t="inlineStr">
        <is>
          <t>Arkansas</t>
        </is>
      </c>
      <c r="F27" s="35" t="inlineStr">
        <is>
          <t>Texas A&amp;M</t>
        </is>
      </c>
      <c r="G27" s="35" t="n">
        <v>-17</v>
      </c>
      <c r="H27" s="35" t="n">
        <v>-14</v>
      </c>
      <c r="I27" s="40" t="n">
        <v>3</v>
      </c>
      <c r="J27" s="35" t="n">
        <v>-16.9</v>
      </c>
      <c r="K27" s="35" t="n">
        <v>-9.699999999999999</v>
      </c>
      <c r="L27" s="35" t="n">
        <v>49</v>
      </c>
      <c r="M27" s="35" t="n">
        <v>50.2</v>
      </c>
      <c r="N27" s="35" t="n">
        <v>-1.3</v>
      </c>
      <c r="O27" s="35" t="n"/>
      <c r="P27" s="35" t="n"/>
      <c r="Q27" s="35" t="n"/>
    </row>
  </sheetData>
  <autoFilter ref="A20:Q2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selection pane="bottomLeft" activeCell="A1" sqref="A1"/>
    </sheetView>
  </sheetViews>
  <sheetFormatPr baseColWidth="8" defaultRowHeight="14.5"/>
  <cols>
    <col width="22" customWidth="1" min="1" max="1"/>
    <col width="11" customWidth="1" min="2" max="2"/>
    <col width="12" customWidth="1" min="3" max="4"/>
    <col width="12" customWidth="1" min="4" max="4"/>
    <col width="15" customWidth="1" min="5" max="6"/>
    <col width="15" customWidth="1" min="6" max="6"/>
    <col width="16" customWidth="1" min="7" max="8"/>
    <col width="16" customWidth="1" min="8" max="8"/>
    <col width="14" customWidth="1" min="9" max="9"/>
    <col width="15" customWidth="1" min="10" max="11"/>
    <col width="15" customWidth="1" min="11" max="11"/>
    <col width="11" customWidth="1" min="12" max="13"/>
    <col width="11" customWidth="1" min="13" max="13"/>
    <col width="12" customWidth="1" min="14" max="14"/>
    <col width="9" customWidth="1" min="15" max="16"/>
    <col width="9" customWidth="1" min="16" max="16"/>
    <col width="12" customWidth="1" min="17" max="17"/>
  </cols>
  <sheetData>
    <row r="1" ht="15.5" customHeight="1">
      <c r="A1" s="34" t="inlineStr">
        <is>
          <t>Sun Belt Standings</t>
        </is>
      </c>
    </row>
    <row r="2">
      <c r="A2" s="43" t="inlineStr">
        <is>
          <t>Team</t>
        </is>
      </c>
      <c r="B2" s="43" t="inlineStr">
        <is>
          <t>Conf W</t>
        </is>
      </c>
      <c r="C2" s="43" t="inlineStr">
        <is>
          <t>Conf L</t>
        </is>
      </c>
      <c r="D2" s="43" t="inlineStr">
        <is>
          <t>Conf Pct</t>
        </is>
      </c>
      <c r="E2" s="43" t="inlineStr">
        <is>
          <t>Overall W</t>
        </is>
      </c>
      <c r="F2" s="43" t="inlineStr">
        <is>
          <t>Overall L</t>
        </is>
      </c>
    </row>
    <row r="3">
      <c r="A3" s="35" t="inlineStr">
        <is>
          <t>James Madison</t>
        </is>
      </c>
      <c r="B3" s="35" t="n">
        <v>1</v>
      </c>
      <c r="C3" s="35" t="n">
        <v>0</v>
      </c>
      <c r="D3" s="35" t="n">
        <v>1</v>
      </c>
      <c r="E3" s="35" t="n">
        <v>4</v>
      </c>
      <c r="F3" s="35" t="n">
        <v>0</v>
      </c>
    </row>
    <row r="4">
      <c r="A4" s="35" t="inlineStr">
        <is>
          <t>App State</t>
        </is>
      </c>
      <c r="B4" s="35" t="n">
        <v>0</v>
      </c>
      <c r="C4" s="35" t="n">
        <v>0</v>
      </c>
      <c r="D4" s="35" t="n"/>
      <c r="E4" s="35" t="n">
        <v>3</v>
      </c>
      <c r="F4" s="35" t="n">
        <v>1</v>
      </c>
    </row>
    <row r="5">
      <c r="A5" s="35" t="inlineStr">
        <is>
          <t>Georgia State</t>
        </is>
      </c>
      <c r="B5" s="35" t="n">
        <v>0</v>
      </c>
      <c r="C5" s="35" t="n">
        <v>0</v>
      </c>
      <c r="D5" s="35" t="n"/>
      <c r="E5" s="35" t="n">
        <v>3</v>
      </c>
      <c r="F5" s="35" t="n">
        <v>1</v>
      </c>
    </row>
    <row r="6">
      <c r="A6" s="35" t="inlineStr">
        <is>
          <t>Louisiana</t>
        </is>
      </c>
      <c r="B6" s="35" t="n">
        <v>0</v>
      </c>
      <c r="C6" s="35" t="n">
        <v>0</v>
      </c>
      <c r="D6" s="35" t="n"/>
      <c r="E6" s="35" t="n">
        <v>3</v>
      </c>
      <c r="F6" s="35" t="n">
        <v>1</v>
      </c>
    </row>
    <row r="7">
      <c r="A7" s="35" t="inlineStr">
        <is>
          <t>Marshall</t>
        </is>
      </c>
      <c r="B7" s="35" t="n">
        <v>0</v>
      </c>
      <c r="C7" s="35" t="n">
        <v>0</v>
      </c>
      <c r="D7" s="35" t="n"/>
      <c r="E7" s="35" t="n">
        <v>3</v>
      </c>
      <c r="F7" s="35" t="n">
        <v>1</v>
      </c>
    </row>
    <row r="8">
      <c r="A8" s="35" t="inlineStr">
        <is>
          <t>Arkansas State</t>
        </is>
      </c>
      <c r="B8" s="35" t="n">
        <v>0</v>
      </c>
      <c r="C8" s="35" t="n">
        <v>0</v>
      </c>
      <c r="D8" s="35" t="n"/>
      <c r="E8" s="35" t="n">
        <v>2</v>
      </c>
      <c r="F8" s="35" t="n">
        <v>2</v>
      </c>
    </row>
    <row r="9">
      <c r="A9" s="35" t="inlineStr">
        <is>
          <t>South Alabama</t>
        </is>
      </c>
      <c r="B9" s="35" t="n">
        <v>0</v>
      </c>
      <c r="C9" s="35" t="n">
        <v>0</v>
      </c>
      <c r="D9" s="35" t="n"/>
      <c r="E9" s="35" t="n">
        <v>2</v>
      </c>
      <c r="F9" s="35" t="n">
        <v>2</v>
      </c>
    </row>
    <row r="10">
      <c r="A10" s="35" t="inlineStr">
        <is>
          <t>Troy</t>
        </is>
      </c>
      <c r="B10" s="35" t="n">
        <v>0</v>
      </c>
      <c r="C10" s="35" t="n">
        <v>0</v>
      </c>
      <c r="D10" s="35" t="n"/>
      <c r="E10" s="35" t="n">
        <v>2</v>
      </c>
      <c r="F10" s="35" t="n">
        <v>2</v>
      </c>
    </row>
    <row r="11">
      <c r="A11" s="35" t="inlineStr">
        <is>
          <t>Louisiana Tech</t>
        </is>
      </c>
      <c r="B11" s="35" t="n">
        <v>0</v>
      </c>
      <c r="C11" s="35" t="n">
        <v>0</v>
      </c>
      <c r="D11" s="35" t="n"/>
      <c r="E11" s="35" t="n">
        <v>1</v>
      </c>
      <c r="F11" s="35" t="n">
        <v>2</v>
      </c>
    </row>
    <row r="12">
      <c r="A12" s="35" t="inlineStr">
        <is>
          <t>Coastal Carolina</t>
        </is>
      </c>
      <c r="B12" s="35" t="n">
        <v>0</v>
      </c>
      <c r="C12" s="35" t="n">
        <v>0</v>
      </c>
      <c r="D12" s="35" t="n"/>
      <c r="E12" s="35" t="n">
        <v>1</v>
      </c>
      <c r="F12" s="35" t="n">
        <v>3</v>
      </c>
    </row>
    <row r="13">
      <c r="A13" s="35" t="inlineStr">
        <is>
          <t>Georgia Southern</t>
        </is>
      </c>
      <c r="B13" s="35" t="n">
        <v>0</v>
      </c>
      <c r="C13" s="35" t="n">
        <v>0</v>
      </c>
      <c r="D13" s="35" t="n"/>
      <c r="E13" s="35" t="n">
        <v>1</v>
      </c>
      <c r="F13" s="35" t="n">
        <v>3</v>
      </c>
    </row>
    <row r="14">
      <c r="A14" s="35" t="inlineStr">
        <is>
          <t>Old Dominion</t>
        </is>
      </c>
      <c r="B14" s="35" t="n">
        <v>0</v>
      </c>
      <c r="C14" s="35" t="n">
        <v>1</v>
      </c>
      <c r="D14" s="35" t="n">
        <v>0</v>
      </c>
      <c r="E14" s="35" t="n">
        <v>1</v>
      </c>
      <c r="F14" s="35" t="n">
        <v>3</v>
      </c>
    </row>
    <row r="15">
      <c r="A15" s="35" t="inlineStr">
        <is>
          <t>Southern Miss</t>
        </is>
      </c>
      <c r="B15" s="35" t="n">
        <v>0</v>
      </c>
      <c r="C15" s="35" t="n">
        <v>0</v>
      </c>
      <c r="D15" s="35" t="n"/>
      <c r="E15" s="35" t="n">
        <v>1</v>
      </c>
      <c r="F15" s="35" t="n">
        <v>3</v>
      </c>
    </row>
    <row r="16">
      <c r="A16" s="35" t="inlineStr">
        <is>
          <t>UL Monroe</t>
        </is>
      </c>
      <c r="B16" s="35" t="n">
        <v>0</v>
      </c>
      <c r="C16" s="35" t="n">
        <v>0</v>
      </c>
      <c r="D16" s="35" t="n"/>
      <c r="E16" s="35" t="n">
        <v>0</v>
      </c>
      <c r="F16" s="35" t="n">
        <v>4</v>
      </c>
    </row>
    <row r="18" ht="26.5" customHeight="1">
      <c r="A18" s="39" t="inlineStr">
        <is>
          <t>Week</t>
        </is>
      </c>
      <c r="B18" s="39" t="inlineStr">
        <is>
          <t>Date</t>
        </is>
      </c>
      <c r="C18" s="39" t="inlineStr">
        <is>
          <t>Home Conf</t>
        </is>
      </c>
      <c r="D18" s="39" t="inlineStr">
        <is>
          <t>Away Conf</t>
        </is>
      </c>
      <c r="E18" s="39" t="inlineStr">
        <is>
          <t>Away Team</t>
        </is>
      </c>
      <c r="F18" s="39" t="inlineStr">
        <is>
          <t>Home Team</t>
        </is>
      </c>
      <c r="G18" s="39" t="inlineStr">
        <is>
          <t>Model Line (Home)</t>
        </is>
      </c>
      <c r="H18" s="39" t="inlineStr">
        <is>
          <t>Market Line (Home)</t>
        </is>
      </c>
      <c r="I18" s="39" t="inlineStr">
        <is>
          <t>Spread Edge (pts)</t>
        </is>
      </c>
      <c r="J18" s="39" t="inlineStr">
        <is>
          <t>Ridge Line (Home)</t>
        </is>
      </c>
      <c r="K18" s="39" t="inlineStr">
        <is>
          <t>Massey Line (Home)</t>
        </is>
      </c>
      <c r="L18" s="39" t="inlineStr">
        <is>
          <t>Model Total</t>
        </is>
      </c>
      <c r="M18" s="39" t="inlineStr">
        <is>
          <t>Market Total</t>
        </is>
      </c>
      <c r="N18" s="39" t="inlineStr">
        <is>
          <t>Total Edge (pts)</t>
        </is>
      </c>
      <c r="O18" s="39" t="inlineStr">
        <is>
          <t>Away Pts</t>
        </is>
      </c>
      <c r="P18" s="39" t="inlineStr">
        <is>
          <t>Home Pts</t>
        </is>
      </c>
      <c r="Q18" s="39" t="inlineStr">
        <is>
          <t>Model Result</t>
        </is>
      </c>
    </row>
    <row r="19">
      <c r="A19" s="35" t="n">
        <v>5</v>
      </c>
      <c r="B19" s="35" t="inlineStr">
        <is>
          <t>2026-10-03</t>
        </is>
      </c>
      <c r="C19" s="35" t="inlineStr">
        <is>
          <t>Sun Belt</t>
        </is>
      </c>
      <c r="D19" s="35" t="inlineStr">
        <is>
          <t>Sun Belt</t>
        </is>
      </c>
      <c r="E19" s="35" t="inlineStr">
        <is>
          <t>Georgia Southern</t>
        </is>
      </c>
      <c r="F19" s="35" t="inlineStr">
        <is>
          <t>Coastal Carolina</t>
        </is>
      </c>
      <c r="G19" s="35" t="n">
        <v>0.2</v>
      </c>
      <c r="H19" s="35" t="n">
        <v>1.5</v>
      </c>
      <c r="I19" s="35" t="n">
        <v>1.3</v>
      </c>
      <c r="J19" s="35" t="n">
        <v>0.3</v>
      </c>
      <c r="K19" s="35" t="n">
        <v>-3.7</v>
      </c>
      <c r="L19" s="35" t="n">
        <v>55.6</v>
      </c>
      <c r="M19" s="35" t="n">
        <v>53.8</v>
      </c>
      <c r="N19" s="35" t="n">
        <v>1.9</v>
      </c>
      <c r="O19" s="35" t="n"/>
      <c r="P19" s="35" t="n"/>
      <c r="Q19" s="35" t="n"/>
    </row>
    <row r="20">
      <c r="A20" s="35" t="n">
        <v>5</v>
      </c>
      <c r="B20" s="35" t="inlineStr">
        <is>
          <t>2026-10-03</t>
        </is>
      </c>
      <c r="C20" s="35" t="inlineStr">
        <is>
          <t>Sun Belt</t>
        </is>
      </c>
      <c r="D20" s="35" t="inlineStr">
        <is>
          <t>Sun Belt</t>
        </is>
      </c>
      <c r="E20" s="35" t="inlineStr">
        <is>
          <t>Old Dominion</t>
        </is>
      </c>
      <c r="F20" s="35" t="inlineStr">
        <is>
          <t>Georgia State</t>
        </is>
      </c>
      <c r="G20" s="35" t="n">
        <v>11.1</v>
      </c>
      <c r="H20" s="35" t="n">
        <v>-2.5</v>
      </c>
      <c r="I20" s="40" t="n">
        <v>-13.6</v>
      </c>
      <c r="J20" s="35" t="n">
        <v>-0.2</v>
      </c>
      <c r="K20" s="35" t="n">
        <v>-18.2</v>
      </c>
      <c r="L20" s="35" t="n">
        <v>48.5</v>
      </c>
      <c r="M20" s="35" t="n">
        <v>51.5</v>
      </c>
      <c r="N20" s="40" t="n">
        <v>-3</v>
      </c>
      <c r="O20" s="35" t="n"/>
      <c r="P20" s="35" t="n"/>
      <c r="Q20" s="35" t="n"/>
    </row>
    <row r="21">
      <c r="A21" s="35" t="n">
        <v>5</v>
      </c>
      <c r="B21" s="35" t="inlineStr">
        <is>
          <t>2026-10-03</t>
        </is>
      </c>
      <c r="C21" s="35" t="inlineStr">
        <is>
          <t>Sun Belt</t>
        </is>
      </c>
      <c r="D21" s="35" t="inlineStr">
        <is>
          <t>Sun Belt</t>
        </is>
      </c>
      <c r="E21" s="35" t="inlineStr">
        <is>
          <t>Marshall</t>
        </is>
      </c>
      <c r="F21" s="35" t="inlineStr">
        <is>
          <t>James Madison</t>
        </is>
      </c>
      <c r="G21" s="35" t="n">
        <v>-28.8</v>
      </c>
      <c r="H21" s="35" t="n">
        <v>-19.2</v>
      </c>
      <c r="I21" s="40" t="n">
        <v>9.6</v>
      </c>
      <c r="J21" s="35" t="n">
        <v>-12.4</v>
      </c>
      <c r="K21" s="35" t="n">
        <v>-26.5</v>
      </c>
      <c r="L21" s="35" t="n">
        <v>56.2</v>
      </c>
      <c r="M21" s="35" t="n">
        <v>56.2</v>
      </c>
      <c r="N21" s="35" t="n">
        <v>0</v>
      </c>
      <c r="O21" s="35" t="n"/>
      <c r="P21" s="35" t="n"/>
      <c r="Q21" s="35" t="n"/>
    </row>
    <row r="22">
      <c r="A22" s="35" t="n">
        <v>5</v>
      </c>
      <c r="B22" s="35" t="inlineStr">
        <is>
          <t>2026-10-03</t>
        </is>
      </c>
      <c r="C22" s="35" t="inlineStr">
        <is>
          <t>Sun Belt</t>
        </is>
      </c>
      <c r="D22" s="35" t="inlineStr">
        <is>
          <t>American Athletic</t>
        </is>
      </c>
      <c r="E22" s="35" t="inlineStr">
        <is>
          <t>Army</t>
        </is>
      </c>
      <c r="F22" s="35" t="inlineStr">
        <is>
          <t>Louisiana Tech</t>
        </is>
      </c>
      <c r="G22" s="35" t="n">
        <v>3.5</v>
      </c>
      <c r="H22" s="35" t="n">
        <v>1.5</v>
      </c>
      <c r="I22" s="40" t="n">
        <v>-2</v>
      </c>
      <c r="J22" s="35" t="n">
        <v>-8.1</v>
      </c>
      <c r="K22" s="35" t="n">
        <v>-1.8</v>
      </c>
      <c r="L22" s="35" t="n">
        <v>53.3</v>
      </c>
      <c r="M22" s="35" t="n">
        <v>47.5</v>
      </c>
      <c r="N22" s="40" t="n">
        <v>5.8</v>
      </c>
      <c r="O22" s="35" t="n"/>
      <c r="P22" s="35" t="n"/>
      <c r="Q22" s="35" t="n"/>
    </row>
    <row r="23">
      <c r="A23" s="35" t="n">
        <v>5</v>
      </c>
      <c r="B23" s="35" t="inlineStr">
        <is>
          <t>2026-10-03</t>
        </is>
      </c>
      <c r="C23" s="35" t="inlineStr">
        <is>
          <t>Sun Belt</t>
        </is>
      </c>
      <c r="D23" s="35" t="inlineStr">
        <is>
          <t>Sun Belt</t>
        </is>
      </c>
      <c r="E23" s="35" t="inlineStr">
        <is>
          <t>UL Monroe</t>
        </is>
      </c>
      <c r="F23" s="35" t="inlineStr">
        <is>
          <t>South Alabama</t>
        </is>
      </c>
      <c r="G23" s="35" t="n">
        <v>-15.6</v>
      </c>
      <c r="H23" s="35" t="n">
        <v>-14</v>
      </c>
      <c r="I23" s="35" t="n">
        <v>1.6</v>
      </c>
      <c r="J23" s="35" t="n">
        <v>-21</v>
      </c>
      <c r="K23" s="35" t="n">
        <v>-18</v>
      </c>
      <c r="L23" s="35" t="n">
        <v>56.6</v>
      </c>
      <c r="M23" s="35" t="n">
        <v>57.5</v>
      </c>
      <c r="N23" s="35" t="n">
        <v>-0.9</v>
      </c>
      <c r="O23" s="35" t="n"/>
      <c r="P23" s="35" t="n"/>
      <c r="Q23" s="35" t="n"/>
    </row>
    <row r="24">
      <c r="A24" s="35" t="n">
        <v>5</v>
      </c>
      <c r="B24" s="35" t="inlineStr">
        <is>
          <t>2026-10-04</t>
        </is>
      </c>
      <c r="C24" s="35" t="inlineStr">
        <is>
          <t>Sun Belt</t>
        </is>
      </c>
      <c r="D24" s="35" t="inlineStr">
        <is>
          <t>Sun Belt</t>
        </is>
      </c>
      <c r="E24" s="35" t="inlineStr">
        <is>
          <t>Arkansas State</t>
        </is>
      </c>
      <c r="F24" s="35" t="inlineStr">
        <is>
          <t>Louisiana</t>
        </is>
      </c>
      <c r="G24" s="35" t="n">
        <v>-4.3</v>
      </c>
      <c r="H24" s="35" t="n">
        <v>-6.5</v>
      </c>
      <c r="I24" s="40" t="n">
        <v>-2.2</v>
      </c>
      <c r="J24" s="35" t="n">
        <v>-7.4</v>
      </c>
      <c r="K24" s="35" t="n">
        <v>-10.4</v>
      </c>
      <c r="L24" s="35" t="n">
        <v>51.4</v>
      </c>
      <c r="M24" s="35" t="n">
        <v>47.8</v>
      </c>
      <c r="N24" s="40" t="n">
        <v>3.7</v>
      </c>
      <c r="O24" s="35" t="n"/>
      <c r="P24" s="35" t="n"/>
      <c r="Q24" s="35" t="n"/>
    </row>
  </sheetData>
  <autoFilter ref="A18:Q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2026-08-25T18:48:36Z</dcterms:created>
  <dcterms:modified xmlns:dcterms="http://purl.org/dc/terms/" xmlns:xsi="http://www.w3.org/2001/XMLSchema-instance" xsi:type="dcterms:W3CDTF">2026-10-03T22:28:20Z</dcterms:modified>
  <cp:lastModifiedBy>Edward Andrewlevich</cp:lastModifiedBy>
  <cp:revision>0</cp:revision>
</cp:coreProperties>
</file>