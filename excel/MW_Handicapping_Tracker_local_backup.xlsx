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ene\Mountain Dub Handicapping\excel\"/>
    </mc:Choice>
  </mc:AlternateContent>
  <xr:revisionPtr revIDLastSave="0" documentId="13_ncr:1_{20A935C9-DF75-4330-93CC-F02393965F6A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Read Me" sheetId="1" r:id="rId1"/>
    <sheet name="Settings" sheetId="2" r:id="rId2"/>
    <sheet name="Weekly Slate" sheetId="3" r:id="rId3"/>
    <sheet name="Bet Log" sheetId="4" r:id="rId4"/>
    <sheet name="Team Profiles" sheetId="5" r:id="rId5"/>
    <sheet name="Model Comparis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3" l="1"/>
  <c r="L14" i="3"/>
  <c r="K14" i="3"/>
  <c r="G14" i="3"/>
  <c r="M14" i="3" s="1"/>
  <c r="N13" i="3"/>
  <c r="M13" i="3"/>
  <c r="K13" i="3"/>
  <c r="L13" i="3" s="1"/>
  <c r="H13" i="3"/>
  <c r="G13" i="3"/>
  <c r="K12" i="3"/>
  <c r="L12" i="3" s="1"/>
  <c r="G12" i="3"/>
  <c r="H12" i="3" s="1"/>
  <c r="N11" i="3"/>
  <c r="K11" i="3"/>
  <c r="L11" i="3" s="1"/>
  <c r="G11" i="3"/>
  <c r="M11" i="3" s="1"/>
  <c r="L10" i="3"/>
  <c r="N10" i="3" s="1"/>
  <c r="K10" i="3"/>
  <c r="G10" i="3"/>
  <c r="H10" i="3" s="1"/>
  <c r="M10" i="3" s="1"/>
  <c r="K9" i="3"/>
  <c r="L9" i="3" s="1"/>
  <c r="H9" i="3"/>
  <c r="M9" i="3" s="1"/>
  <c r="G9" i="3"/>
  <c r="K8" i="3"/>
  <c r="L8" i="3" s="1"/>
  <c r="G8" i="3"/>
  <c r="H8" i="3" s="1"/>
  <c r="K7" i="3"/>
  <c r="L7" i="3" s="1"/>
  <c r="N7" i="3" s="1"/>
  <c r="G7" i="3"/>
  <c r="L6" i="3"/>
  <c r="N6" i="3" s="1"/>
  <c r="K6" i="3"/>
  <c r="G6" i="3"/>
  <c r="H6" i="3" s="1"/>
  <c r="M6" i="3" s="1"/>
  <c r="K5" i="3"/>
  <c r="L5" i="3" s="1"/>
  <c r="H5" i="3"/>
  <c r="M5" i="3" s="1"/>
  <c r="G5" i="3"/>
  <c r="K4" i="3"/>
  <c r="L4" i="3" s="1"/>
  <c r="G4" i="3"/>
  <c r="H4" i="3" s="1"/>
  <c r="K3" i="3"/>
  <c r="L3" i="3" s="1"/>
  <c r="N3" i="3" s="1"/>
  <c r="G3" i="3"/>
  <c r="L2" i="3"/>
  <c r="N2" i="3" s="1"/>
  <c r="K2" i="3"/>
  <c r="G2" i="3"/>
  <c r="H2" i="3" s="1"/>
  <c r="M2" i="3" s="1"/>
  <c r="L41" i="4"/>
  <c r="L40" i="4"/>
  <c r="L39" i="4"/>
  <c r="L38" i="4"/>
  <c r="L37" i="4"/>
  <c r="L36" i="4"/>
  <c r="L35" i="4"/>
  <c r="J35" i="4"/>
  <c r="L34" i="4"/>
  <c r="J34" i="4"/>
  <c r="L33" i="4"/>
  <c r="L32" i="4"/>
  <c r="J32" i="4"/>
  <c r="L31" i="4"/>
  <c r="J31" i="4"/>
  <c r="L30" i="4"/>
  <c r="J30" i="4"/>
  <c r="L29" i="4"/>
  <c r="J29" i="4"/>
  <c r="L28" i="4"/>
  <c r="J28" i="4"/>
  <c r="L27" i="4"/>
  <c r="J27" i="4"/>
  <c r="L26" i="4"/>
  <c r="J26" i="4"/>
  <c r="L25" i="4"/>
  <c r="J25" i="4"/>
  <c r="L24" i="4"/>
  <c r="J24" i="4"/>
  <c r="L23" i="4"/>
  <c r="J23" i="4"/>
  <c r="L22" i="4"/>
  <c r="J22" i="4"/>
  <c r="L21" i="4"/>
  <c r="J21" i="4"/>
  <c r="L20" i="4"/>
  <c r="J20" i="4"/>
  <c r="L19" i="4"/>
  <c r="J19" i="4"/>
  <c r="L18" i="4"/>
  <c r="J18" i="4"/>
  <c r="L17" i="4"/>
  <c r="J17" i="4"/>
  <c r="L16" i="4"/>
  <c r="J16" i="4"/>
  <c r="L15" i="4"/>
  <c r="L14" i="4"/>
  <c r="L13" i="4"/>
  <c r="L12" i="4"/>
  <c r="L11" i="4"/>
  <c r="L10" i="4"/>
  <c r="J10" i="4"/>
  <c r="L9" i="4"/>
  <c r="J9" i="4"/>
  <c r="L8" i="4"/>
  <c r="J8" i="4"/>
  <c r="L7" i="4"/>
  <c r="J7" i="4"/>
  <c r="L6" i="4"/>
  <c r="J6" i="4"/>
  <c r="L5" i="4"/>
  <c r="J5" i="4"/>
  <c r="L4" i="4"/>
  <c r="J4" i="4"/>
  <c r="L3" i="4"/>
  <c r="J3" i="4"/>
  <c r="M2" i="4"/>
  <c r="L2" i="4"/>
  <c r="J2" i="4"/>
  <c r="M27" i="4" l="1"/>
  <c r="M40" i="4"/>
  <c r="M18" i="4"/>
  <c r="M26" i="4"/>
  <c r="M38" i="4"/>
  <c r="N4" i="3"/>
  <c r="N8" i="3"/>
  <c r="N12" i="3"/>
  <c r="H14" i="3"/>
  <c r="M9" i="4"/>
  <c r="M16" i="4"/>
  <c r="M35" i="4"/>
  <c r="M13" i="4"/>
  <c r="M10" i="4"/>
  <c r="M14" i="4"/>
  <c r="M17" i="4"/>
  <c r="M25" i="4"/>
  <c r="M5" i="4"/>
  <c r="M20" i="4"/>
  <c r="M28" i="4"/>
  <c r="M37" i="4"/>
  <c r="M41" i="4"/>
  <c r="H3" i="3"/>
  <c r="M3" i="3" s="1"/>
  <c r="N5" i="3"/>
  <c r="H7" i="3"/>
  <c r="M7" i="3" s="1"/>
  <c r="N9" i="3"/>
  <c r="H11" i="3"/>
  <c r="M8" i="4"/>
  <c r="M11" i="4"/>
  <c r="M15" i="4"/>
  <c r="M23" i="4"/>
  <c r="M31" i="4"/>
  <c r="M34" i="4"/>
  <c r="M4" i="3"/>
  <c r="M8" i="3"/>
  <c r="M12" i="3"/>
  <c r="M3" i="4"/>
  <c r="M6" i="4"/>
  <c r="M12" i="4"/>
  <c r="M21" i="4"/>
  <c r="M29" i="4"/>
  <c r="M24" i="4"/>
  <c r="M32" i="4"/>
  <c r="M39" i="4"/>
  <c r="M4" i="4"/>
  <c r="M19" i="4"/>
  <c r="M7" i="4"/>
  <c r="M22" i="4"/>
  <c r="M30" i="4"/>
  <c r="M33" i="4"/>
  <c r="M36" i="4"/>
</calcChain>
</file>

<file path=xl/sharedStrings.xml><?xml version="1.0" encoding="utf-8"?>
<sst xmlns="http://schemas.openxmlformats.org/spreadsheetml/2006/main" count="822" uniqueCount="438">
  <si>
    <t>Date</t>
  </si>
  <si>
    <t>Week</t>
  </si>
  <si>
    <t>Matchup</t>
  </si>
  <si>
    <t>Bet Type</t>
  </si>
  <si>
    <t>Side</t>
  </si>
  <si>
    <t>Line Taken</t>
  </si>
  <si>
    <t>Odds (American)</t>
  </si>
  <si>
    <t>Stake (units)</t>
  </si>
  <si>
    <t>Closing Line</t>
  </si>
  <si>
    <t>CLV (pts)</t>
  </si>
  <si>
    <t>Result</t>
  </si>
  <si>
    <t>Units Won/Lost</t>
  </si>
  <si>
    <t>Running Bankroll</t>
  </si>
  <si>
    <t>2026-08-29</t>
  </si>
  <si>
    <t>Jacksonville State @ North Dakota State</t>
  </si>
  <si>
    <t>Spread</t>
  </si>
  <si>
    <t>North Dakota State</t>
  </si>
  <si>
    <t>W</t>
  </si>
  <si>
    <t>Moneyline</t>
  </si>
  <si>
    <t>Memphis @ UNLV</t>
  </si>
  <si>
    <t>UNLV</t>
  </si>
  <si>
    <t>L</t>
  </si>
  <si>
    <t>Jacksonville State @ North Dakota State,Memphis @ UNLV</t>
  </si>
  <si>
    <t>ML Parlay</t>
  </si>
  <si>
    <t>North Dakota State / UNLV</t>
  </si>
  <si>
    <t>2026-09-04</t>
  </si>
  <si>
    <t>San José State @ Eastern Michigan</t>
  </si>
  <si>
    <t>Eastern Michigan</t>
  </si>
  <si>
    <t>2026-09-05</t>
  </si>
  <si>
    <t>San José State @ Eastern Michigan, Wyoming at Colorado State</t>
  </si>
  <si>
    <t>Eastern Michigan, Colorado State</t>
  </si>
  <si>
    <t>Wyoming @  Colorado State</t>
  </si>
  <si>
    <t>Colorado State</t>
  </si>
  <si>
    <t>Central Michigan @ New Mexico</t>
  </si>
  <si>
    <t>New Mexico</t>
  </si>
  <si>
    <t>2026-09-07</t>
  </si>
  <si>
    <t>SMU @ Florida State</t>
  </si>
  <si>
    <t>SMU</t>
  </si>
  <si>
    <t>Florida State</t>
  </si>
  <si>
    <t>2026-09-06</t>
  </si>
  <si>
    <t>Louisville @ Ole Miss</t>
  </si>
  <si>
    <t>Louisville</t>
  </si>
  <si>
    <t>Wisconsin @ Notre Dame</t>
  </si>
  <si>
    <t>Wisconsin</t>
  </si>
  <si>
    <t>Clemson @ LSU</t>
  </si>
  <si>
    <t>Clemson</t>
  </si>
  <si>
    <t>Western Michigan @ Michigan</t>
  </si>
  <si>
    <t>Michigan</t>
  </si>
  <si>
    <t>Boise State @ Oregon</t>
  </si>
  <si>
    <t>Boise State</t>
  </si>
  <si>
    <t>Tarleton State @ Bowling Green</t>
  </si>
  <si>
    <t>Bowling Green</t>
  </si>
  <si>
    <t>Miami @ Stanford</t>
  </si>
  <si>
    <t>Miami</t>
  </si>
  <si>
    <t>Fresno State @ USC</t>
  </si>
  <si>
    <t>Total</t>
  </si>
  <si>
    <t>Toledo @ MSU</t>
  </si>
  <si>
    <t>UTEP @ Oklahoma</t>
  </si>
  <si>
    <t>San Jose State @ Eastern Michigan</t>
  </si>
  <si>
    <t>UAB @ Illinois</t>
  </si>
  <si>
    <t>UAB</t>
  </si>
  <si>
    <t>2026-09-12</t>
  </si>
  <si>
    <t>UNLV @ North Texas</t>
  </si>
  <si>
    <t>North Texas</t>
  </si>
  <si>
    <t>2026-09-13</t>
  </si>
  <si>
    <t>North Dakota State @ Airforce</t>
  </si>
  <si>
    <t>New Mexico State @ Hawaii</t>
  </si>
  <si>
    <t>Hawaii</t>
  </si>
  <si>
    <t>CLV note: Closing Line - Line Taken. For a favorite (negative number), a less-negative closing line than what you bet means the market moved toward you -- positive CLV. Read each row in context of which side you took.</t>
  </si>
  <si>
    <t>Mountain West Handicapping Tracker</t>
  </si>
  <si>
    <t>2026 Season</t>
  </si>
  <si>
    <t>How this workbook is meant to be used</t>
  </si>
  <si>
    <t>This workbook is the review/tracking cockpit -- the model itself runs in Python (see the</t>
  </si>
  <si>
    <t>attack plan and the src/ scripts). Each week, paste that week's model output into the blue</t>
  </si>
  <si>
    <t>cells on the Weekly Slate tab; everything else on that tab recalculates automatically.</t>
  </si>
  <si>
    <t>Color legend</t>
  </si>
  <si>
    <t xml:space="preserve">  Blue text      = cells you fill in by hand (model output, market lines, bet results)</t>
  </si>
  <si>
    <t xml:space="preserve">  Black text      = formulas -- don't type over these, they recalculate from the blue cells</t>
  </si>
  <si>
    <t xml:space="preserve">  Yellow fill     = key assumptions on the Settings tab (edit these once, not weekly)</t>
  </si>
  <si>
    <t>Tabs</t>
  </si>
  <si>
    <t xml:space="preserve">  Settings        = bankroll, edge thresholds, and other assumptions used across the workbook</t>
  </si>
  <si>
    <t xml:space="preserve">  Weekly Slate    = this week's matchups: model line vs. market line, edge, and a suggested lean</t>
  </si>
  <si>
    <t xml:space="preserve">  Bet Log         = every bet placed -- stake, line, closing line (for CLV), result, running bankroll</t>
  </si>
  <si>
    <t xml:space="preserve">  Team Profiles   = one row per 2026 Mountain West team, pre-filled with conference history;</t>
  </si>
  <si>
    <t xml:space="preserve">                    paste in power ratings / PPA / talent rank weekly as your pipeline produces them</t>
  </si>
  <si>
    <t>This is a tracking tool, not a guarantee of profit -- see the attack plan's closing note on</t>
  </si>
  <si>
    <t>paper-trading and bankroll discipline before staking real money.</t>
  </si>
  <si>
    <t>Settings &amp; Assumptions</t>
  </si>
  <si>
    <t>Assumption</t>
  </si>
  <si>
    <t>Value</t>
  </si>
  <si>
    <t>Notes</t>
  </si>
  <si>
    <t>Starting bankroll (units)</t>
  </si>
  <si>
    <t>Example: 100 units. 1 unit = whatever flat stake you choose in real currency.</t>
  </si>
  <si>
    <t>Spread edge threshold (pts)</t>
  </si>
  <si>
    <t>Minimum |model line - market line| before a spread is flagged as a lean.</t>
  </si>
  <si>
    <t>Total edge threshold (pts)</t>
  </si>
  <si>
    <t>Minimum |model total - market total| before a total is flagged as a lean.</t>
  </si>
  <si>
    <t>Standard vig odds (American)</t>
  </si>
  <si>
    <t>Reference only -- breakeven win rate at -110 is 52.4%.</t>
  </si>
  <si>
    <t>Away Team</t>
  </si>
  <si>
    <t>Home Team</t>
  </si>
  <si>
    <t>Model Line (Home)</t>
  </si>
  <si>
    <t>Market Line (Home)</t>
  </si>
  <si>
    <t>Spread Edge (pts)</t>
  </si>
  <si>
    <t>Spread Lean</t>
  </si>
  <si>
    <t>Model Total</t>
  </si>
  <si>
    <t>Market Total</t>
  </si>
  <si>
    <t>Total Edge (pts)</t>
  </si>
  <si>
    <t>Total Lean</t>
  </si>
  <si>
    <t>Suggested Bet (Spread)</t>
  </si>
  <si>
    <t>Suggested Bet (Total)</t>
  </si>
  <si>
    <t>Qualitative Notes</t>
  </si>
  <si>
    <t>Final Decision</t>
  </si>
  <si>
    <t>MW WEST Teams</t>
  </si>
  <si>
    <t>Northern Colorado</t>
  </si>
  <si>
    <t>Wyoming</t>
  </si>
  <si>
    <t>Mercyhurst</t>
  </si>
  <si>
    <t>Illinois State</t>
  </si>
  <si>
    <t>Northern Illinois</t>
  </si>
  <si>
    <t>Air Force</t>
  </si>
  <si>
    <t>Texas Southern</t>
  </si>
  <si>
    <t>UTEP</t>
  </si>
  <si>
    <t>Hawai'i</t>
  </si>
  <si>
    <t>Cal Poly</t>
  </si>
  <si>
    <t>San José State</t>
  </si>
  <si>
    <t>Nevada</t>
  </si>
  <si>
    <t>Montana State</t>
  </si>
  <si>
    <t>New Mexico State</t>
  </si>
  <si>
    <t>Team</t>
  </si>
  <si>
    <t>Prior Conference</t>
  </si>
  <si>
    <t>Joined 2026</t>
  </si>
  <si>
    <t>Model Power Rating</t>
  </si>
  <si>
    <t>SP+ Rating</t>
  </si>
  <si>
    <t>Off PPA</t>
  </si>
  <si>
    <t>Def PPA</t>
  </si>
  <si>
    <t>Talent Rank</t>
  </si>
  <si>
    <t>FCS (Missouri Valley Football Conference)</t>
  </si>
  <si>
    <t>Y</t>
  </si>
  <si>
    <t>Full MW history available. Option offense; home elevation ~6,621 ft.</t>
  </si>
  <si>
    <t>Mountain West</t>
  </si>
  <si>
    <t>N</t>
  </si>
  <si>
    <t>Full history. Travel distance/time-zone is a real situational factor for every road game.</t>
  </si>
  <si>
    <t>Full history available.</t>
  </si>
  <si>
    <t>Full history. Home elevation ~5,000+ ft.</t>
  </si>
  <si>
    <t>Zero FBS history — historically dominant FCS program. Pull its FCS-era schedule separately (see pull_ndsu_games() in pull_games.py) since a plain division='fbs' query will not surface it before 2026. Likely market-mispricing candidate in year one since books/public have thin FBS-level reference data on it.</t>
  </si>
  <si>
    <t>No MW history; bring its full MAC-era game log (already FBS, so it's in a plain division='fbs' pull).</t>
  </si>
  <si>
    <t>MAC</t>
  </si>
  <si>
    <t>Full history available. Watch for 'San Jose State' (no accent) in some sources — same team.</t>
  </si>
  <si>
    <t>No MW history; bring its full C-USA-era game log (already FBS).</t>
  </si>
  <si>
    <t>Conference USA</t>
  </si>
  <si>
    <t>Full history. Home elevation ~7,220 ft — coldest, highest venue in the league.</t>
  </si>
  <si>
    <t>Ridge vs. XGBoost vs. Dub Gamma -- Model Comparison</t>
  </si>
  <si>
    <t>Informational only. Ridge is still the live model everywhere else in this workbook and on the website -- XGBoost and the Dub Gamma Model are candidates being evaluated here, not replacements. Gamma has no rating (and so no prediction) for any season before it was seeded -- its columns read "n/a" for older games.</t>
  </si>
  <si>
    <t>All-Time (every season in the backtest)</t>
  </si>
  <si>
    <t>Model</t>
  </si>
  <si>
    <t>Games Graded</t>
  </si>
  <si>
    <t>Picks Graded</t>
  </si>
  <si>
    <t>Wins</t>
  </si>
  <si>
    <t>Losses</t>
  </si>
  <si>
    <t>Pushes</t>
  </si>
  <si>
    <t>ATS Win %</t>
  </si>
  <si>
    <t>ROI (flat stake)</t>
  </si>
  <si>
    <t>Real Edge Bets</t>
  </si>
  <si>
    <t>Real Edge Win %</t>
  </si>
  <si>
    <t>Tightest Of The Three (CLV)</t>
  </si>
  <si>
    <t>CLV Pts (cum.)</t>
  </si>
  <si>
    <t>Ridge (live model) -- all FBS</t>
  </si>
  <si>
    <t>50.0%</t>
  </si>
  <si>
    <t>-4.7%</t>
  </si>
  <si>
    <t>49.7%</t>
  </si>
  <si>
    <t>4036/8531 (47%)</t>
  </si>
  <si>
    <t>+5676.1</t>
  </si>
  <si>
    <t>Ridge (live model) -- MW-involved</t>
  </si>
  <si>
    <t>49.5%</t>
  </si>
  <si>
    <t>-5.4%</t>
  </si>
  <si>
    <t>49.4%</t>
  </si>
  <si>
    <t>454/969 (47%)</t>
  </si>
  <si>
    <t>+600.8</t>
  </si>
  <si>
    <t>XGBoost (candidate) -- all FBS</t>
  </si>
  <si>
    <t>50.5%</t>
  </si>
  <si>
    <t>-3.6%</t>
  </si>
  <si>
    <t>4478/8531 (52%)</t>
  </si>
  <si>
    <t>+758.6</t>
  </si>
  <si>
    <t>XGBoost (candidate) -- MW-involved</t>
  </si>
  <si>
    <t>50.7%</t>
  </si>
  <si>
    <t>-3.2%</t>
  </si>
  <si>
    <t>51.5%</t>
  </si>
  <si>
    <t>512/969 (53%)</t>
  </si>
  <si>
    <t>+895.5</t>
  </si>
  <si>
    <t>Dub Gamma Model (candidate) -- all FBS</t>
  </si>
  <si>
    <t>53.6%</t>
  </si>
  <si>
    <t>+2.3%</t>
  </si>
  <si>
    <t>53.3%</t>
  </si>
  <si>
    <t>17/98 (17%)</t>
  </si>
  <si>
    <t>-1491.4</t>
  </si>
  <si>
    <t>Dub Gamma Model (candidate) -- MW-involved</t>
  </si>
  <si>
    <t>92.3%</t>
  </si>
  <si>
    <t>+76.2%</t>
  </si>
  <si>
    <t>91.7%</t>
  </si>
  <si>
    <t>3/13 (23%)</t>
  </si>
  <si>
    <t>-36.7</t>
  </si>
  <si>
    <t>2026 Season Only</t>
  </si>
  <si>
    <t>42.3%</t>
  </si>
  <si>
    <t>-19.3%</t>
  </si>
  <si>
    <t>40.2%</t>
  </si>
  <si>
    <t>34/98 (35%)</t>
  </si>
  <si>
    <t>-418.9</t>
  </si>
  <si>
    <t>38.5%</t>
  </si>
  <si>
    <t>-26.6%</t>
  </si>
  <si>
    <t>36.4%</t>
  </si>
  <si>
    <t>4/13 (31%)</t>
  </si>
  <si>
    <t>+11.2</t>
  </si>
  <si>
    <t>44.3%</t>
  </si>
  <si>
    <t>-15.4%</t>
  </si>
  <si>
    <t>40.7%</t>
  </si>
  <si>
    <t>47/98 (48%)</t>
  </si>
  <si>
    <t>-151.0</t>
  </si>
  <si>
    <t>22.2%</t>
  </si>
  <si>
    <t>6/13 (46%)</t>
  </si>
  <si>
    <t>-13.3</t>
  </si>
  <si>
    <t>Ridge and XGBoost agree on which side to lean in 77.4% of all graded games. Gamma agrees with Ridge in 68.4% of games it has a rating for.</t>
  </si>
  <si>
    <t>Upcoming Games -- Ridge vs. XGBoost vs. Dub Gamma (Not Yet Graded)</t>
  </si>
  <si>
    <t>Ridge Line</t>
  </si>
  <si>
    <t>XGBoost Line</t>
  </si>
  <si>
    <t>Gamma Line</t>
  </si>
  <si>
    <t>Ridge Lean</t>
  </si>
  <si>
    <t>XGBoost Lean</t>
  </si>
  <si>
    <t>Gamma Lean</t>
  </si>
  <si>
    <t>Ridge/XGBoost Agree?</t>
  </si>
  <si>
    <t>Tightest (Live)*</t>
  </si>
  <si>
    <t>+3.5</t>
  </si>
  <si>
    <t>-3.9</t>
  </si>
  <si>
    <t>+2.6</t>
  </si>
  <si>
    <t>-5.3</t>
  </si>
  <si>
    <t>Home</t>
  </si>
  <si>
    <t>Away (auto)</t>
  </si>
  <si>
    <t>No</t>
  </si>
  <si>
    <t>XGBoost</t>
  </si>
  <si>
    <t>Northern Colorado @ Wyoming</t>
  </si>
  <si>
    <t>--</t>
  </si>
  <si>
    <t>-17.1</t>
  </si>
  <si>
    <t>-21.5</t>
  </si>
  <si>
    <t>+11.3</t>
  </si>
  <si>
    <t>n/a</t>
  </si>
  <si>
    <t>Mercyhurst @ New Mexico</t>
  </si>
  <si>
    <t>-27.1</t>
  </si>
  <si>
    <t>-6.7</t>
  </si>
  <si>
    <t>Illinois State @ Northern Illinois</t>
  </si>
  <si>
    <t>-16.0</t>
  </si>
  <si>
    <t>-17.9</t>
  </si>
  <si>
    <t>+15.6</t>
  </si>
  <si>
    <t>Texas Southern @ UTEP</t>
  </si>
  <si>
    <t>-16.1</t>
  </si>
  <si>
    <t>-21.4</t>
  </si>
  <si>
    <t>+19.1</t>
  </si>
  <si>
    <t>Cal Poly @ San José State</t>
  </si>
  <si>
    <t>-21.0</t>
  </si>
  <si>
    <t>-30.0</t>
  </si>
  <si>
    <t>+8.1</t>
  </si>
  <si>
    <t>North Dakota State @ Air Force</t>
  </si>
  <si>
    <t>+2.5</t>
  </si>
  <si>
    <t>+16.9</t>
  </si>
  <si>
    <t>+15.3</t>
  </si>
  <si>
    <t>+17.9</t>
  </si>
  <si>
    <t>Away</t>
  </si>
  <si>
    <t>Yes</t>
  </si>
  <si>
    <t>Montana State @ Nevada</t>
  </si>
  <si>
    <t>-17.2</t>
  </si>
  <si>
    <t>-12.7</t>
  </si>
  <si>
    <t>+5.3</t>
  </si>
  <si>
    <t>New Mexico State @ Hawai'i</t>
  </si>
  <si>
    <t>-8.5</t>
  </si>
  <si>
    <t>-14.2</t>
  </si>
  <si>
    <t>-13.2</t>
  </si>
  <si>
    <t>-7.6</t>
  </si>
  <si>
    <t>Home (auto)</t>
  </si>
  <si>
    <t>Gamma</t>
  </si>
  <si>
    <t>* Tightest (Live) compares each model's line to TODAY's still-moving market line, not a final closing line -- it will keep changing until kickoff. See the graded Game-by-Game table below for the real, closing-line version of this comparison.</t>
  </si>
  <si>
    <t>2026 Mountain West Games -- Game by Game</t>
  </si>
  <si>
    <t>Final Score</t>
  </si>
  <si>
    <t>Vegas Spread (Home)</t>
  </si>
  <si>
    <t>Actual Margin (Home)</t>
  </si>
  <si>
    <t>Ridge Edge</t>
  </si>
  <si>
    <t>Ridge Result</t>
  </si>
  <si>
    <t>XGBoost Edge</t>
  </si>
  <si>
    <t>XGBoost Result</t>
  </si>
  <si>
    <t>Gamma Edge</t>
  </si>
  <si>
    <t>Gamma Result</t>
  </si>
  <si>
    <t>Gamma Agrees (w/ Ridge)?</t>
  </si>
  <si>
    <t>Tightest CLV Line</t>
  </si>
  <si>
    <t>Ridge CLV Pts (Cum.)</t>
  </si>
  <si>
    <t>XGBoost CLV Pts (Cum.)</t>
  </si>
  <si>
    <t>Gamma CLV Pts (Cum.)</t>
  </si>
  <si>
    <t>Duquesne @ Air Force</t>
  </si>
  <si>
    <t>0-34</t>
  </si>
  <si>
    <t>+34.0</t>
  </si>
  <si>
    <t>-17.0</t>
  </si>
  <si>
    <t>-13.0</t>
  </si>
  <si>
    <t>Loss</t>
  </si>
  <si>
    <t>-28.3</t>
  </si>
  <si>
    <t>-1.7</t>
  </si>
  <si>
    <t>Win (no real edge)</t>
  </si>
  <si>
    <t>+2.3</t>
  </si>
  <si>
    <t>-32.3</t>
  </si>
  <si>
    <t>Loss (seed week)</t>
  </si>
  <si>
    <t>Wyoming @ Colorado State</t>
  </si>
  <si>
    <t>13-35</t>
  </si>
  <si>
    <t>-2.8</t>
  </si>
  <si>
    <t>+22.0</t>
  </si>
  <si>
    <t>-7.8</t>
  </si>
  <si>
    <t>+5.1</t>
  </si>
  <si>
    <t>Win</t>
  </si>
  <si>
    <t>-2.5</t>
  </si>
  <si>
    <t>-0.2</t>
  </si>
  <si>
    <t>-6.4</t>
  </si>
  <si>
    <t>+3.7</t>
  </si>
  <si>
    <t>Win (seed week)</t>
  </si>
  <si>
    <t>-7.9</t>
  </si>
  <si>
    <t>-1.9</t>
  </si>
  <si>
    <t>-28.7</t>
  </si>
  <si>
    <t>27-21</t>
  </si>
  <si>
    <t>-1.5</t>
  </si>
  <si>
    <t>-6.0</t>
  </si>
  <si>
    <t>-15.8</t>
  </si>
  <si>
    <t>+14.3</t>
  </si>
  <si>
    <t>-10.5</t>
  </si>
  <si>
    <t>+9.0</t>
  </si>
  <si>
    <t>+0.5</t>
  </si>
  <si>
    <t>-2.0</t>
  </si>
  <si>
    <t>+6.4</t>
  </si>
  <si>
    <t>+7.2</t>
  </si>
  <si>
    <t>-30.7</t>
  </si>
  <si>
    <t>UNLV @ Hawai'i</t>
  </si>
  <si>
    <t>21-6</t>
  </si>
  <si>
    <t>+2.8</t>
  </si>
  <si>
    <t>-15.0</t>
  </si>
  <si>
    <t>+2.9</t>
  </si>
  <si>
    <t>-0.1</t>
  </si>
  <si>
    <t>-1.8</t>
  </si>
  <si>
    <t>+4.6</t>
  </si>
  <si>
    <t>+4.4</t>
  </si>
  <si>
    <t>-1.6</t>
  </si>
  <si>
    <t>Win (no real edge) (seed week)</t>
  </si>
  <si>
    <t>Ridge</t>
  </si>
  <si>
    <t>+6.2</t>
  </si>
  <si>
    <t>+11.8</t>
  </si>
  <si>
    <t>Northern Illinois @ Iowa</t>
  </si>
  <si>
    <t>0-40</t>
  </si>
  <si>
    <t>-31.8</t>
  </si>
  <si>
    <t>+40.0</t>
  </si>
  <si>
    <t>-3.5</t>
  </si>
  <si>
    <t>-25.4</t>
  </si>
  <si>
    <t>-41.0</t>
  </si>
  <si>
    <t>+9.2</t>
  </si>
  <si>
    <t>+5.4</t>
  </si>
  <si>
    <t>-23.1</t>
  </si>
  <si>
    <t>Western Kentucky @ Nevada</t>
  </si>
  <si>
    <t>14-49</t>
  </si>
  <si>
    <t>+0.2</t>
  </si>
  <si>
    <t>+35.0</t>
  </si>
  <si>
    <t>+3.3</t>
  </si>
  <si>
    <t>-3.0</t>
  </si>
  <si>
    <t>+7.3</t>
  </si>
  <si>
    <t>-7.1</t>
  </si>
  <si>
    <t>+2.7</t>
  </si>
  <si>
    <t>-0.3</t>
  </si>
  <si>
    <t>-20.4</t>
  </si>
  <si>
    <t>7-38</t>
  </si>
  <si>
    <t>-11.2</t>
  </si>
  <si>
    <t>+31.0</t>
  </si>
  <si>
    <t>-17.5</t>
  </si>
  <si>
    <t>-11.6</t>
  </si>
  <si>
    <t>+0.3</t>
  </si>
  <si>
    <t>-15.6</t>
  </si>
  <si>
    <t>+4.3</t>
  </si>
  <si>
    <t>+5.9</t>
  </si>
  <si>
    <t>-1.4</t>
  </si>
  <si>
    <t>7-33</t>
  </si>
  <si>
    <t>-6.8</t>
  </si>
  <si>
    <t>+26.0</t>
  </si>
  <si>
    <t>-18.4</t>
  </si>
  <si>
    <t>+11.6</t>
  </si>
  <si>
    <t>-14.4</t>
  </si>
  <si>
    <t>+7.7</t>
  </si>
  <si>
    <t>-25.5</t>
  </si>
  <si>
    <t>+18.7</t>
  </si>
  <si>
    <t>+17.6</t>
  </si>
  <si>
    <t>+6.3</t>
  </si>
  <si>
    <t>Fordham @ North Dakota State</t>
  </si>
  <si>
    <t>0-38</t>
  </si>
  <si>
    <t>-41.5</t>
  </si>
  <si>
    <t>+38.0</t>
  </si>
  <si>
    <t>-40.9</t>
  </si>
  <si>
    <t>-0.6</t>
  </si>
  <si>
    <t>Loss (no real edge)</t>
  </si>
  <si>
    <t>-35.0</t>
  </si>
  <si>
    <t>-6.5</t>
  </si>
  <si>
    <t>-19.6</t>
  </si>
  <si>
    <t>-21.9</t>
  </si>
  <si>
    <t>-19.2</t>
  </si>
  <si>
    <t>0-51</t>
  </si>
  <si>
    <t>-40.8</t>
  </si>
  <si>
    <t>+51.0</t>
  </si>
  <si>
    <t>-34.8</t>
  </si>
  <si>
    <t>-5.9</t>
  </si>
  <si>
    <t>-32.8</t>
  </si>
  <si>
    <t>-8.0</t>
  </si>
  <si>
    <t>-44.4</t>
  </si>
  <si>
    <t>+3.6</t>
  </si>
  <si>
    <t>+11.0</t>
  </si>
  <si>
    <t>-8.2</t>
  </si>
  <si>
    <t>Hawai'i @ Stanford</t>
  </si>
  <si>
    <t>27-37</t>
  </si>
  <si>
    <t>-4.8</t>
  </si>
  <si>
    <t>+10.0</t>
  </si>
  <si>
    <t>-3.3</t>
  </si>
  <si>
    <t>+1.1</t>
  </si>
  <si>
    <t>-5.8</t>
  </si>
  <si>
    <t>-14.0</t>
  </si>
  <si>
    <t>-9.2</t>
  </si>
  <si>
    <t>-10.9</t>
  </si>
  <si>
    <t>-7.4</t>
  </si>
  <si>
    <t>+1.6</t>
  </si>
  <si>
    <t>-6.3</t>
  </si>
  <si>
    <t>+13.9</t>
  </si>
  <si>
    <t>-11.4</t>
  </si>
  <si>
    <t>San José State @ USC</t>
  </si>
  <si>
    <t>26-42</t>
  </si>
  <si>
    <t>-37.2</t>
  </si>
  <si>
    <t>+16.0</t>
  </si>
  <si>
    <t>-34.6</t>
  </si>
  <si>
    <t>-2.7</t>
  </si>
  <si>
    <t>-35.3</t>
  </si>
  <si>
    <t>-21.1</t>
  </si>
  <si>
    <t>Maryland @ Uconn</t>
  </si>
  <si>
    <t>Uconn</t>
  </si>
  <si>
    <t>Ohio State @ Texas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</si>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</sst>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9"/>
      <color rgb="FF666666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1"/>
      <name val="Calibri"/>
      <family val="2"/>
      <charset val="1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3" borderId="0" xfId="0" applyFont="1" applyFill="1"/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2" fontId="6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4" borderId="3" xfId="0" applyFont="1" applyFill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3" fillId="6" borderId="0" xfId="0" applyFont="1" applyFill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zoomScaleNormal="100" workbookViewId="0"/>
  </sheetViews>
  <sheetFormatPr defaultColWidth="8.7109375" defaultRowHeight="15" x14ac:dyDescent="0.25"/>
  <cols>
    <col min="1" max="1" width="110" customWidth="1"/>
  </cols>
  <sheetData>
    <row r="1" spans="1:1" ht="18" customHeight="1" x14ac:dyDescent="0.25">
      <c r="A1" s="1" t="s">
        <v>69</v>
      </c>
    </row>
    <row r="2" spans="1:1" ht="14.25" customHeight="1" x14ac:dyDescent="0.25">
      <c r="A2" s="2" t="s">
        <v>70</v>
      </c>
    </row>
    <row r="3" spans="1:1" ht="14.25" customHeight="1" x14ac:dyDescent="0.25">
      <c r="A3" s="3"/>
    </row>
    <row r="4" spans="1:1" ht="14.25" customHeight="1" x14ac:dyDescent="0.25">
      <c r="A4" s="4" t="s">
        <v>71</v>
      </c>
    </row>
    <row r="5" spans="1:1" ht="14.25" customHeight="1" x14ac:dyDescent="0.25">
      <c r="A5" s="3" t="s">
        <v>72</v>
      </c>
    </row>
    <row r="6" spans="1:1" ht="14.25" customHeight="1" x14ac:dyDescent="0.25">
      <c r="A6" s="3" t="s">
        <v>73</v>
      </c>
    </row>
    <row r="7" spans="1:1" ht="14.25" customHeight="1" x14ac:dyDescent="0.25">
      <c r="A7" s="3" t="s">
        <v>74</v>
      </c>
    </row>
    <row r="8" spans="1:1" ht="14.25" customHeight="1" x14ac:dyDescent="0.25">
      <c r="A8" s="3"/>
    </row>
    <row r="9" spans="1:1" ht="14.25" customHeight="1" x14ac:dyDescent="0.25">
      <c r="A9" s="4" t="s">
        <v>75</v>
      </c>
    </row>
    <row r="10" spans="1:1" ht="14.25" customHeight="1" x14ac:dyDescent="0.25">
      <c r="A10" s="3" t="s">
        <v>76</v>
      </c>
    </row>
    <row r="11" spans="1:1" ht="14.25" customHeight="1" x14ac:dyDescent="0.25">
      <c r="A11" s="3" t="s">
        <v>77</v>
      </c>
    </row>
    <row r="12" spans="1:1" ht="14.25" customHeight="1" x14ac:dyDescent="0.25">
      <c r="A12" s="3" t="s">
        <v>78</v>
      </c>
    </row>
    <row r="13" spans="1:1" ht="14.25" customHeight="1" x14ac:dyDescent="0.25">
      <c r="A13" s="3"/>
    </row>
    <row r="14" spans="1:1" ht="14.25" customHeight="1" x14ac:dyDescent="0.25">
      <c r="A14" s="4" t="s">
        <v>79</v>
      </c>
    </row>
    <row r="15" spans="1:1" ht="14.25" customHeight="1" x14ac:dyDescent="0.25">
      <c r="A15" s="3" t="s">
        <v>80</v>
      </c>
    </row>
    <row r="16" spans="1:1" ht="14.25" customHeight="1" x14ac:dyDescent="0.25">
      <c r="A16" s="3" t="s">
        <v>81</v>
      </c>
    </row>
    <row r="17" spans="1:1" ht="14.25" customHeight="1" x14ac:dyDescent="0.25">
      <c r="A17" s="3" t="s">
        <v>82</v>
      </c>
    </row>
    <row r="18" spans="1:1" ht="14.25" customHeight="1" x14ac:dyDescent="0.25">
      <c r="A18" s="3" t="s">
        <v>83</v>
      </c>
    </row>
    <row r="19" spans="1:1" ht="14.25" customHeight="1" x14ac:dyDescent="0.25">
      <c r="A19" s="3" t="s">
        <v>84</v>
      </c>
    </row>
    <row r="20" spans="1:1" ht="14.25" customHeight="1" x14ac:dyDescent="0.25">
      <c r="A20" s="3"/>
    </row>
    <row r="21" spans="1:1" ht="14.25" customHeight="1" x14ac:dyDescent="0.25">
      <c r="A21" s="3" t="s">
        <v>85</v>
      </c>
    </row>
    <row r="22" spans="1:1" ht="14.25" customHeight="1" x14ac:dyDescent="0.25">
      <c r="A22" s="3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zoomScaleNormal="100" workbookViewId="0">
      <selection activeCell="B5" sqref="B5"/>
    </sheetView>
  </sheetViews>
  <sheetFormatPr defaultColWidth="8.7109375" defaultRowHeight="15" x14ac:dyDescent="0.25"/>
  <cols>
    <col min="1" max="1" width="32" customWidth="1"/>
    <col min="2" max="2" width="12" customWidth="1"/>
    <col min="3" max="3" width="70" customWidth="1"/>
  </cols>
  <sheetData>
    <row r="1" spans="1:3" ht="18" customHeight="1" x14ac:dyDescent="0.25">
      <c r="A1" s="1" t="s">
        <v>87</v>
      </c>
    </row>
    <row r="3" spans="1:3" ht="14.25" customHeight="1" x14ac:dyDescent="0.25">
      <c r="A3" s="5" t="s">
        <v>88</v>
      </c>
      <c r="B3" s="5" t="s">
        <v>89</v>
      </c>
      <c r="C3" s="5" t="s">
        <v>90</v>
      </c>
    </row>
    <row r="4" spans="1:3" ht="14.25" customHeight="1" x14ac:dyDescent="0.25">
      <c r="A4" s="6" t="s">
        <v>91</v>
      </c>
      <c r="B4" s="7">
        <v>50</v>
      </c>
      <c r="C4" s="2" t="s">
        <v>92</v>
      </c>
    </row>
    <row r="5" spans="1:3" ht="14.25" customHeight="1" x14ac:dyDescent="0.25">
      <c r="A5" s="6" t="s">
        <v>93</v>
      </c>
      <c r="B5" s="7">
        <v>2</v>
      </c>
      <c r="C5" s="2" t="s">
        <v>94</v>
      </c>
    </row>
    <row r="6" spans="1:3" ht="14.25" customHeight="1" x14ac:dyDescent="0.25">
      <c r="A6" s="6" t="s">
        <v>95</v>
      </c>
      <c r="B6" s="7">
        <v>2</v>
      </c>
      <c r="C6" s="2" t="s">
        <v>96</v>
      </c>
    </row>
    <row r="7" spans="1:3" ht="14.25" customHeight="1" x14ac:dyDescent="0.25">
      <c r="A7" s="6" t="s">
        <v>97</v>
      </c>
      <c r="B7" s="7">
        <v>-110</v>
      </c>
      <c r="C7" s="2" t="s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0"/>
  <sheetViews>
    <sheetView showGridLines="0" zoomScaleNormal="100" workbookViewId="0">
      <pane ySplit="1" topLeftCell="A2" activePane="bottomLeft" state="frozen"/>
      <selection activeCell="K1" sqref="K1"/>
      <selection pane="bottomLeft" activeCell="B8" sqref="B8"/>
    </sheetView>
  </sheetViews>
  <sheetFormatPr defaultColWidth="8.7109375" defaultRowHeight="15" x14ac:dyDescent="0.25"/>
  <cols>
    <col min="1" max="1" width="6" customWidth="1"/>
    <col min="2" max="2" width="11" customWidth="1"/>
    <col min="3" max="3" width="20.5703125" customWidth="1"/>
    <col min="4" max="4" width="18" customWidth="1"/>
    <col min="5" max="6" width="16" customWidth="1"/>
    <col min="7" max="7" width="12.7109375" customWidth="1"/>
    <col min="8" max="8" width="7.5703125" customWidth="1"/>
    <col min="9" max="10" width="11" customWidth="1"/>
    <col min="11" max="11" width="12" customWidth="1"/>
    <col min="12" max="12" width="5.5703125" customWidth="1"/>
    <col min="13" max="14" width="14.28515625" customWidth="1"/>
    <col min="15" max="15" width="30" customWidth="1"/>
    <col min="16" max="16" width="16" customWidth="1"/>
    <col min="18" max="18" width="17" customWidth="1"/>
  </cols>
  <sheetData>
    <row r="1" spans="1:18" ht="25.5" customHeight="1" x14ac:dyDescent="0.25">
      <c r="A1" s="5" t="s">
        <v>1</v>
      </c>
      <c r="B1" s="5" t="s">
        <v>0</v>
      </c>
      <c r="C1" s="5" t="s">
        <v>99</v>
      </c>
      <c r="D1" s="5" t="s">
        <v>100</v>
      </c>
      <c r="E1" s="5" t="s">
        <v>101</v>
      </c>
      <c r="F1" s="5" t="s">
        <v>102</v>
      </c>
      <c r="G1" s="5" t="s">
        <v>103</v>
      </c>
      <c r="H1" s="5" t="s">
        <v>104</v>
      </c>
      <c r="I1" s="5" t="s">
        <v>105</v>
      </c>
      <c r="J1" s="5" t="s">
        <v>106</v>
      </c>
      <c r="K1" s="5" t="s">
        <v>107</v>
      </c>
      <c r="L1" s="5" t="s">
        <v>108</v>
      </c>
      <c r="M1" s="5" t="s">
        <v>109</v>
      </c>
      <c r="N1" s="5" t="s">
        <v>110</v>
      </c>
      <c r="O1" s="5" t="s">
        <v>111</v>
      </c>
      <c r="P1" s="5" t="s">
        <v>112</v>
      </c>
      <c r="R1" s="8" t="s">
        <v>113</v>
      </c>
    </row>
    <row r="2" spans="1:18" ht="14.25" customHeight="1" x14ac:dyDescent="0.25">
      <c r="A2">
        <v>2</v>
      </c>
      <c r="B2" t="s">
        <v>61</v>
      </c>
      <c r="C2" t="s">
        <v>20</v>
      </c>
      <c r="D2" t="s">
        <v>63</v>
      </c>
      <c r="E2">
        <v>-3.9</v>
      </c>
      <c r="F2">
        <v>3.5</v>
      </c>
      <c r="G2" s="6">
        <f t="shared" ref="G2:G14" si="0">F2-E2</f>
        <v>7.4</v>
      </c>
      <c r="H2" s="6" t="str">
        <f t="shared" ref="H2:H14" si="1">IF(G2=0,"Pick'em",IF(G2&gt;0,"Home","Away"))</f>
        <v>Home</v>
      </c>
      <c r="I2">
        <v>58.2</v>
      </c>
      <c r="J2">
        <v>56.8</v>
      </c>
      <c r="K2" s="6">
        <f t="shared" ref="K2:K14" si="2">I2-J2</f>
        <v>1.4000000000000057</v>
      </c>
      <c r="L2" s="6" t="str">
        <f t="shared" ref="L2:L14" si="3">IF(K2=0,"Push",IF(K2&gt;0,"Over","Under"))</f>
        <v>Over</v>
      </c>
      <c r="M2" s="6" t="str">
        <f>IF(ABS(G2)&gt;=Settings!$B$5,H2,IF(F2=0,"Pick'em",IF(F2&lt;0,"Home (auto)","Away (auto)")))</f>
        <v>Home</v>
      </c>
      <c r="N2" s="6" t="str">
        <f>IF(ABS(K2)&gt;=Settings!$B$6,L2,IF(K2=0,"Push",L2&amp;" (auto)"))</f>
        <v>Over (auto)</v>
      </c>
      <c r="O2" s="9"/>
      <c r="P2" s="9"/>
    </row>
    <row r="3" spans="1:18" ht="14.25" customHeight="1" x14ac:dyDescent="0.25">
      <c r="A3">
        <v>2</v>
      </c>
      <c r="B3" t="s">
        <v>61</v>
      </c>
      <c r="C3" t="s">
        <v>114</v>
      </c>
      <c r="D3" t="s">
        <v>115</v>
      </c>
      <c r="E3">
        <v>-17.100000000000001</v>
      </c>
      <c r="G3" s="6">
        <f t="shared" si="0"/>
        <v>17.100000000000001</v>
      </c>
      <c r="H3" s="6" t="str">
        <f t="shared" si="1"/>
        <v>Home</v>
      </c>
      <c r="I3">
        <v>55.2</v>
      </c>
      <c r="K3" s="6">
        <f t="shared" si="2"/>
        <v>55.2</v>
      </c>
      <c r="L3" s="6" t="str">
        <f t="shared" si="3"/>
        <v>Over</v>
      </c>
      <c r="M3" s="6" t="str">
        <f>IF(ABS(G3)&gt;=Settings!$B$5,H3,IF(F3=0,"Pick'em",IF(F3&lt;0,"Home (auto)","Away (auto)")))</f>
        <v>Home</v>
      </c>
      <c r="N3" s="6" t="str">
        <f>IF(ABS(K3)&gt;=Settings!$B$6,L3,IF(K3=0,"Push",L3&amp;" (auto)"))</f>
        <v>Over</v>
      </c>
    </row>
    <row r="4" spans="1:18" ht="14.25" customHeight="1" x14ac:dyDescent="0.25">
      <c r="A4">
        <v>2</v>
      </c>
      <c r="B4" t="s">
        <v>61</v>
      </c>
      <c r="C4" t="s">
        <v>116</v>
      </c>
      <c r="D4" t="s">
        <v>34</v>
      </c>
      <c r="E4">
        <v>-17.100000000000001</v>
      </c>
      <c r="G4" s="6">
        <f t="shared" si="0"/>
        <v>17.100000000000001</v>
      </c>
      <c r="H4" s="6" t="str">
        <f t="shared" si="1"/>
        <v>Home</v>
      </c>
      <c r="I4">
        <v>54.1</v>
      </c>
      <c r="K4" s="6">
        <f t="shared" si="2"/>
        <v>54.1</v>
      </c>
      <c r="L4" s="6" t="str">
        <f t="shared" si="3"/>
        <v>Over</v>
      </c>
      <c r="M4" s="6" t="str">
        <f>IF(ABS(G4)&gt;=Settings!$B$5,H4,IF(F4=0,"Pick'em",IF(F4&lt;0,"Home (auto)","Away (auto)")))</f>
        <v>Home</v>
      </c>
      <c r="N4" s="6" t="str">
        <f>IF(ABS(K4)&gt;=Settings!$B$6,L4,IF(K4=0,"Push",L4&amp;" (auto)"))</f>
        <v>Over</v>
      </c>
    </row>
    <row r="5" spans="1:18" ht="14.25" customHeight="1" x14ac:dyDescent="0.25">
      <c r="A5">
        <v>2</v>
      </c>
      <c r="B5" t="s">
        <v>61</v>
      </c>
      <c r="C5" t="s">
        <v>117</v>
      </c>
      <c r="D5" t="s">
        <v>118</v>
      </c>
      <c r="E5">
        <v>-16</v>
      </c>
      <c r="G5" s="6">
        <f t="shared" si="0"/>
        <v>16</v>
      </c>
      <c r="H5" s="6" t="str">
        <f t="shared" si="1"/>
        <v>Home</v>
      </c>
      <c r="I5">
        <v>54.9</v>
      </c>
      <c r="K5" s="6">
        <f t="shared" si="2"/>
        <v>54.9</v>
      </c>
      <c r="L5" s="6" t="str">
        <f t="shared" si="3"/>
        <v>Over</v>
      </c>
      <c r="M5" s="6" t="str">
        <f>IF(ABS(G5)&gt;=Settings!$B$5,H5,IF(F5=0,"Pick'em",IF(F5&lt;0,"Home (auto)","Away (auto)")))</f>
        <v>Home</v>
      </c>
      <c r="N5" s="6" t="str">
        <f>IF(ABS(K5)&gt;=Settings!$B$6,L5,IF(K5=0,"Push",L5&amp;" (auto)"))</f>
        <v>Over</v>
      </c>
      <c r="R5" s="6" t="s">
        <v>119</v>
      </c>
    </row>
    <row r="6" spans="1:18" ht="14.25" customHeight="1" x14ac:dyDescent="0.25">
      <c r="A6">
        <v>2</v>
      </c>
      <c r="B6" t="s">
        <v>64</v>
      </c>
      <c r="C6" t="s">
        <v>120</v>
      </c>
      <c r="D6" t="s">
        <v>121</v>
      </c>
      <c r="E6">
        <v>-16.100000000000001</v>
      </c>
      <c r="G6" s="6">
        <f t="shared" si="0"/>
        <v>16.100000000000001</v>
      </c>
      <c r="H6" s="6" t="str">
        <f t="shared" si="1"/>
        <v>Home</v>
      </c>
      <c r="I6">
        <v>55.2</v>
      </c>
      <c r="K6" s="6">
        <f t="shared" si="2"/>
        <v>55.2</v>
      </c>
      <c r="L6" s="6" t="str">
        <f t="shared" si="3"/>
        <v>Over</v>
      </c>
      <c r="M6" s="6" t="str">
        <f>IF(ABS(G6)&gt;=Settings!$B$5,H6,IF(F6=0,"Pick'em",IF(F6&lt;0,"Home (auto)","Away (auto)")))</f>
        <v>Home</v>
      </c>
      <c r="N6" s="6" t="str">
        <f>IF(ABS(K6)&gt;=Settings!$B$6,L6,IF(K6=0,"Push",L6&amp;" (auto)"))</f>
        <v>Over</v>
      </c>
      <c r="R6" s="6" t="s">
        <v>122</v>
      </c>
    </row>
    <row r="7" spans="1:18" ht="14.25" customHeight="1" x14ac:dyDescent="0.25">
      <c r="A7" s="10">
        <v>2</v>
      </c>
      <c r="B7" s="10" t="s">
        <v>64</v>
      </c>
      <c r="C7" s="10" t="s">
        <v>123</v>
      </c>
      <c r="D7" s="10" t="s">
        <v>124</v>
      </c>
      <c r="E7" s="10">
        <v>-21</v>
      </c>
      <c r="F7" s="10"/>
      <c r="G7" s="10">
        <f t="shared" si="0"/>
        <v>21</v>
      </c>
      <c r="H7" s="10" t="str">
        <f t="shared" si="1"/>
        <v>Home</v>
      </c>
      <c r="I7" s="10">
        <v>55.2</v>
      </c>
      <c r="J7" s="10"/>
      <c r="K7" s="10">
        <f t="shared" si="2"/>
        <v>55.2</v>
      </c>
      <c r="L7" s="10" t="str">
        <f t="shared" si="3"/>
        <v>Over</v>
      </c>
      <c r="M7" s="10" t="str">
        <f>IF(ABS(G7)&gt;=Settings!$B$5,H7,IF(F7=0,"Pick'em",IF(F7&lt;0,"Home (auto)","Away (auto)")))</f>
        <v>Home</v>
      </c>
      <c r="N7" s="10" t="str">
        <f>IF(ABS(K7)&gt;=Settings!$B$6,L7,IF(K7=0,"Push",L7&amp;" (auto)"))</f>
        <v>Over</v>
      </c>
      <c r="R7" s="6" t="s">
        <v>125</v>
      </c>
    </row>
    <row r="8" spans="1:18" ht="14.25" customHeight="1" x14ac:dyDescent="0.25">
      <c r="A8">
        <v>2</v>
      </c>
      <c r="B8" t="s">
        <v>64</v>
      </c>
      <c r="C8" t="s">
        <v>16</v>
      </c>
      <c r="D8" t="s">
        <v>119</v>
      </c>
      <c r="E8">
        <v>16.899999999999999</v>
      </c>
      <c r="F8">
        <v>2.5</v>
      </c>
      <c r="G8" s="6">
        <f t="shared" si="0"/>
        <v>-14.399999999999999</v>
      </c>
      <c r="H8" s="6" t="str">
        <f t="shared" si="1"/>
        <v>Away</v>
      </c>
      <c r="I8">
        <v>53.3</v>
      </c>
      <c r="J8">
        <v>47.5</v>
      </c>
      <c r="K8" s="6">
        <f t="shared" si="2"/>
        <v>5.7999999999999972</v>
      </c>
      <c r="L8" s="6" t="str">
        <f t="shared" si="3"/>
        <v>Over</v>
      </c>
      <c r="M8" s="6" t="str">
        <f>IF(ABS(G8)&gt;=Settings!$B$5,H8,IF(F8=0,"Pick'em",IF(F8&lt;0,"Home (auto)","Away (auto)")))</f>
        <v>Away</v>
      </c>
      <c r="N8" s="6" t="str">
        <f>IF(ABS(K8)&gt;=Settings!$B$6,L8,IF(K8=0,"Push",L8&amp;" (auto)"))</f>
        <v>Over</v>
      </c>
      <c r="R8" s="6" t="s">
        <v>34</v>
      </c>
    </row>
    <row r="9" spans="1:18" ht="14.25" customHeight="1" x14ac:dyDescent="0.25">
      <c r="A9">
        <v>2</v>
      </c>
      <c r="B9" t="s">
        <v>64</v>
      </c>
      <c r="C9" t="s">
        <v>126</v>
      </c>
      <c r="D9" t="s">
        <v>125</v>
      </c>
      <c r="E9">
        <v>-17.2</v>
      </c>
      <c r="G9" s="6">
        <f t="shared" si="0"/>
        <v>17.2</v>
      </c>
      <c r="H9" s="6" t="str">
        <f t="shared" si="1"/>
        <v>Home</v>
      </c>
      <c r="I9">
        <v>55.3</v>
      </c>
      <c r="K9" s="6">
        <f t="shared" si="2"/>
        <v>55.3</v>
      </c>
      <c r="L9" s="6" t="str">
        <f t="shared" si="3"/>
        <v>Over</v>
      </c>
      <c r="M9" s="6" t="str">
        <f>IF(ABS(G9)&gt;=Settings!$B$5,H9,IF(F9=0,"Pick'em",IF(F9&lt;0,"Home (auto)","Away (auto)")))</f>
        <v>Home</v>
      </c>
      <c r="N9" s="6" t="str">
        <f>IF(ABS(K9)&gt;=Settings!$B$6,L9,IF(K9=0,"Push",L9&amp;" (auto)"))</f>
        <v>Over</v>
      </c>
      <c r="R9" s="6" t="s">
        <v>16</v>
      </c>
    </row>
    <row r="10" spans="1:18" ht="14.25" customHeight="1" x14ac:dyDescent="0.25">
      <c r="A10">
        <v>2</v>
      </c>
      <c r="B10" t="s">
        <v>64</v>
      </c>
      <c r="C10" t="s">
        <v>127</v>
      </c>
      <c r="D10" t="s">
        <v>122</v>
      </c>
      <c r="E10">
        <v>-14.2</v>
      </c>
      <c r="F10">
        <v>-8.5</v>
      </c>
      <c r="G10" s="6">
        <f t="shared" si="0"/>
        <v>5.6999999999999993</v>
      </c>
      <c r="H10" s="6" t="str">
        <f t="shared" si="1"/>
        <v>Home</v>
      </c>
      <c r="I10">
        <v>55.6</v>
      </c>
      <c r="J10">
        <v>50.5</v>
      </c>
      <c r="K10" s="6">
        <f t="shared" si="2"/>
        <v>5.1000000000000014</v>
      </c>
      <c r="L10" s="6" t="str">
        <f t="shared" si="3"/>
        <v>Over</v>
      </c>
      <c r="M10" s="6" t="str">
        <f>IF(ABS(G10)&gt;=Settings!$B$5,H10,IF(F10=0,"Pick'em",IF(F10&lt;0,"Home (auto)","Away (auto)")))</f>
        <v>Home</v>
      </c>
      <c r="N10" s="6" t="str">
        <f>IF(ABS(K10)&gt;=Settings!$B$6,L10,IF(K10=0,"Push",L10&amp;" (auto)"))</f>
        <v>Over</v>
      </c>
      <c r="R10" s="6" t="s">
        <v>118</v>
      </c>
    </row>
    <row r="11" spans="1:18" ht="14.25" customHeight="1" x14ac:dyDescent="0.25">
      <c r="G11" s="6">
        <f t="shared" si="0"/>
        <v>0</v>
      </c>
      <c r="H11" s="6" t="str">
        <f t="shared" si="1"/>
        <v>Pick'em</v>
      </c>
      <c r="K11" s="6">
        <f t="shared" si="2"/>
        <v>0</v>
      </c>
      <c r="L11" s="6" t="str">
        <f t="shared" si="3"/>
        <v>Push</v>
      </c>
      <c r="M11" s="6" t="str">
        <f>IF(ABS(G11)&gt;=Settings!$B$5,H11,IF(F11=0,"Pick'em",IF(F11&lt;0,"Home (auto)","Away (auto)")))</f>
        <v>Pick'em</v>
      </c>
      <c r="N11" s="6" t="str">
        <f>IF(ABS(K11)&gt;=Settings!$B$6,L11,IF(K11=0,"Push",L11&amp;" (auto)"))</f>
        <v>Push</v>
      </c>
      <c r="R11" s="6" t="s">
        <v>124</v>
      </c>
    </row>
    <row r="12" spans="1:18" ht="14.25" customHeight="1" x14ac:dyDescent="0.25">
      <c r="G12" s="6">
        <f t="shared" si="0"/>
        <v>0</v>
      </c>
      <c r="H12" s="6" t="str">
        <f t="shared" si="1"/>
        <v>Pick'em</v>
      </c>
      <c r="K12" s="6">
        <f t="shared" si="2"/>
        <v>0</v>
      </c>
      <c r="L12" s="6" t="str">
        <f t="shared" si="3"/>
        <v>Push</v>
      </c>
      <c r="M12" s="6" t="str">
        <f>IF(ABS(G12)&gt;=Settings!$B$5,H12,IF(F12=0,"Pick'em",IF(F12&lt;0,"Home (auto)","Away (auto)")))</f>
        <v>Pick'em</v>
      </c>
      <c r="N12" s="6" t="str">
        <f>IF(ABS(K12)&gt;=Settings!$B$6,L12,IF(K12=0,"Push",L12&amp;" (auto)"))</f>
        <v>Push</v>
      </c>
      <c r="R12" s="6" t="s">
        <v>20</v>
      </c>
    </row>
    <row r="13" spans="1:18" ht="14.25" customHeight="1" x14ac:dyDescent="0.25">
      <c r="G13" s="6">
        <f t="shared" si="0"/>
        <v>0</v>
      </c>
      <c r="H13" s="6" t="str">
        <f t="shared" si="1"/>
        <v>Pick'em</v>
      </c>
      <c r="K13" s="6">
        <f t="shared" si="2"/>
        <v>0</v>
      </c>
      <c r="L13" s="6" t="str">
        <f t="shared" si="3"/>
        <v>Push</v>
      </c>
      <c r="M13" s="6" t="str">
        <f>IF(ABS(G13)&gt;=Settings!$B$5,H13,IF(F13=0,"Pick'em",IF(F13&lt;0,"Home (auto)","Away (auto)")))</f>
        <v>Pick'em</v>
      </c>
      <c r="N13" s="6" t="str">
        <f>IF(ABS(K13)&gt;=Settings!$B$6,L13,IF(K13=0,"Push",L13&amp;" (auto)"))</f>
        <v>Push</v>
      </c>
    </row>
    <row r="14" spans="1:18" ht="14.25" customHeight="1" x14ac:dyDescent="0.25">
      <c r="G14" s="6">
        <f t="shared" si="0"/>
        <v>0</v>
      </c>
      <c r="H14" s="6" t="str">
        <f t="shared" si="1"/>
        <v>Pick'em</v>
      </c>
      <c r="K14" s="6">
        <f t="shared" si="2"/>
        <v>0</v>
      </c>
      <c r="L14" s="6" t="str">
        <f t="shared" si="3"/>
        <v>Push</v>
      </c>
      <c r="M14" s="6" t="str">
        <f>IF(ABS(G14)&gt;=Settings!$B$5,H14,IF(F14=0,"Pick'em",IF(F14&lt;0,"Home (auto)","Away (auto)")))</f>
        <v>Pick'em</v>
      </c>
      <c r="N14" s="6" t="str">
        <f>IF(ABS(K14)&gt;=Settings!$B$6,L14,IF(K14=0,"Push",L14&amp;" (auto)"))</f>
        <v>Push</v>
      </c>
    </row>
    <row r="15" spans="1:18" ht="14.25" customHeight="1" x14ac:dyDescent="0.25">
      <c r="G15" s="6"/>
      <c r="H15" s="6"/>
      <c r="K15" s="6"/>
      <c r="L15" s="6"/>
      <c r="M15" s="6"/>
      <c r="N15" s="6"/>
    </row>
    <row r="16" spans="1:18" ht="14.25" customHeight="1" x14ac:dyDescent="0.25">
      <c r="G16" s="6"/>
      <c r="H16" s="6"/>
      <c r="K16" s="6"/>
      <c r="L16" s="6"/>
      <c r="M16" s="6"/>
      <c r="N16" s="6"/>
    </row>
    <row r="17" spans="7:14" ht="14.25" customHeight="1" x14ac:dyDescent="0.25">
      <c r="G17" s="6"/>
      <c r="H17" s="6"/>
      <c r="K17" s="6"/>
      <c r="L17" s="6"/>
      <c r="M17" s="6"/>
      <c r="N17" s="6"/>
    </row>
    <row r="18" spans="7:14" ht="14.25" customHeight="1" x14ac:dyDescent="0.25">
      <c r="G18" s="6"/>
      <c r="H18" s="6"/>
      <c r="K18" s="6"/>
      <c r="L18" s="6"/>
      <c r="M18" s="6"/>
      <c r="N18" s="6"/>
    </row>
    <row r="19" spans="7:14" ht="14.25" customHeight="1" x14ac:dyDescent="0.25">
      <c r="G19" s="6"/>
      <c r="H19" s="6"/>
      <c r="K19" s="6"/>
      <c r="L19" s="6"/>
      <c r="M19" s="6"/>
      <c r="N19" s="6"/>
    </row>
    <row r="20" spans="7:14" ht="14.25" customHeight="1" x14ac:dyDescent="0.25">
      <c r="G20" s="6"/>
      <c r="H20" s="6"/>
      <c r="K20" s="6"/>
      <c r="L20" s="6"/>
      <c r="M20" s="6"/>
      <c r="N20" s="6"/>
    </row>
    <row r="21" spans="7:14" ht="14.25" customHeight="1" x14ac:dyDescent="0.25">
      <c r="G21" s="6"/>
      <c r="H21" s="6"/>
      <c r="K21" s="6"/>
      <c r="L21" s="6"/>
      <c r="M21" s="6"/>
      <c r="N21" s="6"/>
    </row>
    <row r="22" spans="7:14" ht="14.25" customHeight="1" x14ac:dyDescent="0.25">
      <c r="G22" s="6"/>
      <c r="H22" s="6"/>
      <c r="K22" s="6"/>
      <c r="L22" s="6"/>
      <c r="M22" s="6"/>
      <c r="N22" s="6"/>
    </row>
    <row r="23" spans="7:14" ht="14.25" customHeight="1" x14ac:dyDescent="0.25">
      <c r="G23" s="6"/>
      <c r="H23" s="6"/>
      <c r="K23" s="6"/>
      <c r="L23" s="6"/>
      <c r="M23" s="6"/>
      <c r="N23" s="6"/>
    </row>
    <row r="24" spans="7:14" ht="14.25" customHeight="1" x14ac:dyDescent="0.25">
      <c r="G24" s="6"/>
      <c r="H24" s="6"/>
      <c r="K24" s="6"/>
      <c r="L24" s="6"/>
      <c r="M24" s="6"/>
      <c r="N24" s="6"/>
    </row>
    <row r="25" spans="7:14" ht="14.25" customHeight="1" x14ac:dyDescent="0.25">
      <c r="G25" s="6"/>
      <c r="H25" s="6"/>
      <c r="K25" s="6"/>
      <c r="L25" s="6"/>
      <c r="M25" s="6"/>
      <c r="N25" s="6"/>
    </row>
    <row r="26" spans="7:14" ht="14.25" customHeight="1" x14ac:dyDescent="0.25">
      <c r="G26" s="6"/>
      <c r="H26" s="6"/>
      <c r="K26" s="6"/>
      <c r="L26" s="6"/>
      <c r="M26" s="6"/>
      <c r="N26" s="6"/>
    </row>
    <row r="27" spans="7:14" ht="14.25" customHeight="1" x14ac:dyDescent="0.25">
      <c r="G27" s="6"/>
      <c r="H27" s="6"/>
      <c r="K27" s="6"/>
      <c r="L27" s="6"/>
      <c r="M27" s="6"/>
      <c r="N27" s="6"/>
    </row>
    <row r="28" spans="7:14" ht="14.25" customHeight="1" x14ac:dyDescent="0.25">
      <c r="G28" s="6"/>
      <c r="H28" s="6"/>
      <c r="K28" s="6"/>
      <c r="L28" s="6"/>
      <c r="M28" s="6"/>
      <c r="N28" s="6"/>
    </row>
    <row r="29" spans="7:14" ht="14.25" customHeight="1" x14ac:dyDescent="0.25">
      <c r="G29" s="6"/>
      <c r="H29" s="6"/>
      <c r="K29" s="6"/>
      <c r="L29" s="6"/>
      <c r="M29" s="6"/>
      <c r="N29" s="6"/>
    </row>
    <row r="30" spans="7:14" ht="14.25" customHeight="1" x14ac:dyDescent="0.25"/>
    <row r="31" spans="7:14" ht="14.25" customHeight="1" x14ac:dyDescent="0.25"/>
    <row r="32" spans="7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</sheetData>
  <conditionalFormatting sqref="C2:C500">
    <cfRule type="expression" dxfId="2" priority="2">
      <formula>AND(OR($G2&lt;=-7,$G2&gt;=7),$H2="Away")</formula>
    </cfRule>
  </conditionalFormatting>
  <conditionalFormatting sqref="D2:D500">
    <cfRule type="expression" dxfId="1" priority="3">
      <formula>AND(OR($G2&lt;=-7,$G2&gt;=7),$H2="Home")</formula>
    </cfRule>
  </conditionalFormatting>
  <conditionalFormatting sqref="E2:F500">
    <cfRule type="expression" dxfId="0" priority="4">
      <formula>OR($G2&lt;=-7,$G2&gt;=7)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4"/>
  <sheetViews>
    <sheetView showGridLines="0" tabSelected="1" zoomScaleNormal="100" workbookViewId="0">
      <pane ySplit="1" topLeftCell="A2" activePane="bottomLeft" state="frozen"/>
      <selection pane="bottomLeft" activeCell="G35" sqref="G35"/>
    </sheetView>
  </sheetViews>
  <sheetFormatPr defaultColWidth="8.7109375" defaultRowHeight="15" x14ac:dyDescent="0.25"/>
  <cols>
    <col min="1" max="1" width="11" customWidth="1"/>
    <col min="2" max="2" width="6" customWidth="1"/>
    <col min="3" max="3" width="37.42578125" customWidth="1"/>
    <col min="4" max="4" width="10" customWidth="1"/>
    <col min="5" max="5" width="22.28515625" customWidth="1"/>
    <col min="6" max="6" width="11" customWidth="1"/>
    <col min="7" max="7" width="14" customWidth="1"/>
    <col min="8" max="9" width="12" customWidth="1"/>
    <col min="10" max="10" width="10" customWidth="1"/>
    <col min="11" max="11" width="9" customWidth="1"/>
    <col min="12" max="12" width="14" customWidth="1"/>
    <col min="13" max="13" width="15" customWidth="1"/>
  </cols>
  <sheetData>
    <row r="1" spans="1:13" ht="25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14.25" customHeight="1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>
        <v>-7.5</v>
      </c>
      <c r="G2">
        <v>100</v>
      </c>
      <c r="H2">
        <v>1</v>
      </c>
      <c r="I2">
        <v>-7</v>
      </c>
      <c r="J2" s="6">
        <f>IF(I2="","",I2-F2)</f>
        <v>0.5</v>
      </c>
      <c r="K2" t="s">
        <v>17</v>
      </c>
      <c r="L2" s="11">
        <f t="shared" ref="L2:L17" si="0">IF(K2="W",IF(G2&lt;0,H2*100/ABS(G2),H2*G2/100),IF(K2="L",-H2,0))</f>
        <v>1</v>
      </c>
      <c r="M2" s="11">
        <f>Settings!$B$4+SUM(L$2:L2)</f>
        <v>51</v>
      </c>
    </row>
    <row r="3" spans="1:13" ht="14.25" customHeight="1" x14ac:dyDescent="0.25">
      <c r="A3" t="s">
        <v>13</v>
      </c>
      <c r="B3">
        <v>1</v>
      </c>
      <c r="C3" t="s">
        <v>14</v>
      </c>
      <c r="D3" t="s">
        <v>18</v>
      </c>
      <c r="E3" t="s">
        <v>16</v>
      </c>
      <c r="G3">
        <v>-285</v>
      </c>
      <c r="H3">
        <v>5</v>
      </c>
      <c r="J3" s="6" t="str">
        <f>IF(I3="","",I3-F3)</f>
        <v/>
      </c>
      <c r="K3" t="s">
        <v>17</v>
      </c>
      <c r="L3" s="11">
        <f t="shared" si="0"/>
        <v>1.7543859649122806</v>
      </c>
      <c r="M3" s="11">
        <f>Settings!$B$4+SUM(L$2:L3)</f>
        <v>52.754385964912281</v>
      </c>
    </row>
    <row r="4" spans="1:13" ht="14.25" customHeight="1" x14ac:dyDescent="0.25">
      <c r="A4" t="s">
        <v>13</v>
      </c>
      <c r="B4">
        <v>1</v>
      </c>
      <c r="C4" t="s">
        <v>19</v>
      </c>
      <c r="D4" t="s">
        <v>18</v>
      </c>
      <c r="E4" t="s">
        <v>20</v>
      </c>
      <c r="G4">
        <v>-178</v>
      </c>
      <c r="H4">
        <v>5</v>
      </c>
      <c r="J4" s="6" t="str">
        <f>IF(I4="","",I4-F5)</f>
        <v/>
      </c>
      <c r="K4" t="s">
        <v>21</v>
      </c>
      <c r="L4" s="11">
        <f t="shared" si="0"/>
        <v>-5</v>
      </c>
      <c r="M4" s="11">
        <f>Settings!$B$4+SUM(L$2:L4)</f>
        <v>47.754385964912281</v>
      </c>
    </row>
    <row r="5" spans="1:13" ht="14.25" customHeight="1" x14ac:dyDescent="0.25">
      <c r="A5" t="s">
        <v>13</v>
      </c>
      <c r="B5">
        <v>1</v>
      </c>
      <c r="C5" t="s">
        <v>22</v>
      </c>
      <c r="D5" t="s">
        <v>23</v>
      </c>
      <c r="E5" t="s">
        <v>24</v>
      </c>
      <c r="G5">
        <v>110</v>
      </c>
      <c r="H5">
        <v>3</v>
      </c>
      <c r="J5" s="6" t="str">
        <f>IF(I5="","",I5-#REF!)</f>
        <v/>
      </c>
      <c r="K5" t="s">
        <v>21</v>
      </c>
      <c r="L5" s="11">
        <f t="shared" si="0"/>
        <v>-3</v>
      </c>
      <c r="M5" s="11">
        <f>Settings!$B$4+SUM(L$2:L5)</f>
        <v>44.754385964912281</v>
      </c>
    </row>
    <row r="6" spans="1:13" ht="14.25" customHeight="1" x14ac:dyDescent="0.25">
      <c r="A6" t="s">
        <v>25</v>
      </c>
      <c r="B6">
        <v>1</v>
      </c>
      <c r="C6" t="s">
        <v>26</v>
      </c>
      <c r="D6" t="s">
        <v>15</v>
      </c>
      <c r="E6" t="s">
        <v>27</v>
      </c>
      <c r="F6">
        <v>-3.5</v>
      </c>
      <c r="G6">
        <v>-110</v>
      </c>
      <c r="H6">
        <v>2</v>
      </c>
      <c r="J6" s="6" t="str">
        <f>IF(I6="","",I6-F6)</f>
        <v/>
      </c>
      <c r="K6" t="s">
        <v>21</v>
      </c>
      <c r="L6" s="11">
        <f t="shared" si="0"/>
        <v>-2</v>
      </c>
      <c r="M6" s="11">
        <f>Settings!$B$4+SUM(L$2:L6)</f>
        <v>42.754385964912281</v>
      </c>
    </row>
    <row r="7" spans="1:13" ht="14.25" customHeight="1" x14ac:dyDescent="0.25">
      <c r="A7" s="10" t="s">
        <v>28</v>
      </c>
      <c r="B7">
        <v>1</v>
      </c>
      <c r="C7" t="s">
        <v>29</v>
      </c>
      <c r="D7" t="s">
        <v>23</v>
      </c>
      <c r="E7" t="s">
        <v>30</v>
      </c>
      <c r="G7">
        <v>149</v>
      </c>
      <c r="H7">
        <v>2</v>
      </c>
      <c r="J7" s="6" t="str">
        <f>IF(I7="","",I7-F7)</f>
        <v/>
      </c>
      <c r="K7" t="s">
        <v>21</v>
      </c>
      <c r="L7" s="11">
        <f t="shared" si="0"/>
        <v>-2</v>
      </c>
      <c r="M7" s="11">
        <f>Settings!$B$4+SUM(L$2:L7)</f>
        <v>40.754385964912281</v>
      </c>
    </row>
    <row r="8" spans="1:13" ht="14.25" customHeight="1" x14ac:dyDescent="0.25">
      <c r="A8" s="10" t="s">
        <v>28</v>
      </c>
      <c r="B8">
        <v>1</v>
      </c>
      <c r="C8" t="s">
        <v>31</v>
      </c>
      <c r="D8" t="s">
        <v>15</v>
      </c>
      <c r="E8" t="s">
        <v>32</v>
      </c>
      <c r="F8">
        <v>-2.5</v>
      </c>
      <c r="G8">
        <v>-110</v>
      </c>
      <c r="H8">
        <v>2</v>
      </c>
      <c r="I8">
        <v>-3</v>
      </c>
      <c r="J8" s="6">
        <f>IF(I8="","",I8-F8)</f>
        <v>-0.5</v>
      </c>
      <c r="K8" t="s">
        <v>17</v>
      </c>
      <c r="L8" s="11">
        <f t="shared" si="0"/>
        <v>1.8181818181818181</v>
      </c>
      <c r="M8" s="11">
        <f>Settings!$B$4+SUM(L$2:L8)</f>
        <v>42.572567783094101</v>
      </c>
    </row>
    <row r="9" spans="1:13" ht="14.25" customHeight="1" x14ac:dyDescent="0.25">
      <c r="A9" s="10" t="s">
        <v>28</v>
      </c>
      <c r="B9">
        <v>1</v>
      </c>
      <c r="C9" t="s">
        <v>31</v>
      </c>
      <c r="D9" t="s">
        <v>18</v>
      </c>
      <c r="E9" t="s">
        <v>32</v>
      </c>
      <c r="G9">
        <v>-145</v>
      </c>
      <c r="H9">
        <v>2</v>
      </c>
      <c r="J9" s="6" t="str">
        <f>IF(I9="","",I9-F9)</f>
        <v/>
      </c>
      <c r="K9" t="s">
        <v>17</v>
      </c>
      <c r="L9" s="11">
        <f t="shared" si="0"/>
        <v>1.3793103448275863</v>
      </c>
      <c r="M9" s="11">
        <f>Settings!$B$4+SUM(L$2:L9)</f>
        <v>43.951878127921688</v>
      </c>
    </row>
    <row r="10" spans="1:13" ht="14.25" customHeight="1" x14ac:dyDescent="0.25">
      <c r="A10" s="10" t="s">
        <v>28</v>
      </c>
      <c r="B10">
        <v>1</v>
      </c>
      <c r="C10" t="s">
        <v>33</v>
      </c>
      <c r="D10" t="s">
        <v>15</v>
      </c>
      <c r="E10" t="s">
        <v>34</v>
      </c>
      <c r="F10">
        <v>-12.5</v>
      </c>
      <c r="G10">
        <v>-110</v>
      </c>
      <c r="H10">
        <v>5</v>
      </c>
      <c r="I10">
        <v>-10</v>
      </c>
      <c r="J10" s="6">
        <f>IF(I10="","",I10-F10)</f>
        <v>2.5</v>
      </c>
      <c r="K10" t="s">
        <v>17</v>
      </c>
      <c r="L10" s="11">
        <f t="shared" si="0"/>
        <v>4.5454545454545459</v>
      </c>
      <c r="M10" s="11">
        <f>Settings!$B$4+SUM(L$2:L10)</f>
        <v>48.497332673376235</v>
      </c>
    </row>
    <row r="11" spans="1:13" ht="14.25" customHeight="1" x14ac:dyDescent="0.25">
      <c r="A11" s="10" t="s">
        <v>35</v>
      </c>
      <c r="B11">
        <v>1</v>
      </c>
      <c r="C11" t="s">
        <v>36</v>
      </c>
      <c r="D11" t="s">
        <v>15</v>
      </c>
      <c r="E11" t="s">
        <v>37</v>
      </c>
      <c r="F11">
        <v>-2.5</v>
      </c>
      <c r="G11">
        <v>-122</v>
      </c>
      <c r="H11">
        <v>2</v>
      </c>
      <c r="K11" t="s">
        <v>17</v>
      </c>
      <c r="L11" s="11">
        <f t="shared" si="0"/>
        <v>1.639344262295082</v>
      </c>
      <c r="M11" s="11">
        <f>Settings!$B$4+SUM(L$2:L11)</f>
        <v>50.136676935671311</v>
      </c>
    </row>
    <row r="12" spans="1:13" ht="14.25" customHeight="1" x14ac:dyDescent="0.25">
      <c r="A12" s="10" t="s">
        <v>35</v>
      </c>
      <c r="B12">
        <v>1</v>
      </c>
      <c r="C12" t="s">
        <v>36</v>
      </c>
      <c r="D12" t="s">
        <v>15</v>
      </c>
      <c r="E12" t="s">
        <v>38</v>
      </c>
      <c r="F12">
        <v>10.5</v>
      </c>
      <c r="G12">
        <v>-118</v>
      </c>
      <c r="H12">
        <v>3</v>
      </c>
      <c r="K12" t="s">
        <v>17</v>
      </c>
      <c r="L12" s="11">
        <f t="shared" si="0"/>
        <v>2.5423728813559321</v>
      </c>
      <c r="M12" s="11">
        <f>Settings!$B$4+SUM(L$2:L12)</f>
        <v>52.679049817027249</v>
      </c>
    </row>
    <row r="13" spans="1:13" ht="14.25" customHeight="1" x14ac:dyDescent="0.25">
      <c r="A13" s="10" t="s">
        <v>35</v>
      </c>
      <c r="B13">
        <v>1</v>
      </c>
      <c r="C13" t="s">
        <v>36</v>
      </c>
      <c r="D13" t="s">
        <v>18</v>
      </c>
      <c r="E13" t="s">
        <v>38</v>
      </c>
      <c r="G13">
        <v>265</v>
      </c>
      <c r="H13">
        <v>1</v>
      </c>
      <c r="K13" t="s">
        <v>21</v>
      </c>
      <c r="L13" s="11">
        <f t="shared" si="0"/>
        <v>-1</v>
      </c>
      <c r="M13" s="11">
        <f>Settings!$B$4+SUM(L$2:L13)</f>
        <v>51.679049817027249</v>
      </c>
    </row>
    <row r="14" spans="1:13" ht="14.25" customHeight="1" x14ac:dyDescent="0.25">
      <c r="A14" s="10" t="s">
        <v>39</v>
      </c>
      <c r="B14">
        <v>1</v>
      </c>
      <c r="C14" t="s">
        <v>40</v>
      </c>
      <c r="D14" t="s">
        <v>15</v>
      </c>
      <c r="E14" t="s">
        <v>41</v>
      </c>
      <c r="F14">
        <v>6.5</v>
      </c>
      <c r="G14">
        <v>-108</v>
      </c>
      <c r="H14">
        <v>3</v>
      </c>
      <c r="K14" t="s">
        <v>17</v>
      </c>
      <c r="L14" s="11">
        <f t="shared" si="0"/>
        <v>2.7777777777777777</v>
      </c>
      <c r="M14" s="11">
        <f>Settings!$B$4+SUM(L$2:L14)</f>
        <v>54.45682759480502</v>
      </c>
    </row>
    <row r="15" spans="1:13" ht="14.25" customHeight="1" x14ac:dyDescent="0.25">
      <c r="A15" s="10" t="s">
        <v>39</v>
      </c>
      <c r="B15">
        <v>1</v>
      </c>
      <c r="C15" t="s">
        <v>40</v>
      </c>
      <c r="D15" t="s">
        <v>15</v>
      </c>
      <c r="E15" t="s">
        <v>41</v>
      </c>
      <c r="F15">
        <v>7.5</v>
      </c>
      <c r="G15">
        <v>114</v>
      </c>
      <c r="H15">
        <v>3</v>
      </c>
      <c r="K15" t="s">
        <v>17</v>
      </c>
      <c r="L15" s="11">
        <f t="shared" si="0"/>
        <v>3.42</v>
      </c>
      <c r="M15" s="11">
        <f>Settings!$B$4+SUM(L$2:L15)</f>
        <v>57.876827594805022</v>
      </c>
    </row>
    <row r="16" spans="1:13" ht="14.25" customHeight="1" x14ac:dyDescent="0.25">
      <c r="A16" s="10" t="s">
        <v>39</v>
      </c>
      <c r="B16">
        <v>1</v>
      </c>
      <c r="C16" t="s">
        <v>42</v>
      </c>
      <c r="D16" t="s">
        <v>15</v>
      </c>
      <c r="E16" t="s">
        <v>43</v>
      </c>
      <c r="F16">
        <v>14.5</v>
      </c>
      <c r="G16">
        <v>-132</v>
      </c>
      <c r="H16">
        <v>3</v>
      </c>
      <c r="J16" s="6" t="str">
        <f>IF(I16="","",I16-F16)</f>
        <v/>
      </c>
      <c r="K16" t="s">
        <v>21</v>
      </c>
      <c r="L16" s="11">
        <f t="shared" si="0"/>
        <v>-3</v>
      </c>
      <c r="M16" s="11">
        <f>Settings!$B$4+SUM(L$2:L16)</f>
        <v>54.876827594805022</v>
      </c>
    </row>
    <row r="17" spans="1:13" ht="14.25" customHeight="1" x14ac:dyDescent="0.25">
      <c r="A17" s="10" t="s">
        <v>28</v>
      </c>
      <c r="B17">
        <v>1</v>
      </c>
      <c r="C17" t="s">
        <v>44</v>
      </c>
      <c r="D17" t="s">
        <v>15</v>
      </c>
      <c r="E17" t="s">
        <v>45</v>
      </c>
      <c r="F17">
        <v>28.5</v>
      </c>
      <c r="G17">
        <v>-138</v>
      </c>
      <c r="H17">
        <v>7.5</v>
      </c>
      <c r="J17" s="6" t="str">
        <f>IF(I17="","",I17-F17)</f>
        <v/>
      </c>
      <c r="K17" t="s">
        <v>21</v>
      </c>
      <c r="L17" s="11">
        <f t="shared" si="0"/>
        <v>-7.5</v>
      </c>
      <c r="M17" s="11">
        <f>Settings!$B$4+SUM(L$2:L17)</f>
        <v>47.376827594805022</v>
      </c>
    </row>
    <row r="18" spans="1:13" ht="14.25" customHeight="1" x14ac:dyDescent="0.25">
      <c r="A18" s="10" t="s">
        <v>28</v>
      </c>
      <c r="B18">
        <v>1</v>
      </c>
      <c r="C18" t="s">
        <v>44</v>
      </c>
      <c r="D18" t="s">
        <v>15</v>
      </c>
      <c r="E18" t="s">
        <v>45</v>
      </c>
      <c r="F18">
        <v>10.5</v>
      </c>
      <c r="G18">
        <v>-118</v>
      </c>
      <c r="H18">
        <v>2.5</v>
      </c>
      <c r="J18" s="6" t="str">
        <f>IF(I18="","",I18-F29)</f>
        <v/>
      </c>
      <c r="K18" t="s">
        <v>21</v>
      </c>
      <c r="L18" s="11">
        <f>IF(K18="W",IF(G29&lt;0,H29*100/ABS(G29),H29*G29/100),IF(K18="L",-H29,0))</f>
        <v>-1</v>
      </c>
      <c r="M18" s="11">
        <f>Settings!$B$4+SUM(L$2:L18)</f>
        <v>46.376827594805022</v>
      </c>
    </row>
    <row r="19" spans="1:13" ht="14.25" customHeight="1" x14ac:dyDescent="0.25">
      <c r="A19" s="10" t="s">
        <v>28</v>
      </c>
      <c r="B19">
        <v>1</v>
      </c>
      <c r="C19" t="s">
        <v>46</v>
      </c>
      <c r="D19" t="s">
        <v>18</v>
      </c>
      <c r="E19" t="s">
        <v>47</v>
      </c>
      <c r="G19">
        <v>146</v>
      </c>
      <c r="H19">
        <v>11.5</v>
      </c>
      <c r="J19" s="6" t="str">
        <f>IF(I19="","",I19-F30)</f>
        <v/>
      </c>
      <c r="K19" t="s">
        <v>17</v>
      </c>
      <c r="L19" s="11">
        <f>IF(K19="W",IF(G30&lt;0,H30*100/ABS(G30),H30*G30/100),IF(K19="L",-H30,0))</f>
        <v>2.2321428571428572</v>
      </c>
      <c r="M19" s="11">
        <f>Settings!$B$4+SUM(L$2:L19)</f>
        <v>48.608970451947883</v>
      </c>
    </row>
    <row r="20" spans="1:13" ht="14.25" customHeight="1" x14ac:dyDescent="0.25">
      <c r="A20" s="10" t="s">
        <v>28</v>
      </c>
      <c r="B20">
        <v>1</v>
      </c>
      <c r="C20" t="s">
        <v>48</v>
      </c>
      <c r="D20" t="s">
        <v>15</v>
      </c>
      <c r="E20" t="s">
        <v>49</v>
      </c>
      <c r="F20">
        <v>6.5</v>
      </c>
      <c r="G20">
        <v>108</v>
      </c>
      <c r="H20">
        <v>3</v>
      </c>
      <c r="J20" s="6" t="str">
        <f>IF(I20="","",I20-F31)</f>
        <v/>
      </c>
      <c r="K20" t="s">
        <v>21</v>
      </c>
      <c r="L20" s="11">
        <f>IF(K20="W",IF(G31&lt;0,H31*100/ABS(G31),H31*G31/100),IF(K20="L",-H31,0))</f>
        <v>-2.5</v>
      </c>
      <c r="M20" s="11">
        <f>Settings!$B$4+SUM(L$2:L20)</f>
        <v>46.108970451947883</v>
      </c>
    </row>
    <row r="21" spans="1:13" ht="14.25" customHeight="1" x14ac:dyDescent="0.25">
      <c r="A21" s="10" t="s">
        <v>28</v>
      </c>
      <c r="B21">
        <v>1</v>
      </c>
      <c r="C21" t="s">
        <v>50</v>
      </c>
      <c r="D21" t="s">
        <v>18</v>
      </c>
      <c r="E21" t="s">
        <v>51</v>
      </c>
      <c r="G21">
        <v>200</v>
      </c>
      <c r="H21">
        <v>3</v>
      </c>
      <c r="J21" s="6" t="str">
        <f>IF(I21="","",I21-F32)</f>
        <v/>
      </c>
      <c r="K21" t="s">
        <v>21</v>
      </c>
      <c r="L21" s="11">
        <f>IF(K21="W",IF(G32&lt;0,H32*100/ABS(G32),H32*G32/100),IF(K21="L",-H32,0))</f>
        <v>-1</v>
      </c>
      <c r="M21" s="11">
        <f>Settings!$B$4+SUM(L$2:L21)</f>
        <v>45.108970451947883</v>
      </c>
    </row>
    <row r="22" spans="1:13" ht="14.25" customHeight="1" x14ac:dyDescent="0.25">
      <c r="A22" t="s">
        <v>25</v>
      </c>
      <c r="B22">
        <v>1</v>
      </c>
      <c r="C22" t="s">
        <v>52</v>
      </c>
      <c r="D22" t="s">
        <v>15</v>
      </c>
      <c r="E22" t="s">
        <v>53</v>
      </c>
      <c r="F22">
        <v>-36.5</v>
      </c>
      <c r="G22">
        <v>100</v>
      </c>
      <c r="H22">
        <v>2.5</v>
      </c>
      <c r="J22" s="6" t="str">
        <f>IF(I22="","",I22-F33)</f>
        <v/>
      </c>
      <c r="K22" t="s">
        <v>17</v>
      </c>
      <c r="L22" s="11">
        <f>IF(K22="W",IF(G33&lt;0,H33*100/ABS(G33),H33*G33/100),IF(K22="L",-H33,0))</f>
        <v>0.90909090909090906</v>
      </c>
      <c r="M22" s="11">
        <f>Settings!$B$4+SUM(L$2:L22)</f>
        <v>46.018061361038789</v>
      </c>
    </row>
    <row r="23" spans="1:13" ht="14.25" customHeight="1" x14ac:dyDescent="0.25">
      <c r="A23" t="s">
        <v>25</v>
      </c>
      <c r="B23">
        <v>1</v>
      </c>
      <c r="C23" t="s">
        <v>54</v>
      </c>
      <c r="D23" t="s">
        <v>55</v>
      </c>
      <c r="F23">
        <v>39.5</v>
      </c>
      <c r="G23">
        <v>-102</v>
      </c>
      <c r="H23">
        <v>5</v>
      </c>
      <c r="J23" s="6" t="str">
        <f>IF(I23="","",I23-F23)</f>
        <v/>
      </c>
      <c r="K23" t="s">
        <v>21</v>
      </c>
      <c r="L23" s="11">
        <f t="shared" ref="L23:L41" si="1">IF(K23="W",IF(G23&lt;0,H23*100/ABS(G23),H23*G23/100),IF(K23="L",-H23,0))</f>
        <v>-5</v>
      </c>
      <c r="M23" s="11">
        <f>Settings!$B$4+SUM(L$2:L23)</f>
        <v>41.018061361038789</v>
      </c>
    </row>
    <row r="24" spans="1:13" ht="14.25" customHeight="1" x14ac:dyDescent="0.25">
      <c r="A24" t="s">
        <v>25</v>
      </c>
      <c r="B24">
        <v>1</v>
      </c>
      <c r="C24" t="s">
        <v>56</v>
      </c>
      <c r="D24" t="s">
        <v>15</v>
      </c>
      <c r="E24" t="s">
        <v>47</v>
      </c>
      <c r="F24">
        <v>-12.5</v>
      </c>
      <c r="G24">
        <v>-114</v>
      </c>
      <c r="H24">
        <v>3.5</v>
      </c>
      <c r="J24" s="6" t="str">
        <f>IF(I24="","",I24-F24)</f>
        <v/>
      </c>
      <c r="K24" t="s">
        <v>21</v>
      </c>
      <c r="L24" s="11">
        <f t="shared" si="1"/>
        <v>-3.5</v>
      </c>
      <c r="M24" s="11">
        <f>Settings!$B$4+SUM(L$2:L24)</f>
        <v>37.518061361038789</v>
      </c>
    </row>
    <row r="25" spans="1:13" ht="14.25" customHeight="1" x14ac:dyDescent="0.25">
      <c r="A25" t="s">
        <v>25</v>
      </c>
      <c r="B25">
        <v>1</v>
      </c>
      <c r="C25" t="s">
        <v>57</v>
      </c>
      <c r="D25" t="s">
        <v>55</v>
      </c>
      <c r="F25">
        <v>51.5</v>
      </c>
      <c r="G25">
        <v>-128</v>
      </c>
      <c r="H25">
        <v>2.5</v>
      </c>
      <c r="J25" s="6" t="str">
        <f>IF(I25="","",I25-F25)</f>
        <v/>
      </c>
      <c r="K25" t="s">
        <v>21</v>
      </c>
      <c r="L25" s="11">
        <f t="shared" si="1"/>
        <v>-2.5</v>
      </c>
      <c r="M25" s="11">
        <f>Settings!$B$4+SUM(L$2:L25)</f>
        <v>35.018061361038789</v>
      </c>
    </row>
    <row r="26" spans="1:13" ht="14.25" customHeight="1" x14ac:dyDescent="0.25">
      <c r="A26" t="s">
        <v>25</v>
      </c>
      <c r="B26">
        <v>1</v>
      </c>
      <c r="C26" t="s">
        <v>58</v>
      </c>
      <c r="D26" t="s">
        <v>18</v>
      </c>
      <c r="E26" t="s">
        <v>27</v>
      </c>
      <c r="G26">
        <v>-146</v>
      </c>
      <c r="H26">
        <v>2</v>
      </c>
      <c r="J26" s="6" t="str">
        <f>IF(I26="","",I26-F26)</f>
        <v/>
      </c>
      <c r="K26" t="s">
        <v>21</v>
      </c>
      <c r="L26" s="11">
        <f t="shared" si="1"/>
        <v>-2</v>
      </c>
      <c r="M26" s="11">
        <f>Settings!$B$4+SUM(L$2:L26)</f>
        <v>33.018061361038789</v>
      </c>
    </row>
    <row r="27" spans="1:13" ht="14.25" customHeight="1" x14ac:dyDescent="0.25">
      <c r="A27" t="s">
        <v>25</v>
      </c>
      <c r="B27">
        <v>1</v>
      </c>
      <c r="C27" t="s">
        <v>59</v>
      </c>
      <c r="D27" t="s">
        <v>15</v>
      </c>
      <c r="E27" t="s">
        <v>60</v>
      </c>
      <c r="F27">
        <v>17.5</v>
      </c>
      <c r="G27">
        <v>-106</v>
      </c>
      <c r="H27">
        <v>2.75</v>
      </c>
      <c r="J27" s="6" t="str">
        <f>IF(I27="","",I27-F27)</f>
        <v/>
      </c>
      <c r="K27" t="s">
        <v>21</v>
      </c>
      <c r="L27" s="11">
        <f t="shared" si="1"/>
        <v>-2.75</v>
      </c>
      <c r="M27" s="11">
        <f>Settings!$B$4+SUM(L$2:L27)</f>
        <v>30.268061361038789</v>
      </c>
    </row>
    <row r="28" spans="1:13" ht="14.25" customHeight="1" x14ac:dyDescent="0.25">
      <c r="A28" t="s">
        <v>25</v>
      </c>
      <c r="B28">
        <v>1</v>
      </c>
      <c r="C28" t="s">
        <v>59</v>
      </c>
      <c r="D28" t="s">
        <v>15</v>
      </c>
      <c r="E28" t="s">
        <v>60</v>
      </c>
      <c r="F28">
        <v>25.5</v>
      </c>
      <c r="G28">
        <v>320</v>
      </c>
      <c r="H28">
        <v>2</v>
      </c>
      <c r="J28" s="6" t="str">
        <f>IF(I28="","",I28-#REF!)</f>
        <v/>
      </c>
      <c r="K28" t="s">
        <v>17</v>
      </c>
      <c r="L28" s="11">
        <f t="shared" si="1"/>
        <v>6.4</v>
      </c>
      <c r="M28" s="11">
        <f>Settings!$B$4+SUM(L$2:L28)</f>
        <v>36.668061361038788</v>
      </c>
    </row>
    <row r="29" spans="1:13" ht="14.25" customHeight="1" x14ac:dyDescent="0.25">
      <c r="A29" t="s">
        <v>61</v>
      </c>
      <c r="B29">
        <v>2</v>
      </c>
      <c r="C29" t="s">
        <v>62</v>
      </c>
      <c r="D29" t="s">
        <v>15</v>
      </c>
      <c r="E29" t="s">
        <v>63</v>
      </c>
      <c r="F29">
        <v>3.5</v>
      </c>
      <c r="G29">
        <v>-114</v>
      </c>
      <c r="H29">
        <v>1</v>
      </c>
      <c r="J29" s="6" t="str">
        <f>IF(I29="","",I29-#REF!)</f>
        <v/>
      </c>
      <c r="K29" t="s">
        <v>17</v>
      </c>
      <c r="L29" s="11">
        <f t="shared" si="1"/>
        <v>0.8771929824561403</v>
      </c>
      <c r="M29" s="11">
        <f>Settings!$B$4+SUM(L$2:L29)</f>
        <v>37.545254343494932</v>
      </c>
    </row>
    <row r="30" spans="1:13" ht="14.25" customHeight="1" x14ac:dyDescent="0.25">
      <c r="A30" t="s">
        <v>61</v>
      </c>
      <c r="B30">
        <v>2</v>
      </c>
      <c r="C30" t="s">
        <v>65</v>
      </c>
      <c r="D30" t="s">
        <v>15</v>
      </c>
      <c r="E30" t="s">
        <v>16</v>
      </c>
      <c r="F30">
        <v>-2.5</v>
      </c>
      <c r="G30">
        <v>-112</v>
      </c>
      <c r="H30">
        <v>2.5</v>
      </c>
      <c r="J30" s="6" t="str">
        <f>IF(I30="","",I30-#REF!)</f>
        <v/>
      </c>
      <c r="K30" t="s">
        <v>17</v>
      </c>
      <c r="L30" s="11">
        <f t="shared" si="1"/>
        <v>2.2321428571428572</v>
      </c>
      <c r="M30" s="11">
        <f>Settings!$B$4+SUM(L$2:L30)</f>
        <v>39.777397200637786</v>
      </c>
    </row>
    <row r="31" spans="1:13" ht="14.25" customHeight="1" x14ac:dyDescent="0.25">
      <c r="A31" t="s">
        <v>61</v>
      </c>
      <c r="B31">
        <v>2</v>
      </c>
      <c r="C31" t="s">
        <v>65</v>
      </c>
      <c r="D31" t="s">
        <v>18</v>
      </c>
      <c r="E31" t="s">
        <v>16</v>
      </c>
      <c r="G31">
        <v>-134</v>
      </c>
      <c r="H31">
        <v>2.5</v>
      </c>
      <c r="J31" s="6" t="str">
        <f>IF(I31="","",I31-#REF!)</f>
        <v/>
      </c>
      <c r="K31" t="s">
        <v>17</v>
      </c>
      <c r="L31" s="11">
        <f t="shared" si="1"/>
        <v>1.8656716417910448</v>
      </c>
      <c r="M31" s="11">
        <f>Settings!$B$4+SUM(L$2:L31)</f>
        <v>41.643068842428832</v>
      </c>
    </row>
    <row r="32" spans="1:13" ht="14.25" customHeight="1" x14ac:dyDescent="0.25">
      <c r="A32" t="s">
        <v>61</v>
      </c>
      <c r="B32">
        <v>2</v>
      </c>
      <c r="C32" t="s">
        <v>66</v>
      </c>
      <c r="D32" t="s">
        <v>18</v>
      </c>
      <c r="E32" t="s">
        <v>67</v>
      </c>
      <c r="G32">
        <v>-330</v>
      </c>
      <c r="H32">
        <v>1</v>
      </c>
      <c r="J32" s="6" t="str">
        <f>IF(I32="","",I32-#REF!)</f>
        <v/>
      </c>
      <c r="K32" t="s">
        <v>17</v>
      </c>
      <c r="L32" s="11">
        <f t="shared" si="1"/>
        <v>0.30303030303030304</v>
      </c>
      <c r="M32" s="11">
        <f>Settings!$B$4+SUM(L$2:L32)</f>
        <v>41.946099145459137</v>
      </c>
    </row>
    <row r="33" spans="1:13" ht="14.25" customHeight="1" x14ac:dyDescent="0.25">
      <c r="A33" t="s">
        <v>61</v>
      </c>
      <c r="B33">
        <v>2</v>
      </c>
      <c r="C33" t="s">
        <v>434</v>
      </c>
      <c r="D33" t="s">
        <v>15</v>
      </c>
      <c r="E33" t="s">
        <v>435</v>
      </c>
      <c r="F33">
        <v>-12.5</v>
      </c>
      <c r="G33">
        <v>-110</v>
      </c>
      <c r="H33">
        <v>1</v>
      </c>
      <c r="J33" s="6"/>
      <c r="K33" t="s">
        <v>21</v>
      </c>
      <c r="L33" s="11">
        <f t="shared" si="1"/>
        <v>-1</v>
      </c>
      <c r="M33" s="11">
        <f>Settings!$B$4+SUM(L$2:L33)</f>
        <v>40.946099145459137</v>
      </c>
    </row>
    <row r="34" spans="1:13" ht="14.25" customHeight="1" x14ac:dyDescent="0.25">
      <c r="A34" t="s">
        <v>61</v>
      </c>
      <c r="B34">
        <v>2</v>
      </c>
      <c r="C34" t="s">
        <v>436</v>
      </c>
      <c r="D34" t="s">
        <v>18</v>
      </c>
      <c r="E34" t="s">
        <v>437</v>
      </c>
      <c r="G34">
        <v>500</v>
      </c>
      <c r="H34">
        <v>40</v>
      </c>
      <c r="J34" s="6" t="str">
        <f>IF(I34="","",I34-F34)</f>
        <v/>
      </c>
      <c r="K34" t="s">
        <v>17</v>
      </c>
      <c r="L34" s="11">
        <f t="shared" si="1"/>
        <v>200</v>
      </c>
      <c r="M34" s="11">
        <f>Settings!$B$4+SUM(L$2:L34)</f>
        <v>240.94609914545913</v>
      </c>
    </row>
    <row r="35" spans="1:13" ht="14.25" customHeight="1" x14ac:dyDescent="0.25">
      <c r="J35" s="6" t="str">
        <f>IF(I35="","",I35-F35)</f>
        <v/>
      </c>
      <c r="L35" s="11">
        <f t="shared" si="1"/>
        <v>0</v>
      </c>
      <c r="M35" s="11">
        <f>Settings!$B$4+SUM(L$2:L35)</f>
        <v>240.94609914545913</v>
      </c>
    </row>
    <row r="36" spans="1:13" ht="14.25" customHeight="1" x14ac:dyDescent="0.25">
      <c r="L36" s="11">
        <f t="shared" si="1"/>
        <v>0</v>
      </c>
      <c r="M36" s="11">
        <f>Settings!$B$4+SUM(L$2:L36)</f>
        <v>240.94609914545913</v>
      </c>
    </row>
    <row r="37" spans="1:13" ht="14.25" customHeight="1" x14ac:dyDescent="0.25">
      <c r="L37" s="11">
        <f t="shared" si="1"/>
        <v>0</v>
      </c>
      <c r="M37" s="11">
        <f>Settings!$B$4+SUM(L$2:L37)</f>
        <v>240.94609914545913</v>
      </c>
    </row>
    <row r="38" spans="1:13" ht="14.25" customHeight="1" x14ac:dyDescent="0.25">
      <c r="L38" s="11">
        <f t="shared" si="1"/>
        <v>0</v>
      </c>
      <c r="M38" s="11">
        <f>Settings!$B$4+SUM(L$2:L38)</f>
        <v>240.94609914545913</v>
      </c>
    </row>
    <row r="39" spans="1:13" ht="14.25" customHeight="1" x14ac:dyDescent="0.25">
      <c r="L39" s="11">
        <f t="shared" si="1"/>
        <v>0</v>
      </c>
      <c r="M39" s="11">
        <f>Settings!$B$4+SUM(L$2:L39)</f>
        <v>240.94609914545913</v>
      </c>
    </row>
    <row r="40" spans="1:13" ht="14.25" customHeight="1" x14ac:dyDescent="0.25">
      <c r="L40" s="11">
        <f t="shared" si="1"/>
        <v>0</v>
      </c>
      <c r="M40" s="11">
        <f>Settings!$B$4+SUM(L$2:L40)</f>
        <v>240.94609914545913</v>
      </c>
    </row>
    <row r="41" spans="1:13" ht="14.25" customHeight="1" x14ac:dyDescent="0.25">
      <c r="L41" s="11">
        <f t="shared" si="1"/>
        <v>0</v>
      </c>
      <c r="M41" s="11">
        <f>Settings!$B$4+SUM(L$2:L41)</f>
        <v>240.94609914545913</v>
      </c>
    </row>
    <row r="44" spans="1:13" ht="14.25" customHeight="1" x14ac:dyDescent="0.25">
      <c r="A44" s="2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showGridLines="0" zoomScaleNormal="100" workbookViewId="0">
      <pane ySplit="1" topLeftCell="A2" activePane="bottomLeft" state="frozen"/>
      <selection pane="bottomLeft" activeCell="D25" sqref="D25"/>
    </sheetView>
  </sheetViews>
  <sheetFormatPr defaultColWidth="8.7109375" defaultRowHeight="15" x14ac:dyDescent="0.25"/>
  <cols>
    <col min="1" max="1" width="16" customWidth="1"/>
    <col min="2" max="2" width="37" customWidth="1"/>
    <col min="3" max="3" width="7.140625" customWidth="1"/>
    <col min="4" max="4" width="17" customWidth="1"/>
    <col min="5" max="5" width="12" customWidth="1"/>
    <col min="6" max="7" width="10" customWidth="1"/>
    <col min="8" max="8" width="11" customWidth="1"/>
    <col min="9" max="9" width="60" customWidth="1"/>
  </cols>
  <sheetData>
    <row r="1" spans="1:9" ht="25.5" customHeight="1" x14ac:dyDescent="0.25">
      <c r="A1" s="5" t="s">
        <v>128</v>
      </c>
      <c r="B1" s="5" t="s">
        <v>129</v>
      </c>
      <c r="C1" s="5" t="s">
        <v>130</v>
      </c>
      <c r="D1" s="5" t="s">
        <v>131</v>
      </c>
      <c r="E1" s="5" t="s">
        <v>132</v>
      </c>
      <c r="F1" s="5" t="s">
        <v>133</v>
      </c>
      <c r="G1" s="5" t="s">
        <v>134</v>
      </c>
      <c r="H1" s="5" t="s">
        <v>135</v>
      </c>
      <c r="I1" s="5" t="s">
        <v>90</v>
      </c>
    </row>
    <row r="2" spans="1:9" ht="14.25" customHeight="1" x14ac:dyDescent="0.25">
      <c r="A2" s="6" t="s">
        <v>16</v>
      </c>
      <c r="B2" s="6" t="s">
        <v>136</v>
      </c>
      <c r="C2" s="6" t="s">
        <v>137</v>
      </c>
      <c r="D2" s="9">
        <v>1738.7</v>
      </c>
      <c r="E2" s="9">
        <v>-1.8</v>
      </c>
      <c r="F2" s="9">
        <v>0.23890241574582949</v>
      </c>
      <c r="G2" s="9">
        <v>-0.31310411774620828</v>
      </c>
      <c r="H2" s="9">
        <v>117</v>
      </c>
      <c r="I2" s="2" t="s">
        <v>138</v>
      </c>
    </row>
    <row r="3" spans="1:9" ht="14.25" customHeight="1" x14ac:dyDescent="0.25">
      <c r="A3" s="6" t="s">
        <v>20</v>
      </c>
      <c r="B3" s="6" t="s">
        <v>139</v>
      </c>
      <c r="C3" s="6" t="s">
        <v>140</v>
      </c>
      <c r="D3" s="9">
        <v>1613.1</v>
      </c>
      <c r="E3" s="9">
        <v>3.6</v>
      </c>
      <c r="F3" s="9">
        <v>0.1200261378324967</v>
      </c>
      <c r="G3" s="9">
        <v>8.9285135452890657E-2</v>
      </c>
      <c r="H3" s="9">
        <v>63</v>
      </c>
      <c r="I3" s="2" t="s">
        <v>141</v>
      </c>
    </row>
    <row r="4" spans="1:9" ht="14.25" customHeight="1" x14ac:dyDescent="0.25">
      <c r="A4" s="6" t="s">
        <v>34</v>
      </c>
      <c r="B4" s="6" t="s">
        <v>139</v>
      </c>
      <c r="C4" s="6" t="s">
        <v>140</v>
      </c>
      <c r="D4" s="9">
        <v>1569</v>
      </c>
      <c r="E4" s="9">
        <v>0</v>
      </c>
      <c r="F4" s="9">
        <v>0.2187107716098359</v>
      </c>
      <c r="G4" s="9">
        <v>-5.2181957995448162E-2</v>
      </c>
      <c r="H4" s="9">
        <v>87</v>
      </c>
      <c r="I4" s="2" t="s">
        <v>142</v>
      </c>
    </row>
    <row r="5" spans="1:9" ht="14.25" customHeight="1" x14ac:dyDescent="0.25">
      <c r="A5" s="6" t="s">
        <v>122</v>
      </c>
      <c r="B5" s="6" t="s">
        <v>139</v>
      </c>
      <c r="C5" s="6" t="s">
        <v>140</v>
      </c>
      <c r="D5" s="9">
        <v>1491.7</v>
      </c>
      <c r="E5" s="9">
        <v>-2.6</v>
      </c>
      <c r="F5" s="9">
        <v>-6.7799020486064704E-3</v>
      </c>
      <c r="G5" s="9">
        <v>0.24684333757355501</v>
      </c>
      <c r="H5" s="9">
        <v>124</v>
      </c>
      <c r="I5" s="2" t="s">
        <v>143</v>
      </c>
    </row>
    <row r="6" spans="1:9" ht="14.25" customHeight="1" x14ac:dyDescent="0.25">
      <c r="A6" s="6" t="s">
        <v>119</v>
      </c>
      <c r="B6" s="6" t="s">
        <v>139</v>
      </c>
      <c r="C6" s="6" t="s">
        <v>140</v>
      </c>
      <c r="D6" s="9">
        <v>1499.4</v>
      </c>
      <c r="E6" s="9">
        <v>-3.2</v>
      </c>
      <c r="F6" s="9">
        <v>0.39889458010897211</v>
      </c>
      <c r="G6" s="9">
        <v>-0.2481185633682991</v>
      </c>
      <c r="H6" s="9">
        <v>141</v>
      </c>
      <c r="I6" s="2" t="s">
        <v>144</v>
      </c>
    </row>
    <row r="7" spans="1:9" ht="14.25" customHeight="1" x14ac:dyDescent="0.25">
      <c r="A7" s="6" t="s">
        <v>115</v>
      </c>
      <c r="B7" s="6" t="s">
        <v>139</v>
      </c>
      <c r="C7" s="6" t="s">
        <v>140</v>
      </c>
      <c r="D7" s="9">
        <v>1396.8</v>
      </c>
      <c r="E7" s="9">
        <v>-10.8</v>
      </c>
      <c r="F7" s="9">
        <v>-2.5107699114611491E-2</v>
      </c>
      <c r="G7" s="9">
        <v>0.3012418203750481</v>
      </c>
      <c r="H7" s="9">
        <v>114</v>
      </c>
      <c r="I7" s="2" t="s">
        <v>145</v>
      </c>
    </row>
    <row r="8" spans="1:9" ht="14.25" customHeight="1" x14ac:dyDescent="0.25">
      <c r="A8" s="6" t="s">
        <v>118</v>
      </c>
      <c r="B8" s="6" t="s">
        <v>146</v>
      </c>
      <c r="C8" s="6" t="s">
        <v>137</v>
      </c>
      <c r="D8" s="9">
        <v>1412.1</v>
      </c>
      <c r="E8" s="9">
        <v>-17.2</v>
      </c>
      <c r="F8" s="9">
        <v>-0.33173207365051832</v>
      </c>
      <c r="G8" s="9">
        <v>6.1317393041856558E-2</v>
      </c>
      <c r="H8" s="9">
        <v>82</v>
      </c>
      <c r="I8" s="2" t="s">
        <v>147</v>
      </c>
    </row>
    <row r="9" spans="1:9" ht="14.25" customHeight="1" x14ac:dyDescent="0.25">
      <c r="A9" s="6" t="s">
        <v>124</v>
      </c>
      <c r="B9" s="6" t="s">
        <v>139</v>
      </c>
      <c r="C9" s="6" t="s">
        <v>140</v>
      </c>
      <c r="D9" s="9">
        <v>1432.7</v>
      </c>
      <c r="E9" s="9">
        <v>-15.7</v>
      </c>
      <c r="F9" s="9">
        <v>0.1654454108123683</v>
      </c>
      <c r="G9" s="9">
        <v>0.19261278295795209</v>
      </c>
      <c r="H9" s="9">
        <v>129</v>
      </c>
      <c r="I9" s="2" t="s">
        <v>142</v>
      </c>
    </row>
    <row r="10" spans="1:9" ht="14.25" customHeight="1" x14ac:dyDescent="0.25">
      <c r="A10" s="6" t="s">
        <v>125</v>
      </c>
      <c r="B10" s="6" t="s">
        <v>139</v>
      </c>
      <c r="C10" s="6" t="s">
        <v>140</v>
      </c>
      <c r="D10" s="9">
        <v>1439.9</v>
      </c>
      <c r="E10" s="9">
        <v>-11.7</v>
      </c>
      <c r="F10" s="9">
        <v>0.55627884767213798</v>
      </c>
      <c r="G10" s="9">
        <v>6.5622886212010609E-2</v>
      </c>
      <c r="H10" s="9">
        <v>98</v>
      </c>
      <c r="I10" s="2" t="s">
        <v>148</v>
      </c>
    </row>
    <row r="11" spans="1:9" ht="14.25" customHeight="1" x14ac:dyDescent="0.25">
      <c r="A11" s="6" t="s">
        <v>121</v>
      </c>
      <c r="B11" s="6" t="s">
        <v>149</v>
      </c>
      <c r="C11" s="6" t="s">
        <v>137</v>
      </c>
      <c r="D11" s="9">
        <v>1344.5</v>
      </c>
      <c r="E11" s="9">
        <v>-19.3</v>
      </c>
      <c r="F11" s="9">
        <v>-0.25135140975815362</v>
      </c>
      <c r="G11" s="9">
        <v>0.38719058353156588</v>
      </c>
      <c r="H11" s="9">
        <v>92</v>
      </c>
      <c r="I11" s="2" t="s">
        <v>150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12" customWidth="1"/>
    <col min="4" max="5" width="18" customWidth="1"/>
    <col min="6" max="7" width="11" customWidth="1"/>
    <col min="8" max="8" width="10" customWidth="1"/>
    <col min="9" max="9" width="15" customWidth="1"/>
    <col min="10" max="11" width="11" customWidth="1"/>
    <col min="12" max="12" width="10" customWidth="1"/>
    <col min="13" max="13" width="15" customWidth="1"/>
    <col min="14" max="15" width="11" customWidth="1"/>
    <col min="16" max="16" width="10" customWidth="1"/>
    <col min="17" max="17" width="15" customWidth="1"/>
    <col min="18" max="18" width="17" customWidth="1"/>
    <col min="19" max="19" width="20" customWidth="1"/>
    <col min="20" max="23" width="15" customWidth="1"/>
  </cols>
  <sheetData>
    <row r="1" spans="1:12" ht="18" customHeight="1" x14ac:dyDescent="0.25">
      <c r="A1" s="12" t="s">
        <v>151</v>
      </c>
    </row>
    <row r="2" spans="1:12" x14ac:dyDescent="0.25">
      <c r="A2" s="13" t="s">
        <v>152</v>
      </c>
    </row>
    <row r="4" spans="1:12" x14ac:dyDescent="0.25">
      <c r="A4" s="14" t="s">
        <v>153</v>
      </c>
    </row>
    <row r="5" spans="1:12" ht="38.25" customHeight="1" x14ac:dyDescent="0.25">
      <c r="A5" s="15" t="s">
        <v>154</v>
      </c>
      <c r="B5" s="15" t="s">
        <v>155</v>
      </c>
      <c r="C5" s="15" t="s">
        <v>156</v>
      </c>
      <c r="D5" s="15" t="s">
        <v>157</v>
      </c>
      <c r="E5" s="15" t="s">
        <v>158</v>
      </c>
      <c r="F5" s="15" t="s">
        <v>159</v>
      </c>
      <c r="G5" s="15" t="s">
        <v>160</v>
      </c>
      <c r="H5" s="15" t="s">
        <v>161</v>
      </c>
      <c r="I5" s="15" t="s">
        <v>162</v>
      </c>
      <c r="J5" s="15" t="s">
        <v>163</v>
      </c>
      <c r="K5" s="15" t="s">
        <v>164</v>
      </c>
      <c r="L5" s="15" t="s">
        <v>165</v>
      </c>
    </row>
    <row r="6" spans="1:12" x14ac:dyDescent="0.25">
      <c r="A6" s="16" t="s">
        <v>166</v>
      </c>
      <c r="B6" s="16">
        <v>8531</v>
      </c>
      <c r="C6" s="16">
        <v>8457</v>
      </c>
      <c r="D6" s="16">
        <v>4224</v>
      </c>
      <c r="E6" s="16">
        <v>4233</v>
      </c>
      <c r="F6" s="16">
        <v>69</v>
      </c>
      <c r="G6" s="16" t="s">
        <v>167</v>
      </c>
      <c r="H6" s="16" t="s">
        <v>168</v>
      </c>
      <c r="I6" s="16">
        <v>6684</v>
      </c>
      <c r="J6" s="16" t="s">
        <v>169</v>
      </c>
      <c r="K6" s="16" t="s">
        <v>170</v>
      </c>
      <c r="L6" s="16" t="s">
        <v>171</v>
      </c>
    </row>
    <row r="7" spans="1:12" x14ac:dyDescent="0.25">
      <c r="A7" s="16" t="s">
        <v>172</v>
      </c>
      <c r="B7" s="16">
        <v>969</v>
      </c>
      <c r="C7" s="16">
        <v>957</v>
      </c>
      <c r="D7" s="16">
        <v>474</v>
      </c>
      <c r="E7" s="16">
        <v>483</v>
      </c>
      <c r="F7" s="16">
        <v>12</v>
      </c>
      <c r="G7" s="16" t="s">
        <v>173</v>
      </c>
      <c r="H7" s="16" t="s">
        <v>174</v>
      </c>
      <c r="I7" s="16">
        <v>776</v>
      </c>
      <c r="J7" s="16" t="s">
        <v>175</v>
      </c>
      <c r="K7" s="16" t="s">
        <v>176</v>
      </c>
      <c r="L7" s="16" t="s">
        <v>177</v>
      </c>
    </row>
    <row r="8" spans="1:12" x14ac:dyDescent="0.25">
      <c r="A8" s="16" t="s">
        <v>178</v>
      </c>
      <c r="B8" s="16">
        <v>8531</v>
      </c>
      <c r="C8" s="16">
        <v>8460</v>
      </c>
      <c r="D8" s="16">
        <v>4270</v>
      </c>
      <c r="E8" s="16">
        <v>4190</v>
      </c>
      <c r="F8" s="16">
        <v>69</v>
      </c>
      <c r="G8" s="16" t="s">
        <v>179</v>
      </c>
      <c r="H8" s="16" t="s">
        <v>180</v>
      </c>
      <c r="I8" s="16">
        <v>6625</v>
      </c>
      <c r="J8" s="16" t="s">
        <v>179</v>
      </c>
      <c r="K8" s="16" t="s">
        <v>181</v>
      </c>
      <c r="L8" s="16" t="s">
        <v>182</v>
      </c>
    </row>
    <row r="9" spans="1:12" x14ac:dyDescent="0.25">
      <c r="A9" s="16" t="s">
        <v>183</v>
      </c>
      <c r="B9" s="16">
        <v>969</v>
      </c>
      <c r="C9" s="16">
        <v>957</v>
      </c>
      <c r="D9" s="16">
        <v>485</v>
      </c>
      <c r="E9" s="16">
        <v>472</v>
      </c>
      <c r="F9" s="16">
        <v>12</v>
      </c>
      <c r="G9" s="16" t="s">
        <v>184</v>
      </c>
      <c r="H9" s="16" t="s">
        <v>185</v>
      </c>
      <c r="I9" s="16">
        <v>740</v>
      </c>
      <c r="J9" s="16" t="s">
        <v>186</v>
      </c>
      <c r="K9" s="16" t="s">
        <v>187</v>
      </c>
      <c r="L9" s="16" t="s">
        <v>188</v>
      </c>
    </row>
    <row r="10" spans="1:12" x14ac:dyDescent="0.25">
      <c r="A10" s="16" t="s">
        <v>189</v>
      </c>
      <c r="B10" s="16">
        <v>8531</v>
      </c>
      <c r="C10" s="16">
        <v>97</v>
      </c>
      <c r="D10" s="16">
        <v>52</v>
      </c>
      <c r="E10" s="16">
        <v>45</v>
      </c>
      <c r="F10" s="16">
        <v>1</v>
      </c>
      <c r="G10" s="16" t="s">
        <v>190</v>
      </c>
      <c r="H10" s="16" t="s">
        <v>191</v>
      </c>
      <c r="I10" s="16">
        <v>91</v>
      </c>
      <c r="J10" s="16" t="s">
        <v>192</v>
      </c>
      <c r="K10" s="16" t="s">
        <v>193</v>
      </c>
      <c r="L10" s="16" t="s">
        <v>194</v>
      </c>
    </row>
    <row r="11" spans="1:12" x14ac:dyDescent="0.25">
      <c r="A11" s="16" t="s">
        <v>195</v>
      </c>
      <c r="B11" s="16">
        <v>969</v>
      </c>
      <c r="C11" s="16">
        <v>13</v>
      </c>
      <c r="D11" s="16">
        <v>12</v>
      </c>
      <c r="E11" s="16">
        <v>1</v>
      </c>
      <c r="F11" s="16">
        <v>0</v>
      </c>
      <c r="G11" s="16" t="s">
        <v>196</v>
      </c>
      <c r="H11" s="16" t="s">
        <v>197</v>
      </c>
      <c r="I11" s="16">
        <v>12</v>
      </c>
      <c r="J11" s="16" t="s">
        <v>198</v>
      </c>
      <c r="K11" s="16" t="s">
        <v>199</v>
      </c>
      <c r="L11" s="16" t="s">
        <v>200</v>
      </c>
    </row>
    <row r="13" spans="1:12" x14ac:dyDescent="0.25">
      <c r="A13" s="14" t="s">
        <v>201</v>
      </c>
    </row>
    <row r="14" spans="1:12" ht="38.25" customHeight="1" x14ac:dyDescent="0.25">
      <c r="A14" s="15" t="s">
        <v>154</v>
      </c>
      <c r="B14" s="15" t="s">
        <v>155</v>
      </c>
      <c r="C14" s="15" t="s">
        <v>156</v>
      </c>
      <c r="D14" s="15" t="s">
        <v>157</v>
      </c>
      <c r="E14" s="15" t="s">
        <v>158</v>
      </c>
      <c r="F14" s="15" t="s">
        <v>159</v>
      </c>
      <c r="G14" s="15" t="s">
        <v>160</v>
      </c>
      <c r="H14" s="15" t="s">
        <v>161</v>
      </c>
      <c r="I14" s="15" t="s">
        <v>162</v>
      </c>
      <c r="J14" s="15" t="s">
        <v>163</v>
      </c>
      <c r="K14" s="15" t="s">
        <v>164</v>
      </c>
      <c r="L14" s="15" t="s">
        <v>165</v>
      </c>
    </row>
    <row r="15" spans="1:12" x14ac:dyDescent="0.25">
      <c r="A15" s="16" t="s">
        <v>166</v>
      </c>
      <c r="B15" s="16">
        <v>98</v>
      </c>
      <c r="C15" s="16">
        <v>97</v>
      </c>
      <c r="D15" s="16">
        <v>41</v>
      </c>
      <c r="E15" s="16">
        <v>56</v>
      </c>
      <c r="F15" s="16">
        <v>1</v>
      </c>
      <c r="G15" s="16" t="s">
        <v>202</v>
      </c>
      <c r="H15" s="16" t="s">
        <v>203</v>
      </c>
      <c r="I15" s="16">
        <v>88</v>
      </c>
      <c r="J15" s="16" t="s">
        <v>204</v>
      </c>
      <c r="K15" s="16" t="s">
        <v>205</v>
      </c>
      <c r="L15" s="16" t="s">
        <v>206</v>
      </c>
    </row>
    <row r="16" spans="1:12" x14ac:dyDescent="0.25">
      <c r="A16" s="16" t="s">
        <v>172</v>
      </c>
      <c r="B16" s="16">
        <v>13</v>
      </c>
      <c r="C16" s="16">
        <v>13</v>
      </c>
      <c r="D16" s="16">
        <v>5</v>
      </c>
      <c r="E16" s="16">
        <v>8</v>
      </c>
      <c r="F16" s="16">
        <v>0</v>
      </c>
      <c r="G16" s="16" t="s">
        <v>207</v>
      </c>
      <c r="H16" s="16" t="s">
        <v>208</v>
      </c>
      <c r="I16" s="16">
        <v>11</v>
      </c>
      <c r="J16" s="16" t="s">
        <v>209</v>
      </c>
      <c r="K16" s="16" t="s">
        <v>210</v>
      </c>
      <c r="L16" s="16" t="s">
        <v>211</v>
      </c>
    </row>
    <row r="17" spans="1:12" x14ac:dyDescent="0.25">
      <c r="A17" s="16" t="s">
        <v>178</v>
      </c>
      <c r="B17" s="16">
        <v>98</v>
      </c>
      <c r="C17" s="16">
        <v>97</v>
      </c>
      <c r="D17" s="16">
        <v>43</v>
      </c>
      <c r="E17" s="16">
        <v>54</v>
      </c>
      <c r="F17" s="16">
        <v>1</v>
      </c>
      <c r="G17" s="16" t="s">
        <v>212</v>
      </c>
      <c r="H17" s="16" t="s">
        <v>213</v>
      </c>
      <c r="I17" s="16">
        <v>82</v>
      </c>
      <c r="J17" s="16" t="s">
        <v>214</v>
      </c>
      <c r="K17" s="16" t="s">
        <v>215</v>
      </c>
      <c r="L17" s="16" t="s">
        <v>216</v>
      </c>
    </row>
    <row r="18" spans="1:12" x14ac:dyDescent="0.25">
      <c r="A18" s="16" t="s">
        <v>183</v>
      </c>
      <c r="B18" s="16">
        <v>13</v>
      </c>
      <c r="C18" s="16">
        <v>13</v>
      </c>
      <c r="D18" s="16">
        <v>5</v>
      </c>
      <c r="E18" s="16">
        <v>8</v>
      </c>
      <c r="F18" s="16">
        <v>0</v>
      </c>
      <c r="G18" s="16" t="s">
        <v>207</v>
      </c>
      <c r="H18" s="16" t="s">
        <v>208</v>
      </c>
      <c r="I18" s="16">
        <v>9</v>
      </c>
      <c r="J18" s="16" t="s">
        <v>217</v>
      </c>
      <c r="K18" s="16" t="s">
        <v>218</v>
      </c>
      <c r="L18" s="16" t="s">
        <v>219</v>
      </c>
    </row>
    <row r="19" spans="1:12" x14ac:dyDescent="0.25">
      <c r="A19" s="16" t="s">
        <v>189</v>
      </c>
      <c r="B19" s="16">
        <v>98</v>
      </c>
      <c r="C19" s="16">
        <v>97</v>
      </c>
      <c r="D19" s="16">
        <v>52</v>
      </c>
      <c r="E19" s="16">
        <v>45</v>
      </c>
      <c r="F19" s="16">
        <v>1</v>
      </c>
      <c r="G19" s="16" t="s">
        <v>190</v>
      </c>
      <c r="H19" s="16" t="s">
        <v>191</v>
      </c>
      <c r="I19" s="16">
        <v>91</v>
      </c>
      <c r="J19" s="16" t="s">
        <v>192</v>
      </c>
      <c r="K19" s="16" t="s">
        <v>193</v>
      </c>
      <c r="L19" s="16" t="s">
        <v>194</v>
      </c>
    </row>
    <row r="20" spans="1:12" x14ac:dyDescent="0.25">
      <c r="A20" s="16" t="s">
        <v>195</v>
      </c>
      <c r="B20" s="16">
        <v>13</v>
      </c>
      <c r="C20" s="16">
        <v>13</v>
      </c>
      <c r="D20" s="16">
        <v>12</v>
      </c>
      <c r="E20" s="16">
        <v>1</v>
      </c>
      <c r="F20" s="16">
        <v>0</v>
      </c>
      <c r="G20" s="16" t="s">
        <v>196</v>
      </c>
      <c r="H20" s="16" t="s">
        <v>197</v>
      </c>
      <c r="I20" s="16">
        <v>12</v>
      </c>
      <c r="J20" s="16" t="s">
        <v>198</v>
      </c>
      <c r="K20" s="16" t="s">
        <v>199</v>
      </c>
      <c r="L20" s="16" t="s">
        <v>200</v>
      </c>
    </row>
    <row r="22" spans="1:12" x14ac:dyDescent="0.25">
      <c r="A22" s="13" t="s">
        <v>220</v>
      </c>
    </row>
    <row r="24" spans="1:12" x14ac:dyDescent="0.25">
      <c r="A24" s="14" t="s">
        <v>221</v>
      </c>
    </row>
    <row r="25" spans="1:12" ht="38.25" customHeight="1" x14ac:dyDescent="0.25">
      <c r="A25" s="15" t="s">
        <v>1</v>
      </c>
      <c r="B25" s="15" t="s">
        <v>2</v>
      </c>
      <c r="C25" s="15" t="s">
        <v>102</v>
      </c>
      <c r="D25" s="15" t="s">
        <v>222</v>
      </c>
      <c r="E25" s="15" t="s">
        <v>223</v>
      </c>
      <c r="F25" s="15" t="s">
        <v>224</v>
      </c>
      <c r="G25" s="15" t="s">
        <v>225</v>
      </c>
      <c r="H25" s="15" t="s">
        <v>226</v>
      </c>
      <c r="I25" s="15" t="s">
        <v>227</v>
      </c>
      <c r="J25" s="15" t="s">
        <v>228</v>
      </c>
      <c r="K25" s="15" t="s">
        <v>229</v>
      </c>
    </row>
    <row r="26" spans="1:12" x14ac:dyDescent="0.25">
      <c r="A26" s="16">
        <v>2</v>
      </c>
      <c r="B26" s="16" t="s">
        <v>62</v>
      </c>
      <c r="C26" s="16" t="s">
        <v>230</v>
      </c>
      <c r="D26" s="16" t="s">
        <v>231</v>
      </c>
      <c r="E26" s="16" t="s">
        <v>232</v>
      </c>
      <c r="F26" s="16" t="s">
        <v>233</v>
      </c>
      <c r="G26" s="16" t="s">
        <v>234</v>
      </c>
      <c r="H26" s="16" t="s">
        <v>235</v>
      </c>
      <c r="I26" s="16" t="s">
        <v>234</v>
      </c>
      <c r="J26" s="16" t="s">
        <v>236</v>
      </c>
      <c r="K26" s="17" t="s">
        <v>237</v>
      </c>
    </row>
    <row r="27" spans="1:12" x14ac:dyDescent="0.25">
      <c r="A27" s="16">
        <v>2</v>
      </c>
      <c r="B27" s="16" t="s">
        <v>238</v>
      </c>
      <c r="C27" s="16" t="s">
        <v>239</v>
      </c>
      <c r="D27" s="16" t="s">
        <v>240</v>
      </c>
      <c r="E27" s="16" t="s">
        <v>241</v>
      </c>
      <c r="F27" s="16" t="s">
        <v>242</v>
      </c>
      <c r="G27" s="16" t="s">
        <v>243</v>
      </c>
      <c r="H27" s="16" t="s">
        <v>243</v>
      </c>
      <c r="I27" s="16" t="s">
        <v>243</v>
      </c>
      <c r="J27" s="16" t="s">
        <v>243</v>
      </c>
      <c r="K27" s="16" t="s">
        <v>243</v>
      </c>
    </row>
    <row r="28" spans="1:12" x14ac:dyDescent="0.25">
      <c r="A28" s="16">
        <v>2</v>
      </c>
      <c r="B28" s="16" t="s">
        <v>244</v>
      </c>
      <c r="C28" s="16" t="s">
        <v>239</v>
      </c>
      <c r="D28" s="16" t="s">
        <v>240</v>
      </c>
      <c r="E28" s="16" t="s">
        <v>245</v>
      </c>
      <c r="F28" s="16" t="s">
        <v>246</v>
      </c>
      <c r="G28" s="16" t="s">
        <v>243</v>
      </c>
      <c r="H28" s="16" t="s">
        <v>243</v>
      </c>
      <c r="I28" s="16" t="s">
        <v>243</v>
      </c>
      <c r="J28" s="16" t="s">
        <v>243</v>
      </c>
      <c r="K28" s="16" t="s">
        <v>243</v>
      </c>
    </row>
    <row r="29" spans="1:12" x14ac:dyDescent="0.25">
      <c r="A29" s="16">
        <v>2</v>
      </c>
      <c r="B29" s="16" t="s">
        <v>247</v>
      </c>
      <c r="C29" s="16" t="s">
        <v>239</v>
      </c>
      <c r="D29" s="16" t="s">
        <v>248</v>
      </c>
      <c r="E29" s="16" t="s">
        <v>249</v>
      </c>
      <c r="F29" s="16" t="s">
        <v>250</v>
      </c>
      <c r="G29" s="16" t="s">
        <v>243</v>
      </c>
      <c r="H29" s="16" t="s">
        <v>243</v>
      </c>
      <c r="I29" s="16" t="s">
        <v>243</v>
      </c>
      <c r="J29" s="16" t="s">
        <v>243</v>
      </c>
      <c r="K29" s="16" t="s">
        <v>243</v>
      </c>
    </row>
    <row r="30" spans="1:12" x14ac:dyDescent="0.25">
      <c r="A30" s="16">
        <v>2</v>
      </c>
      <c r="B30" s="16" t="s">
        <v>251</v>
      </c>
      <c r="C30" s="16" t="s">
        <v>239</v>
      </c>
      <c r="D30" s="16" t="s">
        <v>252</v>
      </c>
      <c r="E30" s="16" t="s">
        <v>253</v>
      </c>
      <c r="F30" s="16" t="s">
        <v>254</v>
      </c>
      <c r="G30" s="16" t="s">
        <v>243</v>
      </c>
      <c r="H30" s="16" t="s">
        <v>243</v>
      </c>
      <c r="I30" s="16" t="s">
        <v>243</v>
      </c>
      <c r="J30" s="16" t="s">
        <v>243</v>
      </c>
      <c r="K30" s="16" t="s">
        <v>243</v>
      </c>
    </row>
    <row r="31" spans="1:12" x14ac:dyDescent="0.25">
      <c r="A31" s="16">
        <v>2</v>
      </c>
      <c r="B31" s="16" t="s">
        <v>255</v>
      </c>
      <c r="C31" s="16" t="s">
        <v>239</v>
      </c>
      <c r="D31" s="16" t="s">
        <v>256</v>
      </c>
      <c r="E31" s="16" t="s">
        <v>257</v>
      </c>
      <c r="F31" s="16" t="s">
        <v>258</v>
      </c>
      <c r="G31" s="16" t="s">
        <v>243</v>
      </c>
      <c r="H31" s="16" t="s">
        <v>243</v>
      </c>
      <c r="I31" s="16" t="s">
        <v>243</v>
      </c>
      <c r="J31" s="16" t="s">
        <v>243</v>
      </c>
      <c r="K31" s="16" t="s">
        <v>243</v>
      </c>
    </row>
    <row r="32" spans="1:12" x14ac:dyDescent="0.25">
      <c r="A32" s="16">
        <v>2</v>
      </c>
      <c r="B32" s="16" t="s">
        <v>259</v>
      </c>
      <c r="C32" s="16" t="s">
        <v>260</v>
      </c>
      <c r="D32" s="16" t="s">
        <v>261</v>
      </c>
      <c r="E32" s="16" t="s">
        <v>262</v>
      </c>
      <c r="F32" s="16" t="s">
        <v>263</v>
      </c>
      <c r="G32" s="16" t="s">
        <v>264</v>
      </c>
      <c r="H32" s="16" t="s">
        <v>264</v>
      </c>
      <c r="I32" s="16" t="s">
        <v>264</v>
      </c>
      <c r="J32" s="16" t="s">
        <v>265</v>
      </c>
      <c r="K32" s="17" t="s">
        <v>237</v>
      </c>
    </row>
    <row r="33" spans="1:23" x14ac:dyDescent="0.25">
      <c r="A33" s="16">
        <v>2</v>
      </c>
      <c r="B33" s="16" t="s">
        <v>266</v>
      </c>
      <c r="C33" s="16" t="s">
        <v>239</v>
      </c>
      <c r="D33" s="16" t="s">
        <v>267</v>
      </c>
      <c r="E33" s="16" t="s">
        <v>268</v>
      </c>
      <c r="F33" s="16" t="s">
        <v>269</v>
      </c>
      <c r="G33" s="16" t="s">
        <v>243</v>
      </c>
      <c r="H33" s="16" t="s">
        <v>243</v>
      </c>
      <c r="I33" s="16" t="s">
        <v>243</v>
      </c>
      <c r="J33" s="16" t="s">
        <v>243</v>
      </c>
      <c r="K33" s="16" t="s">
        <v>243</v>
      </c>
    </row>
    <row r="34" spans="1:23" x14ac:dyDescent="0.25">
      <c r="A34" s="16">
        <v>2</v>
      </c>
      <c r="B34" s="16" t="s">
        <v>270</v>
      </c>
      <c r="C34" s="16" t="s">
        <v>271</v>
      </c>
      <c r="D34" s="16" t="s">
        <v>272</v>
      </c>
      <c r="E34" s="16" t="s">
        <v>273</v>
      </c>
      <c r="F34" s="16" t="s">
        <v>274</v>
      </c>
      <c r="G34" s="16" t="s">
        <v>234</v>
      </c>
      <c r="H34" s="16" t="s">
        <v>234</v>
      </c>
      <c r="I34" s="16" t="s">
        <v>275</v>
      </c>
      <c r="J34" s="16" t="s">
        <v>265</v>
      </c>
      <c r="K34" s="17" t="s">
        <v>276</v>
      </c>
    </row>
    <row r="35" spans="1:23" x14ac:dyDescent="0.25">
      <c r="A35" s="13" t="s">
        <v>277</v>
      </c>
    </row>
    <row r="38" spans="1:23" x14ac:dyDescent="0.25">
      <c r="A38" s="14" t="s">
        <v>278</v>
      </c>
    </row>
    <row r="39" spans="1:23" ht="25.5" customHeight="1" x14ac:dyDescent="0.25">
      <c r="A39" s="15" t="s">
        <v>1</v>
      </c>
      <c r="B39" s="15" t="s">
        <v>2</v>
      </c>
      <c r="C39" s="15" t="s">
        <v>279</v>
      </c>
      <c r="D39" s="15" t="s">
        <v>280</v>
      </c>
      <c r="E39" s="15" t="s">
        <v>281</v>
      </c>
      <c r="F39" s="15" t="s">
        <v>222</v>
      </c>
      <c r="G39" s="15" t="s">
        <v>282</v>
      </c>
      <c r="H39" s="15" t="s">
        <v>225</v>
      </c>
      <c r="I39" s="15" t="s">
        <v>283</v>
      </c>
      <c r="J39" s="15" t="s">
        <v>223</v>
      </c>
      <c r="K39" s="15" t="s">
        <v>284</v>
      </c>
      <c r="L39" s="15" t="s">
        <v>226</v>
      </c>
      <c r="M39" s="15" t="s">
        <v>285</v>
      </c>
      <c r="N39" s="15" t="s">
        <v>224</v>
      </c>
      <c r="O39" s="15" t="s">
        <v>286</v>
      </c>
      <c r="P39" s="15" t="s">
        <v>227</v>
      </c>
      <c r="Q39" s="15" t="s">
        <v>287</v>
      </c>
      <c r="R39" s="15" t="s">
        <v>228</v>
      </c>
      <c r="S39" s="15" t="s">
        <v>288</v>
      </c>
      <c r="T39" s="15" t="s">
        <v>289</v>
      </c>
      <c r="U39" s="15" t="s">
        <v>290</v>
      </c>
      <c r="V39" s="15" t="s">
        <v>291</v>
      </c>
      <c r="W39" s="15" t="s">
        <v>292</v>
      </c>
    </row>
    <row r="40" spans="1:23" x14ac:dyDescent="0.25">
      <c r="A40" s="16">
        <v>1</v>
      </c>
      <c r="B40" s="16" t="s">
        <v>293</v>
      </c>
      <c r="C40" s="16" t="s">
        <v>294</v>
      </c>
      <c r="D40" s="16" t="s">
        <v>257</v>
      </c>
      <c r="E40" s="16" t="s">
        <v>295</v>
      </c>
      <c r="F40" s="16" t="s">
        <v>296</v>
      </c>
      <c r="G40" s="16" t="s">
        <v>297</v>
      </c>
      <c r="H40" s="16" t="s">
        <v>264</v>
      </c>
      <c r="I40" s="18" t="s">
        <v>298</v>
      </c>
      <c r="J40" s="16" t="s">
        <v>299</v>
      </c>
      <c r="K40" s="16" t="s">
        <v>300</v>
      </c>
      <c r="L40" s="16" t="s">
        <v>234</v>
      </c>
      <c r="M40" s="17" t="s">
        <v>301</v>
      </c>
      <c r="N40" s="16" t="s">
        <v>302</v>
      </c>
      <c r="O40" s="16" t="s">
        <v>303</v>
      </c>
      <c r="P40" s="16" t="s">
        <v>264</v>
      </c>
      <c r="Q40" s="18" t="s">
        <v>304</v>
      </c>
      <c r="R40" s="16" t="s">
        <v>236</v>
      </c>
      <c r="S40" s="16" t="s">
        <v>265</v>
      </c>
      <c r="T40" s="17" t="s">
        <v>237</v>
      </c>
      <c r="U40" s="16" t="s">
        <v>297</v>
      </c>
      <c r="V40" s="16" t="s">
        <v>300</v>
      </c>
      <c r="W40" s="16" t="s">
        <v>303</v>
      </c>
    </row>
    <row r="41" spans="1:23" x14ac:dyDescent="0.25">
      <c r="A41" s="16">
        <v>1</v>
      </c>
      <c r="B41" s="16" t="s">
        <v>305</v>
      </c>
      <c r="C41" s="16" t="s">
        <v>306</v>
      </c>
      <c r="D41" s="16" t="s">
        <v>307</v>
      </c>
      <c r="E41" s="16" t="s">
        <v>308</v>
      </c>
      <c r="F41" s="16" t="s">
        <v>309</v>
      </c>
      <c r="G41" s="16" t="s">
        <v>310</v>
      </c>
      <c r="H41" s="16" t="s">
        <v>234</v>
      </c>
      <c r="I41" s="17" t="s">
        <v>311</v>
      </c>
      <c r="J41" s="16" t="s">
        <v>312</v>
      </c>
      <c r="K41" s="16" t="s">
        <v>313</v>
      </c>
      <c r="L41" s="16" t="s">
        <v>234</v>
      </c>
      <c r="M41" s="17" t="s">
        <v>301</v>
      </c>
      <c r="N41" s="16" t="s">
        <v>314</v>
      </c>
      <c r="O41" s="16" t="s">
        <v>315</v>
      </c>
      <c r="P41" s="16" t="s">
        <v>234</v>
      </c>
      <c r="Q41" s="17" t="s">
        <v>316</v>
      </c>
      <c r="R41" s="16" t="s">
        <v>265</v>
      </c>
      <c r="S41" s="16" t="s">
        <v>265</v>
      </c>
      <c r="T41" s="17" t="s">
        <v>237</v>
      </c>
      <c r="U41" s="16" t="s">
        <v>317</v>
      </c>
      <c r="V41" s="16" t="s">
        <v>318</v>
      </c>
      <c r="W41" s="16" t="s">
        <v>319</v>
      </c>
    </row>
    <row r="42" spans="1:23" x14ac:dyDescent="0.25">
      <c r="A42" s="16">
        <v>1</v>
      </c>
      <c r="B42" s="16" t="s">
        <v>26</v>
      </c>
      <c r="C42" s="16" t="s">
        <v>320</v>
      </c>
      <c r="D42" s="16" t="s">
        <v>321</v>
      </c>
      <c r="E42" s="16" t="s">
        <v>322</v>
      </c>
      <c r="F42" s="16" t="s">
        <v>323</v>
      </c>
      <c r="G42" s="16" t="s">
        <v>324</v>
      </c>
      <c r="H42" s="16" t="s">
        <v>234</v>
      </c>
      <c r="I42" s="18" t="s">
        <v>298</v>
      </c>
      <c r="J42" s="16" t="s">
        <v>325</v>
      </c>
      <c r="K42" s="16" t="s">
        <v>326</v>
      </c>
      <c r="L42" s="16" t="s">
        <v>234</v>
      </c>
      <c r="M42" s="18" t="s">
        <v>298</v>
      </c>
      <c r="N42" s="16" t="s">
        <v>327</v>
      </c>
      <c r="O42" s="16" t="s">
        <v>328</v>
      </c>
      <c r="P42" s="16" t="s">
        <v>264</v>
      </c>
      <c r="Q42" s="17" t="s">
        <v>316</v>
      </c>
      <c r="R42" s="16" t="s">
        <v>265</v>
      </c>
      <c r="S42" s="16" t="s">
        <v>236</v>
      </c>
      <c r="T42" s="17" t="s">
        <v>276</v>
      </c>
      <c r="U42" s="16" t="s">
        <v>329</v>
      </c>
      <c r="V42" s="16" t="s">
        <v>330</v>
      </c>
      <c r="W42" s="16" t="s">
        <v>331</v>
      </c>
    </row>
    <row r="43" spans="1:23" x14ac:dyDescent="0.25">
      <c r="A43" s="16">
        <v>1</v>
      </c>
      <c r="B43" s="16" t="s">
        <v>332</v>
      </c>
      <c r="C43" s="16" t="s">
        <v>333</v>
      </c>
      <c r="D43" s="16" t="s">
        <v>334</v>
      </c>
      <c r="E43" s="16" t="s">
        <v>335</v>
      </c>
      <c r="F43" s="16" t="s">
        <v>336</v>
      </c>
      <c r="G43" s="16" t="s">
        <v>337</v>
      </c>
      <c r="H43" s="16" t="s">
        <v>264</v>
      </c>
      <c r="I43" s="17" t="s">
        <v>301</v>
      </c>
      <c r="J43" s="16" t="s">
        <v>338</v>
      </c>
      <c r="K43" s="16" t="s">
        <v>339</v>
      </c>
      <c r="L43" s="16" t="s">
        <v>234</v>
      </c>
      <c r="M43" s="18" t="s">
        <v>298</v>
      </c>
      <c r="N43" s="16" t="s">
        <v>340</v>
      </c>
      <c r="O43" s="16" t="s">
        <v>341</v>
      </c>
      <c r="P43" s="16" t="s">
        <v>264</v>
      </c>
      <c r="Q43" s="17" t="s">
        <v>342</v>
      </c>
      <c r="R43" s="16" t="s">
        <v>236</v>
      </c>
      <c r="S43" s="16" t="s">
        <v>265</v>
      </c>
      <c r="T43" s="17" t="s">
        <v>343</v>
      </c>
      <c r="U43" s="16" t="s">
        <v>344</v>
      </c>
      <c r="V43" s="16" t="s">
        <v>345</v>
      </c>
      <c r="W43" s="16" t="s">
        <v>303</v>
      </c>
    </row>
    <row r="44" spans="1:23" x14ac:dyDescent="0.25">
      <c r="A44" s="16">
        <v>1</v>
      </c>
      <c r="B44" s="16" t="s">
        <v>346</v>
      </c>
      <c r="C44" s="16" t="s">
        <v>347</v>
      </c>
      <c r="D44" s="16" t="s">
        <v>348</v>
      </c>
      <c r="E44" s="16" t="s">
        <v>349</v>
      </c>
      <c r="F44" s="16" t="s">
        <v>299</v>
      </c>
      <c r="G44" s="16" t="s">
        <v>350</v>
      </c>
      <c r="H44" s="16" t="s">
        <v>264</v>
      </c>
      <c r="I44" s="18" t="s">
        <v>298</v>
      </c>
      <c r="J44" s="16" t="s">
        <v>351</v>
      </c>
      <c r="K44" s="16" t="s">
        <v>314</v>
      </c>
      <c r="L44" s="16" t="s">
        <v>264</v>
      </c>
      <c r="M44" s="18" t="s">
        <v>298</v>
      </c>
      <c r="N44" s="16" t="s">
        <v>352</v>
      </c>
      <c r="O44" s="16" t="s">
        <v>353</v>
      </c>
      <c r="P44" s="16" t="s">
        <v>234</v>
      </c>
      <c r="Q44" s="17" t="s">
        <v>316</v>
      </c>
      <c r="R44" s="16" t="s">
        <v>265</v>
      </c>
      <c r="S44" s="16" t="s">
        <v>236</v>
      </c>
      <c r="T44" s="17" t="s">
        <v>343</v>
      </c>
      <c r="U44" s="16" t="s">
        <v>334</v>
      </c>
      <c r="V44" s="16" t="s">
        <v>354</v>
      </c>
      <c r="W44" s="16" t="s">
        <v>355</v>
      </c>
    </row>
    <row r="45" spans="1:23" x14ac:dyDescent="0.25">
      <c r="A45" s="16">
        <v>1</v>
      </c>
      <c r="B45" s="16" t="s">
        <v>356</v>
      </c>
      <c r="C45" s="16" t="s">
        <v>357</v>
      </c>
      <c r="D45" s="16" t="s">
        <v>358</v>
      </c>
      <c r="E45" s="16" t="s">
        <v>359</v>
      </c>
      <c r="F45" s="16" t="s">
        <v>360</v>
      </c>
      <c r="G45" s="16" t="s">
        <v>361</v>
      </c>
      <c r="H45" s="16" t="s">
        <v>264</v>
      </c>
      <c r="I45" s="18" t="s">
        <v>298</v>
      </c>
      <c r="J45" s="16" t="s">
        <v>362</v>
      </c>
      <c r="K45" s="16" t="s">
        <v>363</v>
      </c>
      <c r="L45" s="16" t="s">
        <v>264</v>
      </c>
      <c r="M45" s="18" t="s">
        <v>298</v>
      </c>
      <c r="N45" s="16" t="s">
        <v>312</v>
      </c>
      <c r="O45" s="16" t="s">
        <v>364</v>
      </c>
      <c r="P45" s="16" t="s">
        <v>234</v>
      </c>
      <c r="Q45" s="17" t="s">
        <v>316</v>
      </c>
      <c r="R45" s="16" t="s">
        <v>265</v>
      </c>
      <c r="S45" s="16" t="s">
        <v>236</v>
      </c>
      <c r="T45" s="17" t="s">
        <v>276</v>
      </c>
      <c r="U45" s="16" t="s">
        <v>365</v>
      </c>
      <c r="V45" s="16" t="s">
        <v>300</v>
      </c>
      <c r="W45" s="16" t="s">
        <v>366</v>
      </c>
    </row>
    <row r="46" spans="1:23" x14ac:dyDescent="0.25">
      <c r="A46" s="16">
        <v>1</v>
      </c>
      <c r="B46" s="16" t="s">
        <v>33</v>
      </c>
      <c r="C46" s="16" t="s">
        <v>367</v>
      </c>
      <c r="D46" s="16" t="s">
        <v>368</v>
      </c>
      <c r="E46" s="16" t="s">
        <v>369</v>
      </c>
      <c r="F46" s="16" t="s">
        <v>370</v>
      </c>
      <c r="G46" s="16" t="s">
        <v>344</v>
      </c>
      <c r="H46" s="16" t="s">
        <v>234</v>
      </c>
      <c r="I46" s="17" t="s">
        <v>311</v>
      </c>
      <c r="J46" s="16" t="s">
        <v>371</v>
      </c>
      <c r="K46" s="16" t="s">
        <v>372</v>
      </c>
      <c r="L46" s="16" t="s">
        <v>234</v>
      </c>
      <c r="M46" s="17" t="s">
        <v>301</v>
      </c>
      <c r="N46" s="16" t="s">
        <v>373</v>
      </c>
      <c r="O46" s="16" t="s">
        <v>374</v>
      </c>
      <c r="P46" s="16" t="s">
        <v>234</v>
      </c>
      <c r="Q46" s="17" t="s">
        <v>316</v>
      </c>
      <c r="R46" s="16" t="s">
        <v>265</v>
      </c>
      <c r="S46" s="16" t="s">
        <v>265</v>
      </c>
      <c r="T46" s="17" t="s">
        <v>237</v>
      </c>
      <c r="U46" s="16" t="s">
        <v>375</v>
      </c>
      <c r="V46" s="16" t="s">
        <v>376</v>
      </c>
      <c r="W46" s="16" t="s">
        <v>248</v>
      </c>
    </row>
    <row r="47" spans="1:23" x14ac:dyDescent="0.25">
      <c r="A47" s="16">
        <v>1</v>
      </c>
      <c r="B47" s="16" t="s">
        <v>14</v>
      </c>
      <c r="C47" s="16" t="s">
        <v>377</v>
      </c>
      <c r="D47" s="16" t="s">
        <v>378</v>
      </c>
      <c r="E47" s="16" t="s">
        <v>379</v>
      </c>
      <c r="F47" s="16" t="s">
        <v>380</v>
      </c>
      <c r="G47" s="16" t="s">
        <v>381</v>
      </c>
      <c r="H47" s="16" t="s">
        <v>234</v>
      </c>
      <c r="I47" s="17" t="s">
        <v>311</v>
      </c>
      <c r="J47" s="16" t="s">
        <v>382</v>
      </c>
      <c r="K47" s="16" t="s">
        <v>383</v>
      </c>
      <c r="L47" s="16" t="s">
        <v>234</v>
      </c>
      <c r="M47" s="17" t="s">
        <v>311</v>
      </c>
      <c r="N47" s="16" t="s">
        <v>384</v>
      </c>
      <c r="O47" s="16" t="s">
        <v>385</v>
      </c>
      <c r="P47" s="16" t="s">
        <v>234</v>
      </c>
      <c r="Q47" s="17" t="s">
        <v>316</v>
      </c>
      <c r="R47" s="16" t="s">
        <v>265</v>
      </c>
      <c r="S47" s="16" t="s">
        <v>265</v>
      </c>
      <c r="T47" s="17" t="s">
        <v>237</v>
      </c>
      <c r="U47" s="16" t="s">
        <v>386</v>
      </c>
      <c r="V47" s="16" t="s">
        <v>387</v>
      </c>
      <c r="W47" s="16" t="s">
        <v>364</v>
      </c>
    </row>
    <row r="48" spans="1:23" x14ac:dyDescent="0.25">
      <c r="A48" s="16">
        <v>1</v>
      </c>
      <c r="B48" s="16" t="s">
        <v>388</v>
      </c>
      <c r="C48" s="16" t="s">
        <v>389</v>
      </c>
      <c r="D48" s="16" t="s">
        <v>390</v>
      </c>
      <c r="E48" s="16" t="s">
        <v>391</v>
      </c>
      <c r="F48" s="16" t="s">
        <v>392</v>
      </c>
      <c r="G48" s="16" t="s">
        <v>393</v>
      </c>
      <c r="H48" s="16" t="s">
        <v>234</v>
      </c>
      <c r="I48" s="18" t="s">
        <v>394</v>
      </c>
      <c r="J48" s="16" t="s">
        <v>395</v>
      </c>
      <c r="K48" s="16" t="s">
        <v>396</v>
      </c>
      <c r="L48" s="16" t="s">
        <v>264</v>
      </c>
      <c r="M48" s="17" t="s">
        <v>311</v>
      </c>
      <c r="N48" s="16" t="s">
        <v>397</v>
      </c>
      <c r="O48" s="16" t="s">
        <v>398</v>
      </c>
      <c r="P48" s="16" t="s">
        <v>264</v>
      </c>
      <c r="Q48" s="17" t="s">
        <v>316</v>
      </c>
      <c r="R48" s="16" t="s">
        <v>236</v>
      </c>
      <c r="S48" s="16" t="s">
        <v>236</v>
      </c>
      <c r="T48" s="17" t="s">
        <v>343</v>
      </c>
      <c r="U48" s="16" t="s">
        <v>261</v>
      </c>
      <c r="V48" s="16" t="s">
        <v>313</v>
      </c>
      <c r="W48" s="16" t="s">
        <v>399</v>
      </c>
    </row>
    <row r="49" spans="1:23" x14ac:dyDescent="0.25">
      <c r="A49" s="16">
        <v>1</v>
      </c>
      <c r="B49" s="16" t="s">
        <v>57</v>
      </c>
      <c r="C49" s="16" t="s">
        <v>400</v>
      </c>
      <c r="D49" s="16" t="s">
        <v>401</v>
      </c>
      <c r="E49" s="16" t="s">
        <v>402</v>
      </c>
      <c r="F49" s="16" t="s">
        <v>403</v>
      </c>
      <c r="G49" s="16" t="s">
        <v>404</v>
      </c>
      <c r="H49" s="16" t="s">
        <v>264</v>
      </c>
      <c r="I49" s="18" t="s">
        <v>298</v>
      </c>
      <c r="J49" s="16" t="s">
        <v>405</v>
      </c>
      <c r="K49" s="16" t="s">
        <v>406</v>
      </c>
      <c r="L49" s="16" t="s">
        <v>264</v>
      </c>
      <c r="M49" s="18" t="s">
        <v>298</v>
      </c>
      <c r="N49" s="16" t="s">
        <v>407</v>
      </c>
      <c r="O49" s="16" t="s">
        <v>408</v>
      </c>
      <c r="P49" s="16" t="s">
        <v>234</v>
      </c>
      <c r="Q49" s="17" t="s">
        <v>316</v>
      </c>
      <c r="R49" s="16" t="s">
        <v>265</v>
      </c>
      <c r="S49" s="16" t="s">
        <v>236</v>
      </c>
      <c r="T49" s="17" t="s">
        <v>276</v>
      </c>
      <c r="U49" s="16" t="s">
        <v>409</v>
      </c>
      <c r="V49" s="16" t="s">
        <v>410</v>
      </c>
      <c r="W49" s="16" t="s">
        <v>373</v>
      </c>
    </row>
    <row r="50" spans="1:23" x14ac:dyDescent="0.25">
      <c r="A50" s="16">
        <v>1</v>
      </c>
      <c r="B50" s="16" t="s">
        <v>411</v>
      </c>
      <c r="C50" s="16" t="s">
        <v>412</v>
      </c>
      <c r="D50" s="16" t="s">
        <v>413</v>
      </c>
      <c r="E50" s="16" t="s">
        <v>414</v>
      </c>
      <c r="F50" s="16" t="s">
        <v>321</v>
      </c>
      <c r="G50" s="16" t="s">
        <v>415</v>
      </c>
      <c r="H50" s="16" t="s">
        <v>264</v>
      </c>
      <c r="I50" s="18" t="s">
        <v>298</v>
      </c>
      <c r="J50" s="16" t="s">
        <v>416</v>
      </c>
      <c r="K50" s="16" t="s">
        <v>417</v>
      </c>
      <c r="L50" s="16" t="s">
        <v>264</v>
      </c>
      <c r="M50" s="18" t="s">
        <v>298</v>
      </c>
      <c r="N50" s="16" t="s">
        <v>368</v>
      </c>
      <c r="O50" s="16" t="s">
        <v>329</v>
      </c>
      <c r="P50" s="16" t="s">
        <v>234</v>
      </c>
      <c r="Q50" s="17" t="s">
        <v>316</v>
      </c>
      <c r="R50" s="16" t="s">
        <v>265</v>
      </c>
      <c r="S50" s="16" t="s">
        <v>236</v>
      </c>
      <c r="T50" s="17" t="s">
        <v>343</v>
      </c>
      <c r="U50" s="16" t="s">
        <v>383</v>
      </c>
      <c r="V50" s="16" t="s">
        <v>418</v>
      </c>
      <c r="W50" s="16" t="s">
        <v>419</v>
      </c>
    </row>
    <row r="51" spans="1:23" x14ac:dyDescent="0.25">
      <c r="A51" s="16">
        <v>1</v>
      </c>
      <c r="B51" s="16" t="s">
        <v>19</v>
      </c>
      <c r="C51" s="16" t="s">
        <v>320</v>
      </c>
      <c r="D51" s="16" t="s">
        <v>413</v>
      </c>
      <c r="E51" s="16" t="s">
        <v>322</v>
      </c>
      <c r="F51" s="16" t="s">
        <v>420</v>
      </c>
      <c r="G51" s="16" t="s">
        <v>344</v>
      </c>
      <c r="H51" s="16" t="s">
        <v>234</v>
      </c>
      <c r="I51" s="18" t="s">
        <v>298</v>
      </c>
      <c r="J51" s="16" t="s">
        <v>421</v>
      </c>
      <c r="K51" s="16" t="s">
        <v>232</v>
      </c>
      <c r="L51" s="16" t="s">
        <v>234</v>
      </c>
      <c r="M51" s="18" t="s">
        <v>298</v>
      </c>
      <c r="N51" s="16" t="s">
        <v>422</v>
      </c>
      <c r="O51" s="16" t="s">
        <v>423</v>
      </c>
      <c r="P51" s="16" t="s">
        <v>264</v>
      </c>
      <c r="Q51" s="17" t="s">
        <v>316</v>
      </c>
      <c r="R51" s="16" t="s">
        <v>265</v>
      </c>
      <c r="S51" s="16" t="s">
        <v>236</v>
      </c>
      <c r="T51" s="17" t="s">
        <v>237</v>
      </c>
      <c r="U51" s="16" t="s">
        <v>424</v>
      </c>
      <c r="V51" s="16" t="s">
        <v>425</v>
      </c>
      <c r="W51" s="16" t="s">
        <v>373</v>
      </c>
    </row>
    <row r="52" spans="1:23" x14ac:dyDescent="0.25">
      <c r="A52" s="16">
        <v>1</v>
      </c>
      <c r="B52" s="16" t="s">
        <v>426</v>
      </c>
      <c r="C52" s="16" t="s">
        <v>427</v>
      </c>
      <c r="D52" s="16" t="s">
        <v>428</v>
      </c>
      <c r="E52" s="16" t="s">
        <v>429</v>
      </c>
      <c r="F52" s="16" t="s">
        <v>430</v>
      </c>
      <c r="G52" s="16" t="s">
        <v>431</v>
      </c>
      <c r="H52" s="16" t="s">
        <v>264</v>
      </c>
      <c r="I52" s="17" t="s">
        <v>311</v>
      </c>
      <c r="J52" s="16" t="s">
        <v>432</v>
      </c>
      <c r="K52" s="16" t="s">
        <v>328</v>
      </c>
      <c r="L52" s="16" t="s">
        <v>234</v>
      </c>
      <c r="M52" s="18" t="s">
        <v>394</v>
      </c>
      <c r="N52" s="16" t="s">
        <v>252</v>
      </c>
      <c r="O52" s="16" t="s">
        <v>433</v>
      </c>
      <c r="P52" s="16" t="s">
        <v>264</v>
      </c>
      <c r="Q52" s="17" t="s">
        <v>316</v>
      </c>
      <c r="R52" s="16" t="s">
        <v>236</v>
      </c>
      <c r="S52" s="16" t="s">
        <v>265</v>
      </c>
      <c r="T52" s="17" t="s">
        <v>237</v>
      </c>
      <c r="U52" s="16" t="s">
        <v>211</v>
      </c>
      <c r="V52" s="16" t="s">
        <v>219</v>
      </c>
      <c r="W52" s="16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Settings</vt:lpstr>
      <vt:lpstr>Weekly Slate</vt:lpstr>
      <vt:lpstr>Bet Log</vt:lpstr>
      <vt:lpstr>Team Profiles</vt:lpstr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 Andrewlevich</cp:lastModifiedBy>
  <cp:revision>0</cp:revision>
  <dcterms:created xsi:type="dcterms:W3CDTF">2026-08-25T18:48:36Z</dcterms:created>
  <dcterms:modified xsi:type="dcterms:W3CDTF">2026-09-13T15:49:44Z</dcterms:modified>
  <dc:language>en-US</dc:language>
</cp:coreProperties>
</file>